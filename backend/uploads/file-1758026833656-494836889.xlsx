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bank-statement-reconciliation/backend/uploads/"/>
    </mc:Choice>
  </mc:AlternateContent>
  <xr:revisionPtr revIDLastSave="999" documentId="8_{A8DFF076-70A7-42CF-A896-99BBFFC62AF9}" xr6:coauthVersionLast="47" xr6:coauthVersionMax="47" xr10:uidLastSave="{9D2D1522-9DAF-4997-889B-5FF0CE55377B}"/>
  <bookViews>
    <workbookView xWindow="-108" yWindow="-108" windowWidth="23256" windowHeight="12456" firstSheet="2" activeTab="6" xr2:uid="{00000000-000D-0000-FFFF-FFFF00000000}"/>
  </bookViews>
  <sheets>
    <sheet name="Summary" sheetId="1" r:id="rId1"/>
    <sheet name="Matched" sheetId="2" r:id="rId2"/>
    <sheet name="Unmatched_Bank" sheetId="3" r:id="rId3"/>
    <sheet name="Annexure 2" sheetId="7" r:id="rId4"/>
    <sheet name="Sheet1" sheetId="9" r:id="rId5"/>
    <sheet name="Annexure 1" sheetId="6" r:id="rId6"/>
    <sheet name="Annexure" sheetId="5" r:id="rId7"/>
    <sheet name="Sheet4" sheetId="8" r:id="rId8"/>
    <sheet name="Unmatched_QB" sheetId="4" r:id="rId9"/>
  </sheets>
  <definedNames>
    <definedName name="_xlnm._FilterDatabase" localSheetId="3" hidden="1">'Annexure 2'!$A$17:$G$39</definedName>
    <definedName name="_xlnm._FilterDatabase" localSheetId="1" hidden="1">Matched!$A$1:$G$4163</definedName>
    <definedName name="_xlnm._FilterDatabase" localSheetId="4" hidden="1">Sheet1!$A$22:$G$55</definedName>
    <definedName name="_xlnm._FilterDatabase" localSheetId="2" hidden="1">Unmatched_Bank!$A$1:$E$501</definedName>
    <definedName name="_xlnm._FilterDatabase" localSheetId="8" hidden="1">Unmatched_QB!$A$1:$F$456</definedName>
  </definedNames>
  <calcPr calcId="191028"/>
  <pivotCaches>
    <pivotCache cacheId="9" r:id="rId10"/>
    <pivotCache cacheId="10" r:id="rId11"/>
    <pivotCache cacheId="11" r:id="rId12"/>
    <pivotCache cacheId="12" r:id="rId13"/>
    <pivotCache cacheId="13" r:id="rId14"/>
    <pivotCache cacheId="14" r:id="rId15"/>
    <pivotCache cacheId="15" r:id="rId16"/>
    <pivotCache cacheId="16" r:id="rId17"/>
    <pivotCache cacheId="17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E11" i="1"/>
  <c r="E10" i="1"/>
  <c r="E13" i="1"/>
  <c r="E12" i="1"/>
  <c r="C20" i="9"/>
  <c r="K14" i="7"/>
  <c r="H12" i="6"/>
  <c r="H13" i="6"/>
  <c r="H14" i="6"/>
  <c r="H15" i="6"/>
  <c r="H16" i="6"/>
  <c r="H17" i="6"/>
  <c r="H18" i="6"/>
  <c r="H19" i="6"/>
  <c r="H20" i="6"/>
  <c r="H21" i="6"/>
  <c r="H22" i="6"/>
  <c r="H11" i="6"/>
  <c r="E18" i="7" l="1"/>
  <c r="E27" i="7"/>
  <c r="E23" i="7"/>
  <c r="E22" i="7"/>
  <c r="E21" i="7"/>
  <c r="E19" i="7"/>
  <c r="C14" i="7"/>
  <c r="C24" i="8"/>
</calcChain>
</file>

<file path=xl/sharedStrings.xml><?xml version="1.0" encoding="utf-8"?>
<sst xmlns="http://schemas.openxmlformats.org/spreadsheetml/2006/main" count="10631" uniqueCount="3626">
  <si>
    <t>Value</t>
  </si>
  <si>
    <t>period</t>
  </si>
  <si>
    <t>June 2018 - June 2025 (7 years)</t>
  </si>
  <si>
    <t>bank_statement_date</t>
  </si>
  <si>
    <t>bank_balance</t>
  </si>
  <si>
    <t>qb_date</t>
  </si>
  <si>
    <t>qb_balance</t>
  </si>
  <si>
    <t>total_bank_trans</t>
  </si>
  <si>
    <t>total_qb_trans</t>
  </si>
  <si>
    <t>matched_trans</t>
  </si>
  <si>
    <t>unmatched_bank_trans</t>
  </si>
  <si>
    <t>unmatched_qb_trans</t>
  </si>
  <si>
    <t>total_unmatched_bank_amount</t>
  </si>
  <si>
    <t>total_unmatched_qb_amount</t>
  </si>
  <si>
    <t>deposits_in_transit</t>
  </si>
  <si>
    <t>outstanding_checks</t>
  </si>
  <si>
    <t>difference</t>
  </si>
  <si>
    <t>Bank_Date</t>
  </si>
  <si>
    <t>Bank_Description</t>
  </si>
  <si>
    <t>Bank_Amount</t>
  </si>
  <si>
    <t>QB_Date</t>
  </si>
  <si>
    <t>QB_Type</t>
  </si>
  <si>
    <t>QB_Amount</t>
  </si>
  <si>
    <t>Difference</t>
  </si>
  <si>
    <t>Bankcard-8566 Mtot Dep 518089424394518 CCD ID: 1592126793</t>
  </si>
  <si>
    <t>Deposit</t>
  </si>
  <si>
    <t>06/01 Online Transfer To Chk ...7365 Transaction#: 7195928954</t>
  </si>
  <si>
    <t>Check</t>
  </si>
  <si>
    <t>Bluepay,Inc. 8667398324 100573263055 CCD ID: 0000000380</t>
  </si>
  <si>
    <t>Service Charges For The Month of May</t>
  </si>
  <si>
    <t>Card Purchase With Pin 06/06 Staples 1106 New York NY Card 0698</t>
  </si>
  <si>
    <t>Remote Online Deposit 1</t>
  </si>
  <si>
    <t>Card Purchase With Pin 06/07 Usps PO 35965800 201 V New York NY Card 0698</t>
  </si>
  <si>
    <t>Card Purchase With Pin 06/08 Usps PO 35965800 201 V New York NY Card 0698</t>
  </si>
  <si>
    <t>Recurring Card Purchase 06/09 Fedex 384343183 800-4633339 TN Card 0698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</si>
  <si>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</si>
  <si>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</si>
  <si>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</si>
  <si>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</si>
  <si>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</si>
  <si>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</si>
  <si>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</si>
  <si>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</si>
  <si>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</si>
  <si>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</si>
  <si>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</si>
  <si>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</si>
  <si>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</si>
  <si>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</si>
  <si>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</si>
  <si>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</si>
  <si>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</si>
  <si>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</si>
  <si>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Bankcard-8566 Mtot Disc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</si>
  <si>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</si>
  <si>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</si>
  <si>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</si>
  <si>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</si>
  <si>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Recurring Card Purchase 07/10 Fedex 387394185 800-4633339 TN Card 0698</t>
  </si>
  <si>
    <t>ATM Check Deposit 07/12 345 Hudson St New York NY Card 0698</t>
  </si>
  <si>
    <t>Payment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</si>
  <si>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</si>
  <si>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</si>
  <si>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</si>
  <si>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</si>
  <si>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</si>
  <si>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</si>
  <si>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</si>
  <si>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</si>
  <si>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</si>
  <si>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</si>
  <si>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</si>
  <si>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</si>
  <si>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</si>
  <si>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</si>
  <si>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</si>
  <si>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</si>
  <si>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</si>
  <si>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</si>
  <si>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</si>
  <si>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</si>
  <si>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</si>
  <si>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</si>
  <si>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</si>
  <si>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</si>
  <si>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</si>
  <si>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</si>
  <si>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</si>
  <si>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</si>
  <si>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</si>
  <si>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</si>
  <si>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</si>
  <si>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</si>
  <si>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</si>
  <si>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</si>
  <si>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</si>
  <si>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</si>
  <si>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</si>
  <si>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</si>
  <si>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</si>
  <si>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</si>
  <si>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</si>
  <si>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</si>
  <si>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</si>
  <si>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</si>
  <si>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</si>
  <si>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Recurring Card Purchase 09/15 Smk*Surveymonkey.Com 971-2445555 CA Card 0698</t>
  </si>
  <si>
    <t>09/18 Online ACH Payment 5204242400 To Michele Cobb (_######6800)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</si>
  <si>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</si>
  <si>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</si>
  <si>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</si>
  <si>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</si>
  <si>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</si>
  <si>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</si>
  <si>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</si>
  <si>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</si>
  <si>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</si>
  <si>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</si>
  <si>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</si>
  <si>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</si>
  <si>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</si>
  <si>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</si>
  <si>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</si>
  <si>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</si>
  <si>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</si>
  <si>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</si>
  <si>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</si>
  <si>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</si>
  <si>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</si>
  <si>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</si>
  <si>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</si>
  <si>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</si>
  <si>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</si>
  <si>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</si>
  <si>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</si>
  <si>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</si>
  <si>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</si>
  <si>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</si>
  <si>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</si>
  <si>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</si>
  <si>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</si>
  <si>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</si>
  <si>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</si>
  <si>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</si>
  <si>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</si>
  <si>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</si>
  <si>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</si>
  <si>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</si>
  <si>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</si>
  <si>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</si>
  <si>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</si>
  <si>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</si>
  <si>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</si>
  <si>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</si>
  <si>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</si>
  <si>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</si>
  <si>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</si>
  <si>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</si>
  <si>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</si>
  <si>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</si>
  <si>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</si>
  <si>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</si>
  <si>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</si>
  <si>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</si>
  <si>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</si>
  <si>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</si>
  <si>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</si>
  <si>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Fedwire Credit Via: The Bank of New York Mellon/021000018 B/O: Rakuten Kobo Inc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</si>
  <si>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</si>
  <si>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</si>
  <si>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</si>
  <si>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</si>
  <si>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</si>
  <si>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</si>
  <si>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</si>
  <si>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</si>
  <si>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</si>
  <si>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</si>
  <si>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</si>
  <si>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</si>
  <si>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</si>
  <si>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</si>
  <si>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</si>
  <si>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</si>
  <si>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</si>
  <si>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</si>
  <si>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</si>
  <si>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</si>
  <si>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</si>
  <si>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</si>
  <si>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</si>
  <si>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</si>
  <si>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</si>
  <si>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</si>
  <si>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</si>
  <si>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</si>
  <si>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</si>
  <si>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</si>
  <si>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</si>
  <si>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</si>
  <si>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</si>
  <si>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</si>
  <si>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</si>
  <si>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</si>
  <si>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</si>
  <si>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</si>
  <si>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</si>
  <si>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</si>
  <si>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</si>
  <si>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</si>
  <si>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</si>
  <si>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</si>
  <si>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</si>
  <si>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</si>
  <si>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</si>
  <si>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</si>
  <si>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</si>
  <si>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</si>
  <si>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</si>
  <si>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</si>
  <si>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</si>
  <si>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</si>
  <si>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</si>
  <si>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</si>
  <si>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</si>
  <si>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</si>
  <si>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</si>
  <si>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</si>
  <si>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</si>
  <si>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</si>
  <si>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</si>
  <si>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</si>
  <si>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</si>
  <si>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</si>
  <si>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</si>
  <si>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</si>
  <si>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</si>
  <si>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</si>
  <si>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</si>
  <si>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</si>
  <si>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</si>
  <si>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</si>
  <si>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</si>
  <si>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</si>
  <si>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</si>
  <si>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</si>
  <si>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</si>
  <si>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</si>
  <si>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</si>
  <si>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</si>
  <si>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</si>
  <si>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</si>
  <si>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</si>
  <si>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</si>
  <si>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</si>
  <si>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</si>
  <si>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</si>
  <si>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</si>
  <si>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ACH Payment 5213317960 To Tmg (_#####2950)</t>
  </si>
  <si>
    <t>Card Purchase 03/05 Uber *Czews 800-592-8996 CA Card 0698</t>
  </si>
  <si>
    <t>Card Purchase 03/04 Uber *Kzyac 800-592-8996 CA Card 0698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</si>
  <si>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</si>
  <si>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</si>
  <si>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</si>
  <si>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</si>
  <si>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</si>
  <si>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</si>
  <si>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Penguin Random H ACH Paymnt 0000066372 CCD ID: 1462905685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</si>
  <si>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</si>
  <si>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</si>
  <si>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</si>
  <si>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</si>
  <si>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</si>
  <si>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</si>
  <si>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</si>
  <si>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</si>
  <si>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</si>
  <si>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</si>
  <si>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</si>
  <si>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</si>
  <si>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Card Purchase 03/16 Www.Maxflatow.Com Www.Maxflatow NY Card 0698</t>
  </si>
  <si>
    <t>03/20 Online Payment 8049054735 To Audiofile</t>
  </si>
  <si>
    <t>03/20 Online ACH Payment 5214574201 To Michele Cobb (_######6800)</t>
  </si>
  <si>
    <t>Card Purchase 03/25 Zoom.US 888-799-9666 CA Card 0698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</si>
  <si>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</si>
  <si>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</si>
  <si>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</si>
  <si>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</si>
  <si>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</si>
  <si>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</si>
  <si>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</si>
  <si>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</si>
  <si>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</si>
  <si>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</si>
  <si>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</si>
  <si>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</si>
  <si>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</si>
  <si>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</si>
  <si>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</si>
  <si>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</si>
  <si>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</si>
  <si>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</si>
  <si>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</si>
  <si>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</si>
  <si>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</si>
  <si>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</si>
  <si>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</si>
  <si>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</si>
  <si>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Card Purchase 04/25 Zoom.US 888-799-9666 CA Card 0698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</si>
  <si>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</si>
  <si>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</si>
  <si>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</si>
  <si>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</si>
  <si>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</si>
  <si>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</si>
  <si>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</si>
  <si>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</si>
  <si>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</si>
  <si>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</si>
  <si>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</si>
  <si>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</si>
  <si>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</si>
  <si>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</si>
  <si>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</si>
  <si>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</si>
  <si>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</si>
  <si>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</si>
  <si>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</si>
  <si>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</si>
  <si>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</si>
  <si>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</si>
  <si>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</si>
  <si>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</si>
  <si>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</si>
  <si>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</si>
  <si>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</si>
  <si>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</si>
  <si>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</si>
  <si>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</si>
  <si>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</si>
  <si>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</si>
  <si>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</si>
  <si>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</si>
  <si>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</si>
  <si>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</si>
  <si>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</si>
  <si>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</si>
  <si>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</si>
  <si>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</si>
  <si>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</si>
  <si>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</si>
  <si>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</si>
  <si>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</si>
  <si>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</si>
  <si>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</si>
  <si>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</si>
  <si>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</si>
  <si>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</si>
  <si>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</si>
  <si>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</si>
  <si>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</si>
  <si>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</si>
  <si>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</si>
  <si>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</si>
  <si>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</si>
  <si>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Card Purchase 05/29 Uber *Trip 800-592-8996 CA Card 0698</t>
  </si>
  <si>
    <t>Card Purchase 05/28 Taxi Svc Brooklyn Brooklyn NY Card 0698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</si>
  <si>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</si>
  <si>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</si>
  <si>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</si>
  <si>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</si>
  <si>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</si>
  <si>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</si>
  <si>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Linode.Com 855-4546633 NJ Card 0698</t>
  </si>
  <si>
    <t>Card Purchase 06/01 Uber *Trip 800-592-8996 CA Card 0698</t>
  </si>
  <si>
    <t>Venmo Payment 2110743438 Web ID: 3264681992</t>
  </si>
  <si>
    <t>Card Purchase 06/02 Seamlsscitydiner Seamless.Com NY Card 0698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</si>
  <si>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</si>
  <si>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</si>
  <si>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</si>
  <si>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</si>
  <si>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</si>
  <si>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</si>
  <si>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</si>
  <si>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</si>
  <si>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</si>
  <si>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</si>
  <si>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</si>
  <si>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</si>
  <si>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</si>
  <si>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</si>
  <si>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</si>
  <si>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</si>
  <si>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</si>
  <si>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</si>
  <si>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</si>
  <si>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</si>
  <si>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</si>
  <si>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</si>
  <si>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</si>
  <si>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</si>
  <si>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</si>
  <si>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</si>
  <si>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</si>
  <si>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</si>
  <si>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</si>
  <si>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</si>
  <si>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</si>
  <si>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</si>
  <si>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</si>
  <si>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</si>
  <si>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</si>
  <si>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</si>
  <si>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</si>
  <si>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</si>
  <si>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</si>
  <si>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</si>
  <si>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</si>
  <si>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</si>
  <si>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</si>
  <si>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</si>
  <si>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</si>
  <si>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</si>
  <si>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</si>
  <si>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</si>
  <si>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</si>
  <si>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</si>
  <si>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</si>
  <si>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</si>
  <si>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</si>
  <si>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</si>
  <si>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</si>
  <si>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</si>
  <si>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</si>
  <si>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</si>
  <si>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</si>
  <si>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</si>
  <si>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</si>
  <si>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</si>
  <si>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</si>
  <si>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</si>
  <si>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</si>
  <si>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</si>
  <si>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</si>
  <si>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</si>
  <si>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</si>
  <si>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</si>
  <si>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</si>
  <si>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</si>
  <si>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</si>
  <si>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</si>
  <si>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</si>
  <si>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</si>
  <si>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</si>
  <si>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</si>
  <si>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</si>
  <si>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</si>
  <si>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</si>
  <si>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</si>
  <si>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</si>
  <si>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</si>
  <si>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</si>
  <si>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</si>
  <si>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</si>
  <si>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</si>
  <si>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</si>
  <si>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</si>
  <si>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</si>
  <si>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</si>
  <si>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</si>
  <si>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Card Purchase 01/02 Amzn Mktp US*0K2Ci7C Amzn.Com/Bill WA Card 0698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</si>
  <si>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</si>
  <si>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</si>
  <si>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</si>
  <si>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</si>
  <si>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</si>
  <si>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</si>
  <si>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</si>
  <si>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</si>
  <si>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</si>
  <si>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</si>
  <si>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</si>
  <si>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</si>
  <si>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</si>
  <si>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</si>
  <si>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</si>
  <si>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</si>
  <si>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</si>
  <si>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</si>
  <si>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</si>
  <si>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</si>
  <si>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</si>
  <si>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</si>
  <si>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</si>
  <si>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</si>
  <si>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</si>
  <si>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</si>
  <si>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</si>
  <si>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</si>
  <si>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</si>
  <si>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</si>
  <si>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</si>
  <si>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</si>
  <si>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</si>
  <si>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</si>
  <si>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</si>
  <si>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</si>
  <si>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</si>
  <si>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</si>
  <si>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</si>
  <si>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</si>
  <si>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</si>
  <si>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</si>
  <si>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</si>
  <si>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</si>
  <si>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</si>
  <si>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</si>
  <si>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</si>
  <si>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</si>
  <si>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</si>
  <si>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</si>
  <si>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</si>
  <si>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</si>
  <si>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</si>
  <si>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</si>
  <si>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</si>
  <si>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</si>
  <si>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</si>
  <si>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</si>
  <si>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</si>
  <si>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</si>
  <si>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</si>
  <si>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</si>
  <si>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</si>
  <si>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</si>
  <si>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</si>
  <si>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</si>
  <si>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</si>
  <si>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</si>
  <si>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</si>
  <si>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</si>
  <si>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</si>
  <si>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</si>
  <si>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</si>
  <si>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</si>
  <si>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</si>
  <si>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</si>
  <si>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</si>
  <si>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</si>
  <si>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</si>
  <si>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</si>
  <si>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</si>
  <si>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</si>
  <si>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</si>
  <si>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</si>
  <si>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</si>
  <si>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</si>
  <si>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</si>
  <si>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</si>
  <si>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</si>
  <si>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</si>
  <si>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</si>
  <si>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</si>
  <si>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</si>
  <si>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ACH Payment 5244997619 To Michele Cobb (_######6800)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</si>
  <si>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</si>
  <si>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</si>
  <si>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</si>
  <si>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</si>
  <si>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</si>
  <si>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</si>
  <si>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</si>
  <si>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</si>
  <si>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</si>
  <si>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</si>
  <si>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</si>
  <si>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</si>
  <si>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</si>
  <si>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</si>
  <si>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</si>
  <si>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</si>
  <si>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</si>
  <si>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</si>
  <si>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</si>
  <si>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</si>
  <si>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</si>
  <si>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</si>
  <si>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</si>
  <si>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</si>
  <si>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</si>
  <si>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</si>
  <si>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</si>
  <si>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</si>
  <si>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</si>
  <si>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</si>
  <si>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</si>
  <si>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</si>
  <si>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</si>
  <si>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</si>
  <si>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</si>
  <si>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</si>
  <si>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</si>
  <si>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</si>
  <si>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</si>
  <si>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</si>
  <si>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</si>
  <si>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</si>
  <si>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</si>
  <si>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</si>
  <si>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</si>
  <si>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</si>
  <si>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</si>
  <si>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</si>
  <si>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</si>
  <si>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</si>
  <si>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</si>
  <si>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</si>
  <si>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</si>
  <si>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</si>
  <si>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</si>
  <si>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</si>
  <si>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</si>
  <si>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</si>
  <si>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</si>
  <si>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</si>
  <si>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</si>
  <si>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</si>
  <si>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</si>
  <si>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</si>
  <si>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</si>
  <si>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</si>
  <si>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</si>
  <si>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</si>
  <si>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</si>
  <si>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</si>
  <si>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</si>
  <si>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</si>
  <si>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</si>
  <si>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</si>
  <si>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</si>
  <si>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</si>
  <si>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</si>
  <si>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</si>
  <si>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</si>
  <si>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</si>
  <si>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</si>
  <si>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</si>
  <si>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</si>
  <si>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</si>
  <si>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</si>
  <si>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</si>
  <si>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</si>
  <si>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</si>
  <si>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</si>
  <si>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</si>
  <si>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</si>
  <si>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</si>
  <si>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</si>
  <si>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</si>
  <si>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</si>
  <si>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</si>
  <si>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</si>
  <si>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</si>
  <si>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</si>
  <si>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</si>
  <si>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</si>
  <si>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</si>
  <si>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</si>
  <si>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</si>
  <si>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</si>
  <si>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</si>
  <si>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</si>
  <si>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</si>
  <si>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</si>
  <si>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</si>
  <si>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</si>
  <si>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</si>
  <si>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</si>
  <si>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</si>
  <si>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</si>
  <si>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</si>
  <si>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</si>
  <si>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</si>
  <si>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</si>
  <si>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</si>
  <si>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Payment 9431148008 To Audiofile</t>
  </si>
  <si>
    <t>04/10 Online ACH Payment 5247029016 To Michele Cobb (_######6800)</t>
  </si>
  <si>
    <t>04/10 Online ACH Payment 5247030577 To Interq (_########5036)</t>
  </si>
  <si>
    <t>Venmo Payment 3332213672 Web ID: 3264681992</t>
  </si>
  <si>
    <t>Venmo Payment 3336100721 Web ID: 3264681992</t>
  </si>
  <si>
    <t>04/16 Online Payment 9461399955 To James D. Sasser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</si>
  <si>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</si>
  <si>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</si>
  <si>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</si>
  <si>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</si>
  <si>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</si>
  <si>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</si>
  <si>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</si>
  <si>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</si>
  <si>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</si>
  <si>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</si>
  <si>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</si>
  <si>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</si>
  <si>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</si>
  <si>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3419415046 Web ID: 3264681992</t>
  </si>
  <si>
    <t>05/05 Online ACH Payment 5249186846 To Edison Research (_######4589)</t>
  </si>
  <si>
    <t>05/07 Online Domestic Wire Transfer Via: Bk Amer Nyc/026009593 A/C: Gtn Client Trust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</si>
  <si>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</si>
  <si>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</si>
  <si>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</si>
  <si>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</si>
  <si>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</si>
  <si>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</si>
  <si>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</si>
  <si>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</si>
  <si>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</si>
  <si>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</si>
  <si>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</si>
  <si>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</si>
  <si>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</si>
  <si>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</si>
  <si>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</si>
  <si>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</si>
  <si>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</si>
  <si>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</si>
  <si>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</si>
  <si>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</si>
  <si>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</si>
  <si>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</si>
  <si>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</si>
  <si>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</si>
  <si>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</si>
  <si>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</si>
  <si>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</si>
  <si>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</si>
  <si>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</si>
  <si>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</si>
  <si>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</si>
  <si>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</si>
  <si>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</si>
  <si>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</si>
  <si>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</si>
  <si>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</si>
  <si>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</si>
  <si>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</si>
  <si>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</si>
  <si>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</si>
  <si>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Orig CO Name:Bankcard-8566 Orig ID:1592126793 Desc Date:200628 CO Entry</t>
  </si>
  <si>
    <t>06/27 Online Payment 9847052348 To Graphic Executions, Inc.</t>
  </si>
  <si>
    <t>Orig CO Name:Venmo Orig ID:3264681992 Desc Date: CO Entry</t>
  </si>
  <si>
    <t>Orig CO Name:Bankcard-8566 Orig ID:1592126793 Desc Date:200626 CO Entry</t>
  </si>
  <si>
    <t>Orig CO Name:Bankcard-8566 Orig ID:1592126793 Desc Date:200629 CO Entry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</si>
  <si>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</si>
  <si>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</si>
  <si>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</si>
  <si>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</si>
  <si>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</si>
  <si>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</si>
  <si>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</si>
  <si>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</si>
  <si>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</si>
  <si>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</si>
  <si>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</si>
  <si>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</si>
  <si>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</si>
  <si>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</si>
  <si>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</si>
  <si>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</si>
  <si>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</si>
  <si>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Orig CO Name:Bankcard-8566 Orig ID:1592126793 Desc Date:200717 CO Entry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</si>
  <si>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</si>
  <si>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</si>
  <si>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</si>
  <si>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</si>
  <si>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</si>
  <si>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</si>
  <si>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</si>
  <si>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</si>
  <si>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</si>
  <si>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</si>
  <si>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</si>
  <si>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</si>
  <si>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</si>
  <si>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</si>
  <si>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</si>
  <si>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</si>
  <si>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</si>
  <si>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</si>
  <si>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</si>
  <si>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</si>
  <si>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</si>
  <si>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</si>
  <si>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</si>
  <si>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</si>
  <si>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</si>
  <si>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</si>
  <si>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</si>
  <si>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</si>
  <si>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Payment 10155357811 To Bailey Duquette</t>
  </si>
  <si>
    <t>08/21 Online ACH Payment 5259453264 To Michele Cobb (_######6800)</t>
  </si>
  <si>
    <t>Orig CO Name:Paypal Orig ID:Paypalsi77 Desc Date:200821 CO Entry Descr:Inst</t>
  </si>
  <si>
    <t>Orig CO Name:Bankcard-8566 Orig ID:1592126793 Desc Date:200823 CO Entry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</si>
  <si>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</si>
  <si>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</si>
  <si>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</si>
  <si>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</si>
  <si>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</si>
  <si>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</si>
  <si>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</si>
  <si>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</si>
  <si>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</si>
  <si>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</si>
  <si>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Orig CO Name:Bankcard-8566 Orig ID:1592126793 Desc Date:200904 CO Entry</t>
  </si>
  <si>
    <t>Orig CO Name:Bankcard-8566 Orig ID:1592126793 Desc Date:200906 CO Entry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</si>
  <si>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</si>
  <si>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</si>
  <si>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</si>
  <si>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</si>
  <si>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</si>
  <si>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</si>
  <si>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</si>
  <si>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</si>
  <si>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</si>
  <si>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</si>
  <si>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</si>
  <si>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</si>
  <si>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</si>
  <si>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</si>
  <si>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</si>
  <si>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</si>
  <si>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</si>
  <si>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</si>
  <si>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Orig CO Name:Bankcard-8566 Orig ID:1592126793 Desc Date:201001 CO Entry</t>
  </si>
  <si>
    <t>Orig CO Name:Bankcard-8566 Orig ID:1592126793 Desc Date:201004 CO Entry</t>
  </si>
  <si>
    <t>Orig CO Name:Bankcard-8566 Orig ID:1592126793 Desc Date:201002 CO Entry</t>
  </si>
  <si>
    <t>Quickpay With Zelle Payment To Terry Bernstein 10414719068</t>
  </si>
  <si>
    <t>10/07 Online Payment 10414713499 To Bailey Duquette</t>
  </si>
  <si>
    <t>Orig CO Name:Bankcard-8566 Orig ID:1592126793 Desc Date:201006 CO Entry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</si>
  <si>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</si>
  <si>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</si>
  <si>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</si>
  <si>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</si>
  <si>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</si>
  <si>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</si>
  <si>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</si>
  <si>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</si>
  <si>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</si>
  <si>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</si>
  <si>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</si>
  <si>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</si>
  <si>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</si>
  <si>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</si>
  <si>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</si>
  <si>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</si>
  <si>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</si>
  <si>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</si>
  <si>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</si>
  <si>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</si>
  <si>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</si>
  <si>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Card Purchase 11/03 Audible*283Lj2Ep2 Amzn.Com/Bill NJ Card 0698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</si>
  <si>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</si>
  <si>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</si>
  <si>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</si>
  <si>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</si>
  <si>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</si>
  <si>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</si>
  <si>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</si>
  <si>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</si>
  <si>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</si>
  <si>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</si>
  <si>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</si>
  <si>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</si>
  <si>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</si>
  <si>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</si>
  <si>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</si>
  <si>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</si>
  <si>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</si>
  <si>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</si>
  <si>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</si>
  <si>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</si>
  <si>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</si>
  <si>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</si>
  <si>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</si>
  <si>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</si>
  <si>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</si>
  <si>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</si>
  <si>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</si>
  <si>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</si>
  <si>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</si>
  <si>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</si>
  <si>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</si>
  <si>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</si>
  <si>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</si>
  <si>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</si>
  <si>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</si>
  <si>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</si>
  <si>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</si>
  <si>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</si>
  <si>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</si>
  <si>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</si>
  <si>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</si>
  <si>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</si>
  <si>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</si>
  <si>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</si>
  <si>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</si>
  <si>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</si>
  <si>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</si>
  <si>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</si>
  <si>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</si>
  <si>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</si>
  <si>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</si>
  <si>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</si>
  <si>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</si>
  <si>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</si>
  <si>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</si>
  <si>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</si>
  <si>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</si>
  <si>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</si>
  <si>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</si>
  <si>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</si>
  <si>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</si>
  <si>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</si>
  <si>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</si>
  <si>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</si>
  <si>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</si>
  <si>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</si>
  <si>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</si>
  <si>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</si>
  <si>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</si>
  <si>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</si>
  <si>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</si>
  <si>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</si>
  <si>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</si>
  <si>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</si>
  <si>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</si>
  <si>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</si>
  <si>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</si>
  <si>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</si>
  <si>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</si>
  <si>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</si>
  <si>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</si>
  <si>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</si>
  <si>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</si>
  <si>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</si>
  <si>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</si>
  <si>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</si>
  <si>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</si>
  <si>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</si>
  <si>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</si>
  <si>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</si>
  <si>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</si>
  <si>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</si>
  <si>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</si>
  <si>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</si>
  <si>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</si>
  <si>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</si>
  <si>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</si>
  <si>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</si>
  <si>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</si>
  <si>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</si>
  <si>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</si>
  <si>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Orig CO Name:Bankcard-8566 Orig ID:1592126793 Desc Date:210207 CO Entry</t>
  </si>
  <si>
    <t>Orig CO Name:Bankcard-8566 Orig ID:1592126793 Desc Date:210205 CO Entry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</si>
  <si>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</si>
  <si>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</si>
  <si>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</si>
  <si>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</si>
  <si>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</si>
  <si>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</si>
  <si>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</si>
  <si>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</si>
  <si>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</si>
  <si>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</si>
  <si>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</si>
  <si>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</si>
  <si>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</si>
  <si>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</si>
  <si>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</si>
  <si>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</si>
  <si>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</si>
  <si>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</si>
  <si>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</si>
  <si>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</si>
  <si>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</si>
  <si>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</si>
  <si>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</si>
  <si>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</si>
  <si>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</si>
  <si>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</si>
  <si>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</si>
  <si>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</si>
  <si>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</si>
  <si>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</si>
  <si>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</si>
  <si>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</si>
  <si>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</si>
  <si>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</si>
  <si>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</si>
  <si>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</si>
  <si>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</si>
  <si>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</si>
  <si>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</si>
  <si>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</si>
  <si>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</si>
  <si>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</si>
  <si>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</si>
  <si>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</si>
  <si>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</si>
  <si>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</si>
  <si>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</si>
  <si>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</si>
  <si>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</si>
  <si>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</si>
  <si>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</si>
  <si>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</si>
  <si>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</si>
  <si>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</si>
  <si>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</si>
  <si>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</si>
  <si>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</si>
  <si>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</si>
  <si>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</si>
  <si>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</si>
  <si>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</si>
  <si>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</si>
  <si>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</si>
  <si>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</si>
  <si>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</si>
  <si>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</si>
  <si>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</si>
  <si>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</si>
  <si>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</si>
  <si>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</si>
  <si>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</si>
  <si>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</si>
  <si>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</si>
  <si>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</si>
  <si>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</si>
  <si>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</si>
  <si>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</si>
  <si>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</si>
  <si>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</si>
  <si>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</si>
  <si>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</si>
  <si>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</si>
  <si>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</si>
  <si>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</si>
  <si>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</si>
  <si>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</si>
  <si>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</si>
  <si>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</si>
  <si>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</si>
  <si>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</si>
  <si>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</si>
  <si>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</si>
  <si>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</si>
  <si>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</si>
  <si>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</si>
  <si>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</si>
  <si>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</si>
  <si>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</si>
  <si>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</si>
  <si>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</si>
  <si>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</si>
  <si>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</si>
  <si>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</si>
  <si>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</si>
  <si>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</si>
  <si>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</si>
  <si>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</si>
  <si>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</si>
  <si>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</si>
  <si>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</si>
  <si>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</si>
  <si>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</si>
  <si>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</si>
  <si>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</si>
  <si>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</si>
  <si>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</si>
  <si>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</si>
  <si>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</si>
  <si>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</si>
  <si>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</si>
  <si>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</si>
  <si>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</si>
  <si>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</si>
  <si>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</si>
  <si>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</si>
  <si>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</si>
  <si>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</si>
  <si>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</si>
  <si>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</si>
  <si>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</si>
  <si>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</si>
  <si>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</si>
  <si>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</si>
  <si>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</si>
  <si>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</si>
  <si>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</si>
  <si>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</si>
  <si>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</si>
  <si>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</si>
  <si>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</si>
  <si>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</si>
  <si>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</si>
  <si>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</si>
  <si>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</si>
  <si>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</si>
  <si>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</si>
  <si>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</si>
  <si>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</si>
  <si>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</si>
  <si>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</si>
  <si>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</si>
  <si>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</si>
  <si>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</si>
  <si>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</si>
  <si>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</si>
  <si>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</si>
  <si>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</si>
  <si>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</si>
  <si>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</si>
  <si>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</si>
  <si>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</si>
  <si>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</si>
  <si>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</si>
  <si>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</si>
  <si>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</si>
  <si>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</si>
  <si>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</si>
  <si>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</si>
  <si>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</si>
  <si>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</si>
  <si>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</si>
  <si>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</si>
  <si>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</si>
  <si>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</si>
  <si>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</si>
  <si>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</si>
  <si>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</si>
  <si>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</si>
  <si>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</si>
  <si>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</si>
  <si>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</si>
  <si>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</si>
  <si>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</si>
  <si>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</si>
  <si>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</si>
  <si>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</si>
  <si>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</si>
  <si>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</si>
  <si>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</si>
  <si>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</si>
  <si>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</si>
  <si>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</si>
  <si>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</si>
  <si>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</si>
  <si>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</si>
  <si>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</si>
  <si>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</si>
  <si>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</si>
  <si>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</si>
  <si>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</si>
  <si>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</si>
  <si>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</si>
  <si>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</si>
  <si>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</si>
  <si>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</si>
  <si>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</si>
  <si>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</si>
  <si>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</si>
  <si>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</si>
  <si>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</si>
  <si>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</si>
  <si>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</si>
  <si>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</si>
  <si>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</si>
  <si>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</si>
  <si>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</si>
  <si>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</si>
  <si>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</si>
  <si>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</si>
  <si>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</si>
  <si>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</si>
  <si>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</si>
  <si>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</si>
  <si>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</si>
  <si>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</si>
  <si>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</si>
  <si>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</si>
  <si>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</si>
  <si>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</si>
  <si>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</si>
  <si>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</si>
  <si>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</si>
  <si>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</si>
  <si>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</si>
  <si>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</si>
  <si>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</si>
  <si>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</si>
  <si>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</si>
  <si>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</si>
  <si>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</si>
  <si>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</si>
  <si>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</si>
  <si>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</si>
  <si>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</si>
  <si>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</si>
  <si>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</si>
  <si>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</si>
  <si>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</si>
  <si>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</si>
  <si>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</si>
  <si>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</si>
  <si>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</si>
  <si>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</si>
  <si>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</si>
  <si>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</si>
  <si>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</si>
  <si>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</si>
  <si>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</si>
  <si>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</si>
  <si>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</si>
  <si>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</si>
  <si>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</si>
  <si>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</si>
  <si>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</si>
  <si>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Recurring Card Purchase 07/10 J2 Efax Services 323-817-3205 CA Card 0698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</si>
  <si>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</si>
  <si>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</si>
  <si>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</si>
  <si>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</si>
  <si>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</si>
  <si>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</si>
  <si>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</si>
  <si>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</si>
  <si>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</si>
  <si>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</si>
  <si>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</si>
  <si>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</si>
  <si>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</si>
  <si>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</si>
  <si>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</si>
  <si>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</si>
  <si>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</si>
  <si>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</si>
  <si>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</si>
  <si>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</si>
  <si>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</si>
  <si>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</si>
  <si>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</si>
  <si>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</si>
  <si>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</si>
  <si>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</si>
  <si>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</si>
  <si>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</si>
  <si>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</si>
  <si>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</si>
  <si>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</si>
  <si>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</si>
  <si>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</si>
  <si>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Recurring Card Purchase 08/10 Google *Google Storag 855-836-3987 CA Card 0698</t>
  </si>
  <si>
    <t>Orig CO Name:Bankcard-8566 Orig ID:1592126793 Desc Date:210809 CO Entry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</si>
  <si>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</si>
  <si>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</si>
  <si>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</si>
  <si>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</si>
  <si>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</si>
  <si>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</si>
  <si>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</si>
  <si>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</si>
  <si>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</si>
  <si>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</si>
  <si>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</si>
  <si>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</si>
  <si>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</si>
  <si>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</si>
  <si>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</si>
  <si>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</si>
  <si>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</si>
  <si>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</si>
  <si>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</si>
  <si>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</si>
  <si>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</si>
  <si>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</si>
  <si>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</si>
  <si>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</si>
  <si>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</si>
  <si>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</si>
  <si>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</si>
  <si>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</si>
  <si>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</si>
  <si>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</si>
  <si>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</si>
  <si>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</si>
  <si>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</si>
  <si>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</si>
  <si>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</si>
  <si>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</si>
  <si>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</si>
  <si>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</si>
  <si>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</si>
  <si>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</si>
  <si>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</si>
  <si>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</si>
  <si>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</si>
  <si>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</si>
  <si>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</si>
  <si>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</si>
  <si>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</si>
  <si>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</si>
  <si>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</si>
  <si>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</si>
  <si>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</si>
  <si>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</si>
  <si>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</si>
  <si>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</si>
  <si>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</si>
  <si>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</si>
  <si>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</si>
  <si>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</si>
  <si>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</si>
  <si>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</si>
  <si>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Orig CO Name:Bankcard-8566 Orig ID:1592126793 Desc Date:211010 CO Entry</t>
  </si>
  <si>
    <t>Orig CO Name:Bankcard-8566 Orig ID:1592126793 Desc Date:211008 CO Entry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</si>
  <si>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</si>
  <si>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</si>
  <si>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</si>
  <si>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</si>
  <si>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</si>
  <si>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</si>
  <si>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</si>
  <si>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</si>
  <si>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</si>
  <si>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</si>
  <si>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</si>
  <si>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</si>
  <si>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</si>
  <si>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</si>
  <si>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</si>
  <si>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</si>
  <si>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</si>
  <si>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</si>
  <si>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</si>
  <si>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</si>
  <si>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</si>
  <si>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</si>
  <si>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</si>
  <si>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</si>
  <si>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</si>
  <si>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</si>
  <si>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</si>
  <si>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</si>
  <si>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</si>
  <si>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</si>
  <si>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</si>
  <si>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</si>
  <si>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</si>
  <si>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</si>
  <si>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</si>
  <si>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</si>
  <si>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</si>
  <si>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</si>
  <si>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</si>
  <si>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</si>
  <si>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</si>
  <si>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</si>
  <si>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</si>
  <si>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</si>
  <si>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</si>
  <si>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</si>
  <si>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</si>
  <si>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</si>
  <si>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</si>
  <si>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</si>
  <si>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</si>
  <si>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</si>
  <si>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</si>
  <si>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</si>
  <si>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</si>
  <si>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</si>
  <si>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</si>
  <si>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</si>
  <si>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</si>
  <si>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</si>
  <si>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</si>
  <si>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</si>
  <si>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</si>
  <si>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</si>
  <si>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</si>
  <si>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</si>
  <si>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</si>
  <si>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</si>
  <si>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</si>
  <si>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</si>
  <si>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</si>
  <si>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</si>
  <si>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</si>
  <si>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</si>
  <si>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</si>
  <si>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</si>
  <si>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</si>
  <si>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</si>
  <si>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</si>
  <si>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</si>
  <si>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</si>
  <si>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</si>
  <si>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</si>
  <si>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</si>
  <si>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</si>
  <si>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</si>
  <si>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</si>
  <si>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Orig CO Name:Bankcard-8566 Orig ID:1592126793 Desc Date:220110 CO Entry</t>
  </si>
  <si>
    <t>Orig CO Name:Bankcard-8566 Orig ID:1592126793 Desc Date:220111 CO Entry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</si>
  <si>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</si>
  <si>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</si>
  <si>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</si>
  <si>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</si>
  <si>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</si>
  <si>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</si>
  <si>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</si>
  <si>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</si>
  <si>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</si>
  <si>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</si>
  <si>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</si>
  <si>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</si>
  <si>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</si>
  <si>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</si>
  <si>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</si>
  <si>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</si>
  <si>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</si>
  <si>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</si>
  <si>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</si>
  <si>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</si>
  <si>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</si>
  <si>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</si>
  <si>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</si>
  <si>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</si>
  <si>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</si>
  <si>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</si>
  <si>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</si>
  <si>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</si>
  <si>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</si>
  <si>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</si>
  <si>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</si>
  <si>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</si>
  <si>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</si>
  <si>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</si>
  <si>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</si>
  <si>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</si>
  <si>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</si>
  <si>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</si>
  <si>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</si>
  <si>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</si>
  <si>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</si>
  <si>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</si>
  <si>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</si>
  <si>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</si>
  <si>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</si>
  <si>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</si>
  <si>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</si>
  <si>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</si>
  <si>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</si>
  <si>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</si>
  <si>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</si>
  <si>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</si>
  <si>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</si>
  <si>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</si>
  <si>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</si>
  <si>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</si>
  <si>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</si>
  <si>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</si>
  <si>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</si>
  <si>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</si>
  <si>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</si>
  <si>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</si>
  <si>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</si>
  <si>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</si>
  <si>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</si>
  <si>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</si>
  <si>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</si>
  <si>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</si>
  <si>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</si>
  <si>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</si>
  <si>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</si>
  <si>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</si>
  <si>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</si>
  <si>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</si>
  <si>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</si>
  <si>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</si>
  <si>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</si>
  <si>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</si>
  <si>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</si>
  <si>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</si>
  <si>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</si>
  <si>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</si>
  <si>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</si>
  <si>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</si>
  <si>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</si>
  <si>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</si>
  <si>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</si>
  <si>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</si>
  <si>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</si>
  <si>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</si>
  <si>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</si>
  <si>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</si>
  <si>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</si>
  <si>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Date:220304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</si>
  <si>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</si>
  <si>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</si>
  <si>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Date:220310 CO Entry</t>
  </si>
  <si>
    <t>Orig CO Name:Bankcard-8566 Orig ID:1592126793 Desc Date:220311 CO Entry</t>
  </si>
  <si>
    <t>Orig CO Name:Esli Sugich Musi Orig ID:9215986202 Desc Date:220312 CO Entry</t>
  </si>
  <si>
    <t>Recurring Card Purchase 03/15 Reattendance Ltd Banbury Card 4199</t>
  </si>
  <si>
    <t>Recurring Card Purchase 03/17 Google *Google Storag 855-836-3987 CA Card 4199</t>
  </si>
  <si>
    <t>Orig CO Name:Bankcard-8566 Orig ID:1592126793 Desc Date:220320 CO Entry</t>
  </si>
  <si>
    <t>Orig CO Name:Bankcard-8566 Orig ID:1592126793 Desc Date:220328 CO Entry</t>
  </si>
  <si>
    <t>Zelle Payment To Janet Benson, Inc. 14003469734</t>
  </si>
  <si>
    <t>Zelle Payment To Seija Rankin 14003522334</t>
  </si>
  <si>
    <t>04/01 Online Domestic Wire Transfer Via: Citizens Bank, NA/011500120 A/C: Aba/211070175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</si>
  <si>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</si>
  <si>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</si>
  <si>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</si>
  <si>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</si>
  <si>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</si>
  <si>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</si>
  <si>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</si>
  <si>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Orig CO Name:Bankcard-8566 Orig ID:1592126793 Desc Date:220403 CO Entry</t>
  </si>
  <si>
    <t>Recurring Card Purchase 04/02 Eig*Constantcontact.CO 855-2295506 MA Card 4199</t>
  </si>
  <si>
    <t>Orig CO Name:Bankcard-8566 Orig ID:1592126793 Desc Date:220331 CO Entry</t>
  </si>
  <si>
    <t>Recurring Card Purchase 04/01 Linode 855-454-6633 PA Card 4199</t>
  </si>
  <si>
    <t>Orig CO Name:Bankcard-8566 Orig ID:1592126793 Desc Date:220404 CO Entry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</si>
  <si>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</si>
  <si>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</si>
  <si>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</si>
  <si>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</si>
  <si>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</si>
  <si>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</si>
  <si>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</si>
  <si>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</si>
  <si>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</si>
  <si>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</si>
  <si>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</si>
  <si>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</si>
  <si>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</si>
  <si>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</si>
  <si>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</si>
  <si>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</si>
  <si>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</si>
  <si>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</si>
  <si>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</si>
  <si>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</si>
  <si>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</si>
  <si>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</si>
  <si>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</si>
  <si>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</si>
  <si>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</si>
  <si>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</si>
  <si>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</si>
  <si>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</si>
  <si>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</si>
  <si>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</si>
  <si>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</si>
  <si>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</si>
  <si>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</si>
  <si>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</si>
  <si>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</si>
  <si>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</si>
  <si>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</si>
  <si>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</si>
  <si>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</si>
  <si>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</si>
  <si>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</si>
  <si>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</si>
  <si>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</si>
  <si>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</si>
  <si>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</si>
  <si>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</si>
  <si>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</si>
  <si>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</si>
  <si>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</si>
  <si>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</si>
  <si>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</si>
  <si>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</si>
  <si>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</si>
  <si>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</si>
  <si>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</si>
  <si>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</si>
  <si>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</si>
  <si>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</si>
  <si>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</si>
  <si>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</si>
  <si>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</si>
  <si>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</si>
  <si>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</si>
  <si>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</si>
  <si>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</si>
  <si>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</si>
  <si>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</si>
  <si>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</si>
  <si>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</si>
  <si>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</si>
  <si>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</si>
  <si>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</si>
  <si>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</si>
  <si>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Orig CO Name:Bankcard-8566 Orig ID:1592126793 Desc Date:220704 CO Entry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</si>
  <si>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</si>
  <si>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</si>
  <si>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</si>
  <si>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</si>
  <si>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</si>
  <si>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</si>
  <si>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</si>
  <si>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</si>
  <si>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</si>
  <si>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</si>
  <si>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</si>
  <si>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</si>
  <si>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</si>
  <si>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</si>
  <si>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</si>
  <si>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</si>
  <si>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</si>
  <si>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</si>
  <si>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</si>
  <si>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</si>
  <si>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</si>
  <si>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</si>
  <si>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</si>
  <si>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</si>
  <si>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</si>
  <si>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</si>
  <si>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</si>
  <si>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</si>
  <si>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</si>
  <si>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</si>
  <si>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</si>
  <si>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</si>
  <si>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</si>
  <si>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</si>
  <si>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</si>
  <si>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</si>
  <si>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</si>
  <si>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</si>
  <si>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</si>
  <si>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</si>
  <si>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</si>
  <si>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</si>
  <si>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</si>
  <si>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</si>
  <si>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</si>
  <si>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</si>
  <si>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Date:220810 CO Entry</t>
  </si>
  <si>
    <t>Orig CO Name:Bankcard-8566 Orig ID:1592126793 Desc Date:220814 CO Entry</t>
  </si>
  <si>
    <t>Recurring Card Purchase 08/15 Reattendance Ltd Banbury Card 4199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</si>
  <si>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</si>
  <si>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</si>
  <si>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</si>
  <si>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</si>
  <si>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</si>
  <si>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</si>
  <si>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</si>
  <si>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</si>
  <si>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</si>
  <si>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</si>
  <si>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</si>
  <si>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</si>
  <si>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</si>
  <si>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</si>
  <si>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</si>
  <si>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</si>
  <si>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</si>
  <si>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</si>
  <si>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</si>
  <si>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</si>
  <si>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</si>
  <si>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</si>
  <si>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</si>
  <si>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</si>
  <si>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</si>
  <si>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</si>
  <si>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</si>
  <si>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</si>
  <si>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</si>
  <si>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</si>
  <si>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</si>
  <si>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</si>
  <si>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</si>
  <si>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</si>
  <si>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</si>
  <si>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</si>
  <si>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</si>
  <si>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</si>
  <si>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</si>
  <si>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</si>
  <si>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</si>
  <si>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</si>
  <si>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</si>
  <si>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</si>
  <si>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</si>
  <si>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</si>
  <si>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</si>
  <si>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</si>
  <si>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</si>
  <si>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</si>
  <si>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</si>
  <si>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</si>
  <si>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</si>
  <si>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</si>
  <si>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</si>
  <si>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</si>
  <si>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</si>
  <si>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</si>
  <si>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</si>
  <si>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</si>
  <si>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</si>
  <si>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</si>
  <si>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</si>
  <si>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</si>
  <si>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</si>
  <si>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</si>
  <si>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</si>
  <si>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</si>
  <si>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Orig CO Name:Harpercollins-Ha       Orig ID:5568227951 Desc Date:221101 CO Entry</t>
  </si>
  <si>
    <t>Orig CO Name:Bankcard-8566          Orig ID:1592126793 Desc Date:221031 CO Entry</t>
  </si>
  <si>
    <t>Orig CO Name:Bankcard-8566          Orig ID:1592126793 Desc Date:221101 CO Entry</t>
  </si>
  <si>
    <t>Orig CO Name:Bankcard-8566          Orig ID:1592126793 Desc Date:221102 CO Entry</t>
  </si>
  <si>
    <t>Orig CO Name:Bankcard-8566          Orig ID:1592126793 Desc Date:221103 CO Entry</t>
  </si>
  <si>
    <t>Orig CO Name:Bankcard-8566          Orig ID:1592126793 Desc Date:221104 CO Entry</t>
  </si>
  <si>
    <t>Orig CO Name:Bankcard-8566          Orig ID:1592126793 Desc Date:221106 CO Entry</t>
  </si>
  <si>
    <t>Orig CO Name:Bankcard-8566          Orig ID:1592126793 Desc Date:221107 CO Entry</t>
  </si>
  <si>
    <t>Orig CO Name:Bankcard-8566          Orig ID:1592126793 Desc Date:221108 CO Entry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</si>
  <si>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</si>
  <si>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</si>
  <si>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</si>
  <si>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</si>
  <si>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Orig CO Name:Bankcard-8566          Orig ID:1592126793 Desc Date:221114 CO Entry</t>
  </si>
  <si>
    <t>Orig CO Name:Bankcard-8566          Orig ID:1592126793 Desc Date:221116 CO Entry</t>
  </si>
  <si>
    <t>Orig CO Name:Bankcard-8566          Orig ID:1592126793 Desc Date:221117 CO Entry</t>
  </si>
  <si>
    <t>Orig CO Name:Bankcard-8566          Orig ID:1592126793 Desc Date:221120 CO Entry</t>
  </si>
  <si>
    <t>Orig CO Name:Bankcard-8566          Orig ID:1592126793 Desc Date:221121 CO Entry</t>
  </si>
  <si>
    <t>Orig CO Name:Wise Inc               Orig ID:453233521  Desc Date:221122 CO Entry Descr:A</t>
  </si>
  <si>
    <t>Orig CO Name:Bankcard-8566          Orig ID:1592126793 Desc Date:221122 CO Entry</t>
  </si>
  <si>
    <t>Orig CO Name:Overdrive              Orig ID:9111052000 Desc Date:       CO Entry</t>
  </si>
  <si>
    <t>Orig CO Name:Bankcard-8566          Orig ID:1592126793 Desc Date:221127 CO Entry</t>
  </si>
  <si>
    <t>Orig CO Name:Bankcard-8566          Orig ID:1592126793 Desc Date:221128 CO Entry</t>
  </si>
  <si>
    <t>Recurring Card Purchase 11/01 Linode . Akamai 609-380-7100 PA Card 4199</t>
  </si>
  <si>
    <t>Recurring Card Purchase 11/02 Eig*Constantcontact.CO 855-2295506 MA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</si>
  <si>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</si>
  <si>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</si>
  <si>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</si>
  <si>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Bankcard-8566 Mtot Dep</t>
  </si>
  <si>
    <t>Podium Publishing Bill.Com</t>
  </si>
  <si>
    <t>Remote Online Deposit</t>
  </si>
  <si>
    <t>Online Transfer From Chk ...7365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</si>
  <si>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</si>
  <si>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</si>
  <si>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</si>
  <si>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</si>
  <si>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</si>
  <si>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</si>
  <si>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</si>
  <si>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</si>
  <si>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</si>
  <si>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</si>
  <si>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</si>
  <si>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</si>
  <si>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</si>
  <si>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</si>
  <si>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Orig CO Name:Bankcard-8566          Orig ID:1592126793 Desc Date:230103 CO Entry</t>
  </si>
  <si>
    <t>Orig CO Name:Bankcard-8566          Orig ID:1592126793 Desc Date:230104 CO Entry</t>
  </si>
  <si>
    <t>Orig CO Name:Bankcard-8566          Orig ID:1592126793 Desc Date:230105 CO Entry</t>
  </si>
  <si>
    <t>Orig CO Name:Bankcard-8566          Orig ID:1592126793 Desc Date:230115 CO Entry</t>
  </si>
  <si>
    <t>Orig CO Name:Bankcard-8566          Orig ID:1592126793 Desc Date:230116 CO Entry</t>
  </si>
  <si>
    <t>Orig CO Name:Bankcard-8566          Orig ID:1592126793 Desc Date:230117 CO Entry</t>
  </si>
  <si>
    <t>Orig CO Name:Bankcard-8566          Orig ID:1592126793 Desc Date:230118 CO Entry</t>
  </si>
  <si>
    <t>Orig CO Name:Bankcard-8566          Orig ID:1592126793 Desc Date:230119 CO Entry</t>
  </si>
  <si>
    <t>Orig CO Name:Bankcard-8566          Orig ID:1592126793 Desc Date:230122 CO Entry</t>
  </si>
  <si>
    <t>Orig CO Name:Bankcard-8566          Orig ID:1592126793 Desc Date:230120 CO Entry</t>
  </si>
  <si>
    <t>Orig CO Name:Bankcard-8566          Orig ID:1592126793 Desc Date:230123 CO Entry</t>
  </si>
  <si>
    <t>Orig CO Name:Bankcard-8566          Orig ID:1592126793 Desc Date:230124 CO Entry</t>
  </si>
  <si>
    <t>Orig CO Name:Bankcard-8566          Orig ID:1592126793 Desc Date:230126 CO Entry</t>
  </si>
  <si>
    <t>Orig CO Name:Bankcard-8566          Orig ID:1592126793 Desc Date:230127 CO Entry</t>
  </si>
  <si>
    <t>Orig CO Name:Bankcard-8566          Orig ID:1592126793 Desc Date:230129 CO Entry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</si>
  <si>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</si>
  <si>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</si>
  <si>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</si>
  <si>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</si>
  <si>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01/17 Online Transfer To Chk ...7365 Transaction#: 16311160277</t>
  </si>
  <si>
    <t>01/17 Online Domestic Wire Transfer Via: Cy Natl Bk LA/122016066 A/C: United Talent Agency</t>
  </si>
  <si>
    <t>Orig CO Name:Bankcard-8566          Orig ID:1592126793 Desc Date:230131 CO Entry</t>
  </si>
  <si>
    <t>Orig CO Name:Bankcard-8566          Orig ID:1592126793 Desc Date:230201 CO Entry</t>
  </si>
  <si>
    <t>Orig CO Name:Bankcard-8566          Orig ID:1592126793 Desc Date:230209 CO Entry</t>
  </si>
  <si>
    <t>Orig CO Name:Bankcard-8566          Orig ID:1592126793 Desc Date:230212 CO Entry</t>
  </si>
  <si>
    <t>Orig CO Name:Bankcard-8566          Orig ID:1592126793 Desc Date:230213 CO Entry</t>
  </si>
  <si>
    <t>Orig CO Name:Bankcard-8566          Orig ID:1592126793 Desc Date:230215 CO Entry</t>
  </si>
  <si>
    <t>Orig CO Name:Bankcard-8566          Orig ID:1592126793 Desc Date:230219 CO Entry</t>
  </si>
  <si>
    <t>Orig CO Name:Bankcard-8566          Orig ID:1592126793 Desc Date:230220 CO Entry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</si>
  <si>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</si>
  <si>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</si>
  <si>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</si>
  <si>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</si>
  <si>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</si>
  <si>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</si>
  <si>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</si>
  <si>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</si>
  <si>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Orig CO Name:Bankcard-8566          Orig ID:1592126793 Desc Date:230301 CO Entry</t>
  </si>
  <si>
    <t>Orig CO Name:Bankcard-8566          Orig ID:1592126793 Desc Date:230302 CO Entry</t>
  </si>
  <si>
    <t>Orig CO Name:Bankcard-8566          Orig ID:1592126793 Desc Date:230305 CO Entry</t>
  </si>
  <si>
    <t>Orig CO Name:Bankcard-8566          Orig ID:1592126793 Desc Date:230306 CO Entry</t>
  </si>
  <si>
    <t>Orig CO Name:Bankcard-8566          Orig ID:1592126793 Desc Date:230307 CO Entry</t>
  </si>
  <si>
    <t>Orig CO Name:Bankcard-8566          Orig ID:1592126793 Desc Date:230308 CO Entry</t>
  </si>
  <si>
    <t>Orig CO Name:Bankcard-8566          Orig ID:1592126793 Desc Date:230309 CO Entry</t>
  </si>
  <si>
    <t>Orig CO Name:Bankcard-8566          Orig ID:1592126793 Desc Date:230312 CO Entry</t>
  </si>
  <si>
    <t>Orig CO Name:Bankcard-8566          Orig ID:1592126793 Desc Date:230310 CO Entry</t>
  </si>
  <si>
    <t>Orig CO Name:Bankcard-8566          Orig ID:1592126793 Desc Date:230313 CO Entry</t>
  </si>
  <si>
    <t>Orig CO Name:Bankcard-8566          Orig ID:1592126793 Desc Date:230314 CO Entry</t>
  </si>
  <si>
    <t>Orig CO Name:Bankcard-8566          Orig ID:1592126793 Desc Date:230315 CO Entry</t>
  </si>
  <si>
    <t>Orig CO Name:Bankcard-8566          Orig ID:1592126793 Desc Date:230316 CO Entry</t>
  </si>
  <si>
    <t>Orig CO Name:Bankcard-8566          Orig ID:1592126793 Desc Date:230317 CO Entry</t>
  </si>
  <si>
    <t>Orig CO Name:Bankcard-8566          Orig ID:1592126793 Desc Date:230319 CO Entry</t>
  </si>
  <si>
    <t>Book Transfer Credit B/O: Zebralution U.S. Inc. Los Angeles CA 90021-1281 US Ref:</t>
  </si>
  <si>
    <t>Orig CO Name:Bankcard-8566          Orig ID:1592126793 Desc Date:230320 CO Entry</t>
  </si>
  <si>
    <t>Orig CO Name:Bankcard-8566          Orig ID:1592126793 Desc Date:230321 CO Entry</t>
  </si>
  <si>
    <t>Orig CO Name:Bankcard-8566          Orig ID:1592126793 Desc Date:230322 CO Entry</t>
  </si>
  <si>
    <t>Orig CO Name:Bankcard-8566          Orig ID:1592126793 Desc Date:230323 CO Entry</t>
  </si>
  <si>
    <t>Orig CO Name:Bankcard-8566          Orig ID:1592126793 Desc Date:230324 CO Entry</t>
  </si>
  <si>
    <t>Orig CO Name:Bankcard-8566          Orig ID:1592126793 Desc Date:230326 CO Entry</t>
  </si>
  <si>
    <t>Orig CO Name:Bankcard-8566          Orig ID:1592126793 Desc Date:230327 CO Entry</t>
  </si>
  <si>
    <t>Orig CO Name:Bankcard-8566          Orig ID:1592126793 Desc Date:230328 CO Entry</t>
  </si>
  <si>
    <t>Orig CO Name:Bankcard-8566          Orig ID:1592126793 Desc Date:230329 CO Entry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</si>
  <si>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</si>
  <si>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</si>
  <si>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</si>
  <si>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</si>
  <si>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</si>
  <si>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</si>
  <si>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</si>
  <si>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</si>
  <si>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</si>
  <si>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</si>
  <si>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</si>
  <si>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</si>
  <si>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</si>
  <si>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</si>
  <si>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</si>
  <si>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</si>
  <si>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</si>
  <si>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</si>
  <si>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</si>
  <si>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</si>
  <si>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</si>
  <si>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</si>
  <si>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</si>
  <si>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</si>
  <si>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</si>
  <si>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</si>
  <si>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</si>
  <si>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</si>
  <si>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</si>
  <si>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</si>
  <si>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</si>
  <si>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</si>
  <si>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</si>
  <si>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</si>
  <si>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</si>
  <si>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</si>
  <si>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</si>
  <si>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</si>
  <si>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</si>
  <si>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</si>
  <si>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</si>
  <si>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Orig CO Name:Bankcard-8566          Orig ID:1592126793 Desc Date:230228 CO Entry</t>
  </si>
  <si>
    <t>03/13 Online Transfer To Mma ...5639 Transaction#: 16811563126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</si>
  <si>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</si>
  <si>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</si>
  <si>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</si>
  <si>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</si>
  <si>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</si>
  <si>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</si>
  <si>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</si>
  <si>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</si>
  <si>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</si>
  <si>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Orig CO Name:Bankcard-8566          Orig ID:1592126793 Desc Date:230331 CO Entry</t>
  </si>
  <si>
    <t>Orig CO Name:Bankcard-8566          Orig ID:1592126793 Desc Date:230402 CO Entry</t>
  </si>
  <si>
    <t>Orig CO Name:Bankcard-8566          Orig ID:1592126793 Desc Date:230405 CO Entry</t>
  </si>
  <si>
    <t>Orig CO Name:Bankcard-8566          Orig ID:1592126793 Desc Date:230406 CO Entry</t>
  </si>
  <si>
    <t>Orig CO Name:Bankcard-8566          Orig ID:1592126793 Desc Date:230409 CO Entry</t>
  </si>
  <si>
    <t>Orig CO Name:Bankcard-8566          Orig ID:1592126793 Desc Date:230407 CO Entry</t>
  </si>
  <si>
    <t>Orig CO Name:Bankcard-8566          Orig ID:1592126793 Desc Date:230411 CO Entry</t>
  </si>
  <si>
    <t>Orig CO Name:Bankcard-8566          Orig ID:1592126793 Desc Date:230412 CO Entry</t>
  </si>
  <si>
    <t>Orig CO Name:Bankcard-8566          Orig ID:1592126793 Desc Date:230413 CO Entry</t>
  </si>
  <si>
    <t>Orig CO Name:Bankcard-8566          Orig ID:1592126793 Desc Date:230414 CO Entry</t>
  </si>
  <si>
    <t>Orig CO Name:Bankcard-8566          Orig ID:1592126793 Desc Date:230416 CO Entry</t>
  </si>
  <si>
    <t>Orig CO Name:Bankcard-8566          Orig ID:1592126793 Desc Date:230418 CO Entry</t>
  </si>
  <si>
    <t>Orig CO Name:Bankcard-8566          Orig ID:1592126793 Desc Date:230420 CO Entry</t>
  </si>
  <si>
    <t>Orig CO Name:Bankcard-8566          Orig ID:1592126793 Desc Date:230423 CO Entry</t>
  </si>
  <si>
    <t>Orig CO Name:Bankcard-8566          Orig ID:1592126793 Desc Date:230424 CO Entry</t>
  </si>
  <si>
    <t>Orig CO Name:Bankcard-8566          Orig ID:1592126793 Desc Date:230425 CO Entry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</si>
  <si>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</si>
  <si>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</si>
  <si>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</si>
  <si>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</si>
  <si>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</si>
  <si>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</si>
  <si>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Recurring Card Purchase 04/17 Google *Google Storag 855-836-3987 CA Card 4199</t>
  </si>
  <si>
    <t>Card Purchase           04/17 Fedex571433628 800-4633339 TN Card 4199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</si>
  <si>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</si>
  <si>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</si>
  <si>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</si>
  <si>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</si>
  <si>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</si>
  <si>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</si>
  <si>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Orig CO Name:Bankcard-8566          Orig ID:1592126793 Desc Date:230428 CO Entry</t>
  </si>
  <si>
    <t>Orig CO Name:Bankcard-8566          Orig ID:1592126793 Desc Date:230430 CO Entry</t>
  </si>
  <si>
    <t>Orig CO Name:Bankcard-8566          Orig ID:1592126793 Desc Date:230502 CO Entry</t>
  </si>
  <si>
    <t>Orig CO Name:Bankcard-8566          Orig ID:1592126793 Desc Date:230503 CO Entry</t>
  </si>
  <si>
    <t>Orig CO Name:Bankcard-8566          Orig ID:1592126793 Desc Date:230504 CO Entry</t>
  </si>
  <si>
    <t>Orig CO Name:Bankcard-8566          Orig ID:1592126793 Desc Date:230507 CO Entry</t>
  </si>
  <si>
    <t>Orig CO Name:Bankcard-8566          Orig ID:1592126793 Desc Date:230505 CO Entry</t>
  </si>
  <si>
    <t>Orig CO Name:Bankcard-8566          Orig ID:1592126793 Desc Date:230509 CO Entry</t>
  </si>
  <si>
    <t>Orig CO Name:Bankcard-8566          Orig ID:1592126793 Desc Date:230511 CO Entry</t>
  </si>
  <si>
    <t>Orig CO Name:Bankcard-8566          Orig ID:1592126793 Desc Date:230512 CO Entry</t>
  </si>
  <si>
    <t>Orig CO Name:Bankcard-8566          Orig ID:1592126793 Desc Date:230516 CO Entry</t>
  </si>
  <si>
    <t>Orig CO Name:Bankcard-8566          Orig ID:1592126793 Desc Date:230521 CO Entry</t>
  </si>
  <si>
    <t>Orig CO Name:Spotify Iso            Orig ID:4284601835 Desc Date:230523 CO Entry</t>
  </si>
  <si>
    <t>Orig CO Name:Bankcard-8566          Orig ID:1592126793 Desc Date:230523 CO Entry</t>
  </si>
  <si>
    <t>Orig CO Name:Bankcard-8566          Orig ID:1592126793 Desc Date:230525 CO Entry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</si>
  <si>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</si>
  <si>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</si>
  <si>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</si>
  <si>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</si>
  <si>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</si>
  <si>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</si>
  <si>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</si>
  <si>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</si>
  <si>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</si>
  <si>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</si>
  <si>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</si>
  <si>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Orig CO Name:Lthj Global            Orig ID:9215986202 Desc Date:230506 CO Entry Descr:Sale</t>
  </si>
  <si>
    <t>Orig CO Name:Granite Insuranc       Orig ID:2472319830 Desc Date:230509 CO Entry</t>
  </si>
  <si>
    <t>Zelle Payment To Janet Benson, Inc. 17397811162</t>
  </si>
  <si>
    <t>05/30 Online International Wire Transfer A/C: Coutts And CO Essex United Kingdom Sso O-Ej</t>
  </si>
  <si>
    <t>Orig CO Name:Bankcard-8566          Orig ID:1592126793 Desc Date:230531 CO Entry</t>
  </si>
  <si>
    <t>Orig CO Name:Bankcard-8566          Orig ID:1592126793 Desc Date:230601 CO Entry</t>
  </si>
  <si>
    <t>Orig CO Name:Bankcard-8566          Orig ID:1592126793 Desc Date:230604 CO Entry</t>
  </si>
  <si>
    <t>Orig CO Name:Bankcard-8566          Orig ID:1592126793 Desc Date:230602 CO Entry</t>
  </si>
  <si>
    <t>Orig CO Name:Bankcard-8566          Orig ID:1592126793 Desc Date:230606 CO Entry</t>
  </si>
  <si>
    <t>Orig CO Name:Bankcard-8566          Orig ID:1592126793 Desc Date:230607 CO Entry</t>
  </si>
  <si>
    <t>Orig CO Name:Bankcard-8566          Orig ID:1592126793 Desc Date:230608 CO Entry</t>
  </si>
  <si>
    <t>Orig CO Name:Bankcard-8566          Orig ID:1592126793 Desc Date:230611 CO Entry</t>
  </si>
  <si>
    <t>Orig CO Name:Bankcard-8566          Orig ID:1592126793 Desc Date:230609 CO Entry</t>
  </si>
  <si>
    <t>Orig CO Name:Bankcard-8566          Orig ID:1592126793 Desc Date:230613 CO Entry</t>
  </si>
  <si>
    <t>Orig CO Name:Bankcard-8566          Orig ID:1592126793 Desc Date:230614 CO Entry</t>
  </si>
  <si>
    <t>Orig CO Name:Bankcard-8566          Orig ID:1592126793 Desc Date:230615 CO Entry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</si>
  <si>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</si>
  <si>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</si>
  <si>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</si>
  <si>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Orig CO Name:Bankcard-8566          Orig ID:1592126793 Desc Date:230620 CO Entry</t>
  </si>
  <si>
    <t>Orig CO Name:Bankcard-8566          Orig ID:1592126793 Desc Date:230621 CO Entry</t>
  </si>
  <si>
    <t>Orig CO Name:Bankcard-8566          Orig ID:1592126793 Desc Date:230622 CO Entry</t>
  </si>
  <si>
    <t>Orig CO Name:Bankcard-8566          Orig ID:1592126793 Desc Date:230623 CO Entry</t>
  </si>
  <si>
    <t>Orig CO Name:Bankcard-8566          Orig ID:1592126793 Desc Date:230625 CO Entry</t>
  </si>
  <si>
    <t>Orig CO Name:Bankcard-8566          Orig ID:1592126793 Desc Date:230626 CO Entry</t>
  </si>
  <si>
    <t>Orig CO Name:Bankcard-8566          Orig ID:1592126793 Desc Date:230627 CO Entry</t>
  </si>
  <si>
    <t>Orig CO Name:Bankcard-8566          Orig ID:1592126793 Desc Date:230628 CO Entry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</si>
  <si>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</si>
  <si>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</si>
  <si>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</si>
  <si>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</si>
  <si>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</si>
  <si>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</si>
  <si>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</si>
  <si>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</si>
  <si>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</si>
  <si>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Orig CO Name:Branch &amp; Bramble       Orig ID:9215986202 Desc Date:230603 CO Entry</t>
  </si>
  <si>
    <t>06/14 Online Transfer To Chk ...7365 Transaction#: 17621493486</t>
  </si>
  <si>
    <t>Orig CO Name:Bankcard-8566          Orig ID:1592126793 Desc Date:230702 CO Entry</t>
  </si>
  <si>
    <t>Orig CO Name:Bankcard-8566          Orig ID:1592126793 Desc Date:230630 CO Entry</t>
  </si>
  <si>
    <t>Orig CO Name:Bankcard-8566          Orig ID:1592126793 Desc Date:230704 CO Entry</t>
  </si>
  <si>
    <t>Orig CO Name:Bankcard-8566          Orig ID:1592126793 Desc Date:230703 CO Entry</t>
  </si>
  <si>
    <t>Orig CO Name:Bankcard-8566          Orig ID:1592126793 Desc Date:230705 CO Entry</t>
  </si>
  <si>
    <t>Orig CO Name:Bankcard-8566          Orig ID:1592126793 Desc Date:230706 CO Entry</t>
  </si>
  <si>
    <t>Orig CO Name:Bankcard-8566          Orig ID:1592126793 Desc Date:230709 CO Entry</t>
  </si>
  <si>
    <t>Orig CO Name:Bankcard-8566          Orig ID:1592126793 Desc Date:230707 CO Entry</t>
  </si>
  <si>
    <t>Orig CO Name:Bankcard-8566          Orig ID:1592126793 Desc Date:230710 CO Entry</t>
  </si>
  <si>
    <t>Card Purchase Return    07/11 Google*Ads2117630056 Cc Google.Com CA Card 4199</t>
  </si>
  <si>
    <t>Orig CO Name:Bankcard-8566          Orig ID:1592126793 Desc Date:230711 CO Entry</t>
  </si>
  <si>
    <t>Orig CO Name:Bankcard-8566          Orig ID:1592126793 Desc Date:230712 CO Entry</t>
  </si>
  <si>
    <t>Orig CO Name:Bankcard-8566          Orig ID:1592126793 Desc Date:230713 CO Entry</t>
  </si>
  <si>
    <t>Orig CO Name:Bankcard-8566          Orig ID:1592126793 Desc Date:230716 CO Entry</t>
  </si>
  <si>
    <t>Orig CO Name:Bankcard-8566          Orig ID:1592126793 Desc Date:230714 CO Entry</t>
  </si>
  <si>
    <t>Orig CO Name:Bankcard-8566          Orig ID:1592126793 Desc Date:230717 CO Entry</t>
  </si>
  <si>
    <t>Orig CO Name:Bankcard-8566          Orig ID:1592126793 Desc Date:230718 CO Entry</t>
  </si>
  <si>
    <t>Orig CO Name:Bankcard-8566          Orig ID:1592126793 Desc Date:230719 CO Entry</t>
  </si>
  <si>
    <t>Orig CO Name:Bankcard-8566          Orig ID:1592126793 Desc Date:230720 CO Entry</t>
  </si>
  <si>
    <t>Orig CO Name:Bankcard-8566          Orig ID:1592126793 Desc Date:230723 CO Entry</t>
  </si>
  <si>
    <t>Orig CO Name:Bankcard-8566          Orig ID:1592126793 Desc Date:230721 CO Entry</t>
  </si>
  <si>
    <t>Orig CO Name:Bankcard-8566          Orig ID:1592126793 Desc Date:230725 CO Entry</t>
  </si>
  <si>
    <t>Orig CO Name:Bankcard-8566          Orig ID:1592126793 Desc Date:230726 CO Entry</t>
  </si>
  <si>
    <t>Orig CO Name:Bankcard-8566          Orig ID:1592126793 Desc Date:230727 CO Entry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</si>
  <si>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</si>
  <si>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</si>
  <si>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</si>
  <si>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Expense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</si>
  <si>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</si>
  <si>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</si>
  <si>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</si>
  <si>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</si>
  <si>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07/13 Online Transfer To Chk ...7365 Transaction#: 17874953601</t>
  </si>
  <si>
    <t>07/13 Online ACH Payment 11024509479 To Michelecobb (_######6800)</t>
  </si>
  <si>
    <t>07/13 Online ACH Payment 11024509696 To Baileyduquette (_######9908)</t>
  </si>
  <si>
    <t>Orig CO Name:Bankcard-8566          Orig ID:1592126793 Desc Date:230731 CO Entry</t>
  </si>
  <si>
    <t>Orig CO Name:Bankcard-8566          Orig ID:1592126793 Desc Date:230801 CO Entry</t>
  </si>
  <si>
    <t>Orig CO Name:Bankcard-8566          Orig ID:1592126793 Desc Date:230802 CO Entry</t>
  </si>
  <si>
    <t>Orig CO Name:Bankcard-8566          Orig ID:1592126793 Desc Date:230803 CO Entry</t>
  </si>
  <si>
    <t>Orig CO Name:Bankcard-8566          Orig ID:1592126793 Desc Date:230806 CO Entry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</si>
  <si>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</si>
  <si>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</si>
  <si>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</si>
  <si>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Orig CO Name:Bankcard-8566          Orig ID:1592126793 Desc Date:230809 CO Entry</t>
  </si>
  <si>
    <t>Orig CO Name:Bankcard-8566          Orig ID:1592126793 Desc Date:230810 CO Entry</t>
  </si>
  <si>
    <t>Orig CO Name:Bankcard-8566          Orig ID:1592126793 Desc Date:230813 CO Entry</t>
  </si>
  <si>
    <t>Orig CO Name:Bankcard-8566          Orig ID:1592126793 Desc Date:230811 CO Entry</t>
  </si>
  <si>
    <t>Orig CO Name:Bankcard-8566          Orig ID:1592126793 Desc Date:230814 CO Entry</t>
  </si>
  <si>
    <t>Orig CO Name:Bankcard-8566          Orig ID:1592126793 Desc Date:230815 CO Entry</t>
  </si>
  <si>
    <t>Orig CO Name:Bankcard-8566          Orig ID:1592126793 Desc Date:230816 CO Entry</t>
  </si>
  <si>
    <t>Orig CO Name:Bankcard-8566          Orig ID:1592126793 Desc Date:230817 CO Entry</t>
  </si>
  <si>
    <t>Orig CO Name:Bankcard-8566          Orig ID:1592126793 Desc Date:230818 CO Entry</t>
  </si>
  <si>
    <t>Orig CO Name:Bankcard-8566          Orig ID:1592126793 Desc Date:230820 CO Entry</t>
  </si>
  <si>
    <t>Orig CO Name:Bankcard-8566          Orig ID:1592126793 Desc Date:230821 CO Entry</t>
  </si>
  <si>
    <t>Orig CO Name:Bankcard-8566          Orig ID:1592126793 Desc Date:230822 CO Entry</t>
  </si>
  <si>
    <t>Orig CO Name:Bankcard-8566          Orig ID:1592126793 Desc Date:230823 CO Entry</t>
  </si>
  <si>
    <t>Orig CO Name:Bankcard-8566          Orig ID:1592126793 Desc Date:230824 CO Entry</t>
  </si>
  <si>
    <t>Orig CO Name:Bankcard-8566          Orig ID:1592126793 Desc Date:230825 CO Entry</t>
  </si>
  <si>
    <t>Orig CO Name:Bankcard-8566          Orig ID:1592126793 Desc Date:230827 CO Entry</t>
  </si>
  <si>
    <t>Orig CO Name:Bankcard-8566          Orig ID:1592126793 Desc Date:230828 CO Entry</t>
  </si>
  <si>
    <t>Orig CO Name:Bankcard-8566          Orig ID:1592126793 Desc Date:230829 CO Entry</t>
  </si>
  <si>
    <t>Orig CO Name:Bankcard-8566          Orig ID:1592126793 Desc Date:230830 CO Entry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</si>
  <si>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</si>
  <si>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</si>
  <si>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</si>
  <si>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</si>
  <si>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</si>
  <si>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</si>
  <si>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</si>
  <si>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08/04 Online Payment 18074867802 To Branch &amp; Bramble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</si>
  <si>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</si>
  <si>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</si>
  <si>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</si>
  <si>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GOOGLE *GSUITE_audio cc@google.com CA        09/01</t>
  </si>
  <si>
    <t>LINODE . AKAMAI 609-380-7100 MA              09/01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</si>
  <si>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</si>
  <si>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REMOTE ONLINE DEPOSIT #          1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</si>
  <si>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</si>
  <si>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</si>
  <si>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</si>
  <si>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</si>
  <si>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</si>
  <si>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</si>
  <si>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</si>
  <si>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</si>
  <si>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</si>
  <si>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</si>
  <si>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</si>
  <si>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</si>
  <si>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</si>
  <si>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</si>
  <si>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</si>
  <si>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</si>
  <si>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</si>
  <si>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</si>
  <si>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</si>
  <si>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</si>
  <si>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</si>
  <si>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</si>
  <si>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</si>
  <si>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</si>
  <si>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</si>
  <si>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</si>
  <si>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</si>
  <si>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</si>
  <si>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</si>
  <si>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</si>
  <si>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</si>
  <si>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</si>
  <si>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</si>
  <si>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</si>
  <si>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</si>
  <si>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</si>
  <si>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</si>
  <si>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</si>
  <si>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</si>
  <si>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</si>
  <si>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</si>
  <si>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</si>
  <si>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</si>
  <si>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</si>
  <si>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</si>
  <si>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</si>
  <si>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</si>
  <si>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</si>
  <si>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</si>
  <si>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</si>
  <si>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</si>
  <si>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</si>
  <si>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</si>
  <si>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</si>
  <si>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</si>
  <si>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</si>
  <si>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</si>
  <si>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</si>
  <si>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</si>
  <si>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</si>
  <si>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</si>
  <si>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</si>
  <si>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</si>
  <si>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</si>
  <si>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</si>
  <si>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</si>
  <si>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</si>
  <si>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</si>
  <si>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</si>
  <si>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</si>
  <si>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</si>
  <si>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</si>
  <si>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</si>
  <si>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</si>
  <si>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</si>
  <si>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</si>
  <si>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</si>
  <si>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</si>
  <si>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</si>
  <si>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</si>
  <si>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</si>
  <si>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</si>
  <si>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</si>
  <si>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</si>
  <si>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</si>
  <si>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</si>
  <si>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</si>
  <si>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</si>
  <si>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</si>
  <si>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</si>
  <si>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</si>
  <si>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</si>
  <si>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</si>
  <si>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</si>
  <si>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</si>
  <si>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</si>
  <si>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</si>
  <si>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</si>
  <si>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</si>
  <si>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</si>
  <si>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</si>
  <si>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</si>
  <si>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</si>
  <si>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</si>
  <si>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</si>
  <si>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</si>
  <si>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</si>
  <si>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</si>
  <si>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</si>
  <si>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</si>
  <si>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</si>
  <si>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</si>
  <si>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</si>
  <si>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</si>
  <si>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</si>
  <si>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</si>
  <si>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</si>
  <si>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</si>
  <si>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</si>
  <si>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</si>
  <si>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</si>
  <si>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</si>
  <si>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</si>
  <si>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</si>
  <si>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</si>
  <si>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</si>
  <si>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</si>
  <si>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</si>
  <si>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</si>
  <si>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</si>
  <si>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</si>
  <si>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</si>
  <si>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</si>
  <si>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</si>
  <si>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</si>
  <si>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</si>
  <si>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</si>
  <si>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</si>
  <si>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</si>
  <si>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</si>
  <si>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</si>
  <si>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</si>
  <si>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</si>
  <si>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</si>
  <si>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</si>
  <si>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</si>
  <si>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</si>
  <si>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</si>
  <si>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</si>
  <si>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</si>
  <si>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</si>
  <si>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</si>
  <si>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</si>
  <si>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</si>
  <si>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</si>
  <si>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</si>
  <si>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</si>
  <si>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</si>
  <si>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</si>
  <si>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</si>
  <si>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</si>
  <si>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</si>
  <si>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</si>
  <si>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</si>
  <si>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</si>
  <si>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</si>
  <si>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</si>
  <si>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</si>
  <si>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</si>
  <si>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</si>
  <si>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</si>
  <si>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</si>
  <si>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</si>
  <si>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</si>
  <si>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</si>
  <si>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</si>
  <si>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</si>
  <si>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</si>
  <si>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</si>
  <si>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</si>
  <si>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</si>
  <si>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</si>
  <si>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</si>
  <si>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</si>
  <si>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</si>
  <si>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</si>
  <si>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19599228283 01/17</t>
  </si>
  <si>
    <t>Online ACH Payment 11120170478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</si>
  <si>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</si>
  <si>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</si>
  <si>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</si>
  <si>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</si>
  <si>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</si>
  <si>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</si>
  <si>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</si>
  <si>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</si>
  <si>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</si>
  <si>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</si>
  <si>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</si>
  <si>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</si>
  <si>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</si>
  <si>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</si>
  <si>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</si>
  <si>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</si>
  <si>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</si>
  <si>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</si>
  <si>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</si>
  <si>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</si>
  <si>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</si>
  <si>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</si>
  <si>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</si>
  <si>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</si>
  <si>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</si>
  <si>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</si>
  <si>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</si>
  <si>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</si>
  <si>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</si>
  <si>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</si>
  <si>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</si>
  <si>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</si>
  <si>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</si>
  <si>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</si>
  <si>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</si>
  <si>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</si>
  <si>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</si>
  <si>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</si>
  <si>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</si>
  <si>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</si>
  <si>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</si>
  <si>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</si>
  <si>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</si>
  <si>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</si>
  <si>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</si>
  <si>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</si>
  <si>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</si>
  <si>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</si>
  <si>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</si>
  <si>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</si>
  <si>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</si>
  <si>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</si>
  <si>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</si>
  <si>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</si>
  <si>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</si>
  <si>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</si>
  <si>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</si>
  <si>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</si>
  <si>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</si>
  <si>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</si>
  <si>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</si>
  <si>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</si>
  <si>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</si>
  <si>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</si>
  <si>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</si>
  <si>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</si>
  <si>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</si>
  <si>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</si>
  <si>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</si>
  <si>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</si>
  <si>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</si>
  <si>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</si>
  <si>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</si>
  <si>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</si>
  <si>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</si>
  <si>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</si>
  <si>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</si>
  <si>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</si>
  <si>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</si>
  <si>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</si>
  <si>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</si>
  <si>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</si>
  <si>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</si>
  <si>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</si>
  <si>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</si>
  <si>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</si>
  <si>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</si>
  <si>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</si>
  <si>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</si>
  <si>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</si>
  <si>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</si>
  <si>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</si>
  <si>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</si>
  <si>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</si>
  <si>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2258 IMAD: 0308MMQFMP2M022189 TRN: 3424844068ES 03/08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</si>
  <si>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</si>
  <si>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</si>
  <si>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</si>
  <si>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</si>
  <si>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</si>
  <si>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</si>
  <si>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</si>
  <si>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</si>
  <si>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</si>
  <si>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</si>
  <si>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</si>
  <si>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</si>
  <si>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</si>
  <si>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</si>
  <si>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</si>
  <si>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</si>
  <si>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</si>
  <si>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</si>
  <si>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</si>
  <si>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</si>
  <si>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</si>
  <si>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</si>
  <si>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</si>
  <si>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</si>
  <si>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</si>
  <si>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</si>
  <si>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</si>
  <si>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</si>
  <si>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</si>
  <si>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</si>
  <si>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</si>
  <si>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</si>
  <si>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</si>
  <si>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</si>
  <si>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</si>
  <si>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</si>
  <si>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</si>
  <si>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</si>
  <si>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</si>
  <si>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</si>
  <si>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</si>
  <si>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</si>
  <si>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</si>
  <si>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Zelle payment to Tara Duffy JPM99af66jq4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</si>
  <si>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</si>
  <si>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</si>
  <si>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</si>
  <si>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</si>
  <si>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</si>
  <si>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</si>
  <si>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</si>
  <si>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</si>
  <si>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</si>
  <si>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</si>
  <si>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</si>
  <si>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</si>
  <si>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</si>
  <si>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</si>
  <si>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</si>
  <si>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</si>
  <si>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</si>
  <si>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</si>
  <si>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</si>
  <si>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</si>
  <si>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</si>
  <si>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</si>
  <si>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</si>
  <si>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</si>
  <si>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</si>
  <si>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</si>
  <si>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</si>
  <si>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</si>
  <si>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</si>
  <si>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</si>
  <si>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</si>
  <si>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</si>
  <si>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</si>
  <si>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</si>
  <si>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</si>
  <si>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</si>
  <si>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</si>
  <si>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</si>
  <si>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</si>
  <si>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</si>
  <si>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</si>
  <si>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</si>
  <si>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</si>
  <si>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</si>
  <si>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</si>
  <si>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</si>
  <si>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</si>
  <si>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</si>
  <si>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</si>
  <si>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</si>
  <si>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</si>
  <si>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</si>
  <si>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</si>
  <si>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</si>
  <si>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</si>
  <si>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</si>
  <si>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</si>
  <si>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</si>
  <si>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</si>
  <si>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</si>
  <si>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</si>
  <si>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</si>
  <si>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</si>
  <si>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</si>
  <si>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</si>
  <si>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</si>
  <si>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</si>
  <si>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</si>
  <si>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</si>
  <si>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</si>
  <si>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</si>
  <si>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</si>
  <si>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</si>
  <si>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</si>
  <si>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</si>
  <si>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</si>
  <si>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</si>
  <si>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</si>
  <si>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</si>
  <si>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</si>
  <si>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</si>
  <si>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</si>
  <si>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</si>
  <si>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</si>
  <si>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</si>
  <si>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B&amp;H PHOTO 800-606-6969 800-2215743 NY        06/11</t>
  </si>
  <si>
    <t>Online ACH Payment 11134895907 To MicheleCobb (_######6800)</t>
  </si>
  <si>
    <t>ZOOM.US 888-799-9666 WWW.ZOOM.US CA          06/15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</si>
  <si>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</si>
  <si>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</si>
  <si>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</si>
  <si>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</si>
  <si>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</si>
  <si>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</si>
  <si>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LINODE . AKAMAI 609-380-7100 MA              07/01</t>
  </si>
  <si>
    <t>GOOGLE *GSUITE_audio cc@google.com CA        07/01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</si>
  <si>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</si>
  <si>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</si>
  <si>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</si>
  <si>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</si>
  <si>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</si>
  <si>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</si>
  <si>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</si>
  <si>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EIG*CONSTANTCONTACT.CO 855-2295506 MA        07/02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</si>
  <si>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</si>
  <si>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</si>
  <si>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</si>
  <si>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</si>
  <si>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</si>
  <si>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</si>
  <si>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</si>
  <si>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</si>
  <si>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</si>
  <si>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</si>
  <si>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</si>
  <si>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</si>
  <si>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WEB*NETWORKSOLUTIONS 888-6429675 FL          07/13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</si>
  <si>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</si>
  <si>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</si>
  <si>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</si>
  <si>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</si>
  <si>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</si>
  <si>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</si>
  <si>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</si>
  <si>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</si>
  <si>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</si>
  <si>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</si>
  <si>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</si>
  <si>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</si>
  <si>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</si>
  <si>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</si>
  <si>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</si>
  <si>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</si>
  <si>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</si>
  <si>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</si>
  <si>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</si>
  <si>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</si>
  <si>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</si>
  <si>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</si>
  <si>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</si>
  <si>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GOOGLE *GSUITE_audio cc@google.com CA        08/01</t>
  </si>
  <si>
    <t>LINODE . AKAMAI 609-380-7100 MA              08/01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</si>
  <si>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</si>
  <si>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</si>
  <si>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</si>
  <si>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EIG*CONSTANTCONTACT.CO 855-2295506 MA        08/02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</si>
  <si>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</si>
  <si>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</si>
  <si>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</si>
  <si>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</si>
  <si>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</si>
  <si>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</si>
  <si>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</si>
  <si>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</si>
  <si>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</si>
  <si>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</si>
  <si>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</si>
  <si>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</si>
  <si>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</si>
  <si>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</si>
  <si>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</si>
  <si>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</si>
  <si>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</si>
  <si>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</si>
  <si>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</si>
  <si>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</si>
  <si>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</si>
  <si>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</si>
  <si>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</si>
  <si>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</si>
  <si>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</si>
  <si>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</si>
  <si>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</si>
  <si>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</si>
  <si>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</si>
  <si>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</si>
  <si>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</si>
  <si>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</si>
  <si>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</si>
  <si>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</si>
  <si>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</si>
  <si>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</si>
  <si>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</si>
  <si>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</si>
  <si>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</si>
  <si>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</si>
  <si>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</si>
  <si>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</si>
  <si>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</si>
  <si>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</si>
  <si>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</si>
  <si>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</si>
  <si>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</si>
  <si>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</si>
  <si>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</si>
  <si>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</si>
  <si>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</si>
  <si>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</si>
  <si>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</si>
  <si>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</si>
  <si>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</si>
  <si>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</si>
  <si>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</si>
  <si>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</si>
  <si>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</si>
  <si>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</si>
  <si>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</si>
  <si>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</si>
  <si>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</si>
  <si>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</si>
  <si>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</si>
  <si>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</si>
  <si>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</si>
  <si>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</si>
  <si>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</si>
  <si>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</si>
  <si>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</si>
  <si>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</si>
  <si>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</si>
  <si>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</si>
  <si>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</si>
  <si>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</si>
  <si>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</si>
  <si>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</si>
  <si>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</si>
  <si>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</si>
  <si>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</si>
  <si>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</si>
  <si>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</si>
  <si>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</si>
  <si>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</si>
  <si>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</si>
  <si>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</si>
  <si>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</si>
  <si>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</si>
  <si>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</si>
  <si>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</si>
  <si>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</si>
  <si>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</si>
  <si>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</si>
  <si>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</si>
  <si>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</si>
  <si>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</si>
  <si>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</si>
  <si>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</si>
  <si>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</si>
  <si>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</si>
  <si>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</si>
  <si>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</si>
  <si>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</si>
  <si>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</si>
  <si>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</si>
  <si>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</si>
  <si>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</si>
  <si>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</si>
  <si>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</si>
  <si>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</si>
  <si>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</si>
  <si>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</si>
  <si>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</si>
  <si>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</si>
  <si>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</si>
  <si>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</si>
  <si>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</si>
  <si>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</si>
  <si>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</si>
  <si>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</si>
  <si>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</si>
  <si>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</si>
  <si>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</si>
  <si>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</si>
  <si>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</si>
  <si>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</si>
  <si>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</si>
  <si>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</si>
  <si>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</si>
  <si>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</si>
  <si>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</si>
  <si>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</si>
  <si>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</si>
  <si>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</si>
  <si>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</si>
  <si>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</si>
  <si>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</si>
  <si>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</si>
  <si>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</si>
  <si>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</si>
  <si>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</si>
  <si>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</si>
  <si>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</si>
  <si>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</si>
  <si>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</si>
  <si>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</si>
  <si>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</si>
  <si>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</si>
  <si>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</si>
  <si>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</si>
  <si>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</si>
  <si>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</si>
  <si>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</si>
  <si>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</si>
  <si>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</si>
  <si>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</si>
  <si>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</si>
  <si>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</si>
  <si>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</si>
  <si>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</si>
  <si>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</si>
  <si>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</si>
  <si>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</si>
  <si>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</si>
  <si>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</si>
  <si>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</si>
  <si>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</si>
  <si>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</si>
  <si>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</si>
  <si>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</si>
  <si>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</si>
  <si>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</si>
  <si>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</si>
  <si>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</si>
  <si>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</si>
  <si>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</si>
  <si>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</si>
  <si>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</si>
  <si>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</si>
  <si>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</si>
  <si>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</si>
  <si>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</si>
  <si>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</si>
  <si>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</si>
  <si>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</si>
  <si>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</si>
  <si>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</si>
  <si>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</si>
  <si>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</si>
  <si>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</si>
  <si>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</si>
  <si>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Zelle payment to Janet Benson, Inc. 23307815322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</si>
  <si>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</si>
  <si>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</si>
  <si>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</si>
  <si>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</si>
  <si>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</si>
  <si>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</si>
  <si>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</si>
  <si>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</si>
  <si>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</si>
  <si>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</si>
  <si>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</si>
  <si>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</si>
  <si>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</si>
  <si>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</si>
  <si>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</si>
  <si>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</si>
  <si>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</si>
  <si>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</si>
  <si>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</si>
  <si>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</si>
  <si>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</si>
  <si>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</si>
  <si>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</si>
  <si>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</si>
  <si>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</si>
  <si>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</si>
  <si>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</si>
  <si>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</si>
  <si>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</si>
  <si>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</si>
  <si>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</si>
  <si>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</si>
  <si>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</si>
  <si>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</si>
  <si>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</si>
  <si>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</si>
  <si>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</si>
  <si>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</si>
  <si>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</si>
  <si>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</si>
  <si>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</si>
  <si>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</si>
  <si>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</si>
  <si>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</si>
  <si>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</si>
  <si>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</si>
  <si>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</si>
  <si>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</si>
  <si>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</si>
  <si>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</si>
  <si>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</si>
  <si>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</si>
  <si>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</si>
  <si>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</si>
  <si>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</si>
  <si>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</si>
  <si>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</si>
  <si>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</si>
  <si>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</si>
  <si>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</si>
  <si>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</si>
  <si>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</si>
  <si>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</si>
  <si>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</si>
  <si>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</si>
  <si>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</si>
  <si>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</si>
  <si>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</si>
  <si>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</si>
  <si>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</si>
  <si>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</si>
  <si>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</si>
  <si>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</si>
  <si>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</si>
  <si>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</si>
  <si>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</si>
  <si>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</si>
  <si>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</si>
  <si>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</si>
  <si>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</si>
  <si>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</si>
  <si>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</si>
  <si>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</si>
  <si>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</si>
  <si>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</si>
  <si>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</si>
  <si>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</si>
  <si>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</si>
  <si>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</si>
  <si>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</si>
  <si>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</si>
  <si>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</si>
  <si>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</si>
  <si>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</si>
  <si>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</si>
  <si>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</si>
  <si>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</si>
  <si>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</si>
  <si>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</si>
  <si>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</si>
  <si>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</si>
  <si>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</si>
  <si>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</si>
  <si>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</si>
  <si>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</si>
  <si>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</si>
  <si>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</si>
  <si>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</si>
  <si>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</si>
  <si>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</si>
  <si>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</si>
  <si>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</si>
  <si>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</si>
  <si>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</si>
  <si>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</si>
  <si>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</si>
  <si>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</si>
  <si>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</si>
  <si>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</si>
  <si>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</si>
  <si>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</si>
  <si>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</si>
  <si>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</si>
  <si>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</si>
  <si>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</si>
  <si>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</si>
  <si>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</si>
  <si>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</si>
  <si>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</si>
  <si>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</si>
  <si>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</si>
  <si>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</si>
  <si>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</si>
  <si>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</si>
  <si>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</si>
  <si>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</si>
  <si>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</si>
  <si>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</si>
  <si>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</si>
  <si>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</si>
  <si>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</si>
  <si>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</si>
  <si>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</si>
  <si>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</si>
  <si>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</si>
  <si>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</si>
  <si>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</si>
  <si>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</si>
  <si>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</si>
  <si>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</si>
  <si>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</si>
  <si>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</si>
  <si>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</si>
  <si>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</si>
  <si>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</si>
  <si>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</si>
  <si>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</si>
  <si>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</si>
  <si>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</si>
  <si>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</si>
  <si>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</si>
  <si>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</si>
  <si>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</si>
  <si>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</si>
  <si>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</si>
  <si>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</si>
  <si>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</si>
  <si>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</si>
  <si>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</si>
  <si>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</si>
  <si>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</si>
  <si>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</si>
  <si>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</si>
  <si>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</si>
  <si>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</si>
  <si>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</si>
  <si>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</si>
  <si>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</si>
  <si>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</si>
  <si>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</si>
  <si>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</si>
  <si>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</si>
  <si>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</si>
  <si>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</si>
  <si>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</si>
  <si>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</si>
  <si>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</si>
  <si>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</si>
  <si>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</si>
  <si>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</si>
  <si>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</si>
  <si>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</si>
  <si>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</si>
  <si>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</si>
  <si>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</si>
  <si>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</si>
  <si>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</si>
  <si>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</si>
  <si>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</si>
  <si>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</si>
  <si>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</si>
  <si>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</si>
  <si>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</si>
  <si>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</si>
  <si>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</si>
  <si>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</si>
  <si>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</si>
  <si>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</si>
  <si>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</si>
  <si>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</si>
  <si>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</si>
  <si>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</si>
  <si>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</si>
  <si>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</si>
  <si>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</si>
  <si>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</si>
  <si>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</si>
  <si>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</si>
  <si>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</si>
  <si>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</si>
  <si>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</si>
  <si>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</si>
  <si>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</si>
  <si>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</si>
  <si>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</si>
  <si>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</si>
  <si>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</si>
  <si>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</si>
  <si>
    <t>Date</t>
  </si>
  <si>
    <t>Description</t>
  </si>
  <si>
    <t>Amount</t>
  </si>
  <si>
    <t>Balance</t>
  </si>
  <si>
    <t>Remark</t>
  </si>
  <si>
    <t>11/10 Online Domestic Wire Transfer Via: Citizens Bank, NA/011500120 A/C: Aba/211070175</t>
  </si>
  <si>
    <t>Not in QB</t>
  </si>
  <si>
    <t>02/28 Online Transfer To Chk ...7365 Transaction#: 9243290174</t>
  </si>
  <si>
    <t>Online ACH Payment 11141890888 To MicheleCobb (_######6800)</t>
  </si>
  <si>
    <t>03/13 Online ACH Payment 11013307013 To Michelecobb (_######6800)</t>
  </si>
  <si>
    <t>06/07 Online ACH Payment 5201627419 To Michele Cobb (_######6800)</t>
  </si>
  <si>
    <t>In QB</t>
  </si>
  <si>
    <t>Online ACH Payment 11174292813 To EdisonAudioMetricsLLC (_######2653)</t>
  </si>
  <si>
    <t>Online ACH Payment 11178201525 To Samonte (_######0176)</t>
  </si>
  <si>
    <t>Online ACH Payment 11130958567 To TheSamonteGroup (_######0176)</t>
  </si>
  <si>
    <t>04/04 Online Domestic Wire Transfer Via: Citizens Bank, NA/011500120 A/C: Aba/211070175</t>
  </si>
  <si>
    <t>09/25 Online Transfer To Chk ...7365 Transaction#: 10350051828</t>
  </si>
  <si>
    <t>03/01 Online ACH Payment 5213305958 To Michele Cobb (_######6800)</t>
  </si>
  <si>
    <t>Fedwire Credit Via: Wells Fargo Bank/121000248 B/O: Volume Svcs America Inc Greenville</t>
  </si>
  <si>
    <t>Credit Return: Online Payment 7426336669 To Over The River Public Relations</t>
  </si>
  <si>
    <t>07/12 Online Transfer To Chk ...4745 Transaction#: 17872176831</t>
  </si>
  <si>
    <t>4 entries each in Bank and QB for this amount, date mismatch only.</t>
  </si>
  <si>
    <t>Same-Day ACH Payment 11127919035 to EdisonAudioMetricsLLC (_######2653)</t>
  </si>
  <si>
    <t>Credit Return: Online Payment 7700792056 To Your Membership</t>
  </si>
  <si>
    <t>01/28 Online Transfer To Chk ...7365 Transaction#: 9124782431</t>
  </si>
  <si>
    <t>01/22 Online Transfer To Chk ...7365 Transaction#: 13502534990</t>
  </si>
  <si>
    <t>01/11 Online International Wire Transfer A/C: Lloyds Bank Plc London United Kingdom Ec2V</t>
  </si>
  <si>
    <t>Online ACH Payment 11176990619 To MicheleCobbBusiness (_######6800)</t>
  </si>
  <si>
    <t>Same-Day ACH Payment 11174461053 to Pelorus (_#####7365)</t>
  </si>
  <si>
    <t>03/20 Online Domestic Wire Transfer Via: Capital One NA/021407912 A/C: Guastavinos Inc</t>
  </si>
  <si>
    <t>02/08 Online Domestic Wire Transfer A/C: Sorich Productions Inc Chicago IL 60618-1503 US</t>
  </si>
  <si>
    <t>03/15 Online Domestic Wire Transfer A/C: Soapy Film Inc. Jersey City NJ 07302-6634 US Trn:</t>
  </si>
  <si>
    <t>08/10 Online Transfer To Chk ...7365 Transaction#: 12353156429</t>
  </si>
  <si>
    <t>10/01 Online Domestic Wire Transfer A/C: Soapy Film Inc. Jersey City NJ 07302-6634 US Trn:</t>
  </si>
  <si>
    <t>01/07 Online Transfer To Chk ...7365 Transaction#: 9053660411</t>
  </si>
  <si>
    <t>Quickpay With Zelle Payment To Brandon V. Fletcher Animation 8121528957</t>
  </si>
  <si>
    <t>Online Transfer to CHK ...7365 transaction#: 18827521111 10/26</t>
  </si>
  <si>
    <t>Refer Annexure</t>
  </si>
  <si>
    <t>Online Transfer to CHK ...7365 transaction#: 18827489616 10/26</t>
  </si>
  <si>
    <t>Online Transfer to CHK ...7365 transaction#: 19599234533 01/17</t>
  </si>
  <si>
    <t>Online Transfer to CHK ...7365 transaction#: 19936477651 02/22</t>
  </si>
  <si>
    <t>Online Transfer to CHK ...7365 transaction#: 19974806128 02/26</t>
  </si>
  <si>
    <t>Online Transfer to CHK ...7365 transaction#: 21069681384 06/12</t>
  </si>
  <si>
    <t>Online Transfer to CHK ...7365 transaction#: 21079635193 06/13</t>
  </si>
  <si>
    <t>Online Transfer to CHK ...7365 transaction#: 21877360532 08/29</t>
  </si>
  <si>
    <t>Online Transfer to CHK ...7365 transaction#: 21877317629 08/29</t>
  </si>
  <si>
    <t>Online Transfer to CHK ...7365 transaction#: 22185579008 09/27</t>
  </si>
  <si>
    <t>Online Transfer to CHK ...7365 transaction#: 23470114074 01/22</t>
  </si>
  <si>
    <t>Online Transfer to CHK ...7365 transaction#: 24240779608 03/31</t>
  </si>
  <si>
    <t>Online Transfer to CHK ...7365 transaction#: 21560675136 07/30</t>
  </si>
  <si>
    <t>Orig CO Name:Podcast Movement Orig ID:9215986202 Desc Date:220203 CO Entry</t>
  </si>
  <si>
    <t>Online ACH Payment 11174304959 To OpenWater (_#####7501)</t>
  </si>
  <si>
    <t>01/01 Online ACH Payment 5238288042 To Michele Cobb (_######6800)</t>
  </si>
  <si>
    <t>Online Transfer From Chk ...7365 Transaction#: 9461493297</t>
  </si>
  <si>
    <t>08/21 Online ACH Payment 5259453561 To Michele Cobb (_######6800)</t>
  </si>
  <si>
    <t>06/27 Online ACH Payment 5254051489 To Michele Cobb (_######6800)</t>
  </si>
  <si>
    <t>Online Transfer to CHK ...7365 transaction#: 21082318529 06/13</t>
  </si>
  <si>
    <t>In QB (November 21 in QB and January 22 in Bank)</t>
  </si>
  <si>
    <t>04/10 Online Domestic Wire Transfer A/C: Sweatshoppe Productions Inc Jersey City NJ</t>
  </si>
  <si>
    <t>10/05 Online ACH Payment 5263960206 To Michele Cobb (_######6800)</t>
  </si>
  <si>
    <t>07/20 Online Domestic Wire Transfer A/C: Soapy Film Inc. Jersey City NJ 07302-6634 US Trn:</t>
  </si>
  <si>
    <t>09/01 Online Domestic Wire Transfer A/C: Soapy Film Inc. Jersey City NJ 07302-6634 US Trn:</t>
  </si>
  <si>
    <t>06/30 Online Transfer To Chk ...7365 Transaction#: 12075423117</t>
  </si>
  <si>
    <t>In QB (Total 6 entries in bank and 4 in QB, last entry in bank is in 2025 but there is no corresponding entry in 2025 in QB, this has not been flagged here)</t>
  </si>
  <si>
    <t>Online ACH Payment 11176469083 To Spotify (_#####1835)</t>
  </si>
  <si>
    <t>08/10 Online Transfer To Chk ...7851 Transaction#: 18128192599</t>
  </si>
  <si>
    <t>05/31 Online Transfer To Chk ...7365 Transaction#: 8284349022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</si>
  <si>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</si>
  <si>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03/13 Online ACH Payment 11013307297 To Thesamontegroup (_######0176)</t>
  </si>
  <si>
    <t>03/14 Online ACH Payment 11013307440 To Thesamontegroup (_######0176)</t>
  </si>
  <si>
    <t>08/10 Online ACH Payment 11027070790 To Thesamontegroup (_######0176)</t>
  </si>
  <si>
    <t>08/03 Online Transfer To Chk ...4745 Transaction#: 18072260419</t>
  </si>
  <si>
    <t>06/14 Online ACH Payment 11021800639 To Baileyduquette (_######9908)</t>
  </si>
  <si>
    <t>07/13 Online Transfer To Chk ...7365 Transaction#: 17874980126</t>
  </si>
  <si>
    <t>06/14 Online ACH Payment 11021801558 To Michelecobb (_######6800)</t>
  </si>
  <si>
    <t>Online Transfer to CHK ...7365 transaction#: 21422175615 07/16</t>
  </si>
  <si>
    <t>Online Transfer to CHK ...7851 transaction#: 21560709453 07/30</t>
  </si>
  <si>
    <t>07/10 Online Payment 7303432901 To Audiofile</t>
  </si>
  <si>
    <t>08/16 Online Transfer To Chk ...7365 Transaction#: 15062481764</t>
  </si>
  <si>
    <t>06/04 Online Domestic Wire Transfer Via: Citizens Bank, NA/011500120 A/C: Aba/211070175</t>
  </si>
  <si>
    <t>Online ACH Payment 11130870555 To BaileyDuquette (_######9908)</t>
  </si>
  <si>
    <t>03/02 Online Transfer To Chk ...7365 Transaction#: 7993253891</t>
  </si>
  <si>
    <t>Mismatch (Refer Annexure 1)</t>
  </si>
  <si>
    <t>03/20 Online Transfer To Chk ...7365 Transaction#: 8049040246</t>
  </si>
  <si>
    <t>03/27 Online Transfer To Chk ...7365 Transaction#: 8071277841</t>
  </si>
  <si>
    <t>04/01 Online Transfer To Chk ...7365 Transaction#: 8090496262</t>
  </si>
  <si>
    <t>04/15 Online Transfer To Chk ...7365 Transaction#: 8133828903</t>
  </si>
  <si>
    <t>12/24 Online Transfer To Chk ...7365 Transaction#: 9001840996</t>
  </si>
  <si>
    <t>11/09 Online Transfer To Chk ...7365 Transaction#: 15755466121</t>
  </si>
  <si>
    <t>03/06 Online Transfer To Chk ...7365 Transaction#: 16753932052</t>
  </si>
  <si>
    <t>Online ACH Payment 11112530090 To MicheleCobb (_######6800)</t>
  </si>
  <si>
    <t>06/27 Online Payment 9847044735 To Audere Media</t>
  </si>
  <si>
    <t>In QB (entry appears in jan of '21) + (Bank has an entry of same amount in June 2025 which is not in QB but has not been flagged here)</t>
  </si>
  <si>
    <t>Online ACH Payment 11177031922 To CrisisPRFirm (_#########8182)</t>
  </si>
  <si>
    <t>Online RealTime vendor payment  11163339126 Payment Id REFERENCE#: 1163339126RX  to  Michele Cobb 6800</t>
  </si>
  <si>
    <t>12/30 Online ACH Payment 5272964429 To Michele Cobb (_######6800)</t>
  </si>
  <si>
    <t>Online ACH Payment 11159404687 To MicheleCobb (_######6800)</t>
  </si>
  <si>
    <t>09/14 Online Transfer To Chk ...7365 Transaction#: 7490488264</t>
  </si>
  <si>
    <t>04/30 Online Transfer To Chk ...7365 Transaction#: 8180729078</t>
  </si>
  <si>
    <t>Only 4 entries should have been flagged instead of 8 (Annexure 2)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</si>
  <si>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</si>
  <si>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</si>
  <si>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</si>
  <si>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11/11 Online Transfer To Chk ...7365 Transaction#: 8848799201</t>
  </si>
  <si>
    <t>11/13 Online Transfer To Chk ...7365 Transaction#: 8854427330</t>
  </si>
  <si>
    <t>02/17 Online Transfer To Chk ...7365 Transaction#: 9200064996</t>
  </si>
  <si>
    <t>03/05 Online Transfer To Chk ...7365 Transaction#: 9266205128</t>
  </si>
  <si>
    <t>04/01 Online Domestic Wire Transfer Via: F121000358/121000358 A/C: Interq Research LLC</t>
  </si>
  <si>
    <t>07/05 Online Domestic Wire Transfer Via: F121000358/121000358 A/C: Interq Research LLC</t>
  </si>
  <si>
    <t>01/18 Online Transfer To Chk ...7851 Transaction#: 16317829054</t>
  </si>
  <si>
    <t>ORIG CO NAME:RAYDIUS CORPORAT       ORIG ID:9215986202 DESC DATE:240911 CO ENTRY DESCR:SALE      SEC:CCD    TRACE#:021000022922337 EED:240911   IND ID:                             IND NAME:JOANNA LASKAS TRN: 2542922337TC</t>
  </si>
  <si>
    <t>07/05 Online Domestic Wire Transfer Via: Citizens Bank, NA/011500120 A/C: Aba/211070175</t>
  </si>
  <si>
    <t>Online ACH Payment 11120161742 To MicheleCobb (_######6800)</t>
  </si>
  <si>
    <t>03/05 Online Transfer To Chk ...7365 Transaction#: 8004196094</t>
  </si>
  <si>
    <t>Online ACH Payment 11174337181 To MicheleCobb (_######6800)</t>
  </si>
  <si>
    <t>Online Transfer to CHK ...7365 transaction#: 22217539295 09/30</t>
  </si>
  <si>
    <t>03/21 Online Domestic Wire Transfer Via: Citizens Bank, NA/011500120 A/C: Aba/211070175</t>
  </si>
  <si>
    <t>Online Transfer to CHK ...7365 transaction#: 21443691410 07/18</t>
  </si>
  <si>
    <t>Online ACH Payment 11151079584 To MicheleCobb (_######6800)</t>
  </si>
  <si>
    <t>10/12 Online Domestic Wire Transfer Via: Citizens Bank, NA/011500120 A/C: Aba/211070175</t>
  </si>
  <si>
    <t>02/04 Online ACH Payment 5241082862 To Michele Cobb (_######6800)</t>
  </si>
  <si>
    <t>ONLINE INTERNATIONAL WIRE TRANSFER A/C: COUTTS AND CO ESSEX UNITED KINGDOM SSO O-EJ GB REF: 25250450 BUSINESS EXPENSES/BNF/NONE TRN: 3108825149ES 05/29</t>
  </si>
  <si>
    <t>10/05 Online ACH Payment 5263960184 To Michele Cobb (_######6800)</t>
  </si>
  <si>
    <t>ORIG CO NAME:ENTERTAINMENTCOM       ORIG ID:4270465600 DESC DATE:       CO ENTRY DESCR:ENTERTAINMSEC:CCD    TRACE#:111000022179844 EED:250509   IND ID:ST-F8I7P2M1Q5Z9              IND NAME:JOANNA LASKAS TRN: 1282179844TC</t>
  </si>
  <si>
    <t>06/04 Online Payment 11911604070 To Cristaux</t>
  </si>
  <si>
    <t>11/29 Online Transfer To Chk ...7365 Transaction#: 13112874287</t>
  </si>
  <si>
    <t>02/08 Online Domestic Wire Transfer Via: Cy Natl Bk LA/122016066 A/C: United Talent Agency</t>
  </si>
  <si>
    <t>06/14 Online Payment 17621481111 To Branch &amp; Bramble</t>
  </si>
  <si>
    <t>08/08 Online Transfer To Chk ...7365 Transaction#: 18110243426</t>
  </si>
  <si>
    <t>ONLINE INTERNATIONAL WIRE TRANSFER A/C: COUTTS AND CO ESSEX UNITED KINGDOM SSO O-EJ GB REF: INVOICE 24510175 CONSULTANCY EXPENSES TRN: 3260994156ES 06/04</t>
  </si>
  <si>
    <t>01/23 Online ACH Payment 5210579579 To Michele Cobb (_######6800)</t>
  </si>
  <si>
    <t>Online Transfer From Chk ...7365 Transaction#: 12776050324</t>
  </si>
  <si>
    <t>Quickpay With Zelle Payment To Brandon V. Fletcher Animation 8121531077</t>
  </si>
  <si>
    <t>01/25 Online ACH Payment 5319788896 To Edisonresearch (_######4589)</t>
  </si>
  <si>
    <t>10/02 Online ACH Payment 5263743551 To Michele Cobb (_######6800)</t>
  </si>
  <si>
    <t>10/05 Online Transfer To Chk ...7851 Transaction#: 10414036546</t>
  </si>
  <si>
    <t>05/19 Online Payment 14377093624 To Bailey Duquette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</si>
  <si>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</si>
  <si>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02/06 Online ACH Payment 5277087341 To Bailey Duquette (_######9908)</t>
  </si>
  <si>
    <t>01/12 Online ACH Payment 5318274986 To Baileyduquette (_######9908)</t>
  </si>
  <si>
    <t>08/16 Online Domestic Wire Transfer Via: Citibank Nyc/021000089 A/C: Bailey Duquette Nyc</t>
  </si>
  <si>
    <t>11/10 Online Domestic Wire Transfer Via: Citibank Nyc/021000089 A/C: Bailey Duquette Nyc</t>
  </si>
  <si>
    <t>03/13 Online ACH Payment 11013307234 To Baileyduquette (_######9908)</t>
  </si>
  <si>
    <t>03/20 Online Payment 8049044484 To Graphic Executions, Inc.</t>
  </si>
  <si>
    <t>11/13 Online Domestic Wire Transfer Via: Fst Rep Bk Sf/321081669 A/C: Lifelike Productions</t>
  </si>
  <si>
    <t>Online Transfer to CHK ...7365 transaction#: 21349745622 07/09</t>
  </si>
  <si>
    <t>Orig CO Name:Branch &amp; Bramble Orig ID:9215986202 Desc Date:220404 CO Entry</t>
  </si>
  <si>
    <t>03/06 Online Transfer To Chk ...7365 Transaction#: 16753873230</t>
  </si>
  <si>
    <t>Card Purchase 06/07 Sq *Graphic Executions, New York NY Card 0698</t>
  </si>
  <si>
    <t>Online Payment 20695568518 To KLS Worldwide Chauffeured Services 05/06</t>
  </si>
  <si>
    <t>05/19 Online Domestic Wire Transfer Via: Itasca Bank/071922175 A/C: Cristaux International</t>
  </si>
  <si>
    <t>10/07 Online Payment 10414713527 To The Refinery</t>
  </si>
  <si>
    <t>Online ACH Payment 11178191859 To ALA (_####0033)</t>
  </si>
  <si>
    <t>04/26 Online Domestic Wire Transfer Via: TD Bank, NA/036001808 A/C: Big Barn Records</t>
  </si>
  <si>
    <t>05/21 Online Domestic Wire Transfer Via: TD Bank, NA/036001808 A/C: Big Barn Records</t>
  </si>
  <si>
    <t>01/12 Online ACH Payment 5318274894 To Baileyduquette (_######9908)</t>
  </si>
  <si>
    <t>Online Transfer to CHK ...7365 transaction#: 19599145616 01/17</t>
  </si>
  <si>
    <t>Online Transfer to CHK ...7365 transaction#: 24004143622 03/10</t>
  </si>
  <si>
    <t>Online Transfer to CHK ...7365 transaction#: 23753452302 02/18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</si>
  <si>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</si>
  <si>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Transfer to CHK ...7365 transaction#: 22781535214 11/20</t>
  </si>
  <si>
    <t>07/05 Online Domestic Wire Transfer Via: Citibank Nyc/021000089 A/C: Bailey Duquette Nyc</t>
  </si>
  <si>
    <t>Zelle payment to Janet Benson, Inc. 24461031137</t>
  </si>
  <si>
    <t>03/18 Online Payment 9318836403 To Bernstein &amp; Associates</t>
  </si>
  <si>
    <t>Quickpay With Zelle Payment To Terry Bernstein 10414722454</t>
  </si>
  <si>
    <t>Quickpay With Zelle Payment To Terry Bernstein 10414720225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</si>
  <si>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</si>
  <si>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ATM Withdrawal 03/04 360 E 57th St New York NY Card 0698</t>
  </si>
  <si>
    <t>Card Purchase 04/03 Book Industry Charitab 734-4774789 MI Card 4199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</si>
  <si>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</si>
  <si>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Online Transfer to CHK ...7365 transaction#: 20740551585 05/10</t>
  </si>
  <si>
    <t>04/02 Online ACH Payment 5215595154 To Asl (_######7193)</t>
  </si>
  <si>
    <t>08/20 Online Payment 10148901546 To Girls Write Now</t>
  </si>
  <si>
    <t>NOTION LABS, INC. HTTPSWWW.NOTI CA           06/16</t>
  </si>
  <si>
    <t>Card Purchase 05/31 Www.Maxflatow.Com Www.Maxflatow NY Card 0698</t>
  </si>
  <si>
    <t>03/18 Online Payment 9318833447 To L Marques</t>
  </si>
  <si>
    <t>10/07 Online Payment 10414713520 To L Marques</t>
  </si>
  <si>
    <t>01/17 Online Transfer To Chk ...7365 Transaction#: 11018426653</t>
  </si>
  <si>
    <t>07/12 Online International Wire Transfer A/C: Svenska Handelsbanken Ab Publ Stockholm</t>
  </si>
  <si>
    <t>07/13 Online Payment 9936076136 To Graphic Executions, Inc.</t>
  </si>
  <si>
    <t>Zelle payment to Black Spot 24923465292</t>
  </si>
  <si>
    <t>Zelle payment to Black Spot 24921939697</t>
  </si>
  <si>
    <t>Online Transfer to CHK ...7365 transaction#: 19599276610 01/17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</si>
  <si>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</si>
  <si>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08/16 Online Domestic Wire Transfer A/C: Graphic Executions Inc. New York NY 10013-1218</t>
  </si>
  <si>
    <t>DEPOSITED ITEM RETURNED       Refer to Maker 099004130                                       # OF ITEMS00001CK#:0000170642                                        DEP AMT0000057200     DEP DATE111224CK AMT0000057200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</si>
  <si>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</si>
  <si>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ACCESSIBE.COM ACCESSIBE.COM NY               06/14</t>
  </si>
  <si>
    <t>Card Purchase           06/07 Accessibe.Com Accessibe.Com NY Card 4199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</si>
  <si>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</si>
  <si>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Card Purchase 03/16 Google*Ads2117630056 Support.Googl CA Card 4199</t>
  </si>
  <si>
    <t>Online ACH Payment 11133807942 To EveryChildaReaderInc (_######5713)</t>
  </si>
  <si>
    <t>07/12 Online Transfer To Chk ...7365 Transaction#: 14789448246</t>
  </si>
  <si>
    <t>Quickpay With Zelle Payment To Janet Benson, Inc. 8041577544</t>
  </si>
  <si>
    <t>Orig CO Name:Bankcard-8566          Orig ID:1592126793 Desc Date:230205 CO Entry</t>
  </si>
  <si>
    <t>Orig CO Name:Bankcard-8566          Orig ID:1592126793 Desc Date:230210 CO Entry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</si>
  <si>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</si>
  <si>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</si>
  <si>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SUNSAMA PRO PLAN SUNSAMA.COM CA              11/28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</si>
  <si>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</si>
  <si>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</si>
  <si>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06/11 Online Payment 7222152934 To The Harry Walker Agency, Inc.</t>
  </si>
  <si>
    <t>02/06 Online ACH Payment 5277087327 To Michele Cobb (_######6800)</t>
  </si>
  <si>
    <t>FEDEX237041151 800-4633339 TN                03/27</t>
  </si>
  <si>
    <t>Card Purchase 04/02 Google*Ads2117630056 Support.Googl CA Card 4199</t>
  </si>
  <si>
    <t>Deposited Item Returned Stop Payment 099010812 # of</t>
  </si>
  <si>
    <t>11/09 Online Transfer To Chk ...7365 Transaction#: 15755462781</t>
  </si>
  <si>
    <t>Venmo Payment 3419410820 Web ID: 3264681992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</si>
  <si>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</si>
  <si>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Quickpay With Zelle Payment To Tina Wolstencroft Jpm365459899</t>
  </si>
  <si>
    <t>Quickpay With Zelle Payment To Mike Murray Jpm365455204</t>
  </si>
  <si>
    <t>05/13 Online Payment 9606415462 To Michael Quinlan</t>
  </si>
  <si>
    <t>Zelle payment to Emma Harris JPM99b5bc8bh</t>
  </si>
  <si>
    <t>FEDEX485793557 800-4633339 TN                03/27</t>
  </si>
  <si>
    <t>SERVICE CHARGES FOR THE MONTH OF MAY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</si>
  <si>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</si>
  <si>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ZOOM.COM 888-799-9666 ZOOM.US CA             06/24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</si>
  <si>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</si>
  <si>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Card Purchase 06/02 Greenwich St Parking Ll New York NY Card 0698</t>
  </si>
  <si>
    <t>Card Purchase 03/09 Paypal *Reattendanc 402-935-7733 CA Card 0698</t>
  </si>
  <si>
    <t>01/12 Online ACH Payment 5318274811 To Baileyduquette (_######9908)</t>
  </si>
  <si>
    <t>Recurring Card Purchase 09/15 Reattendance Ltd Banbury Card 4199</t>
  </si>
  <si>
    <t>Recurring Card Purchase 10/15 Reattendance Ltd Banbury Card 4199</t>
  </si>
  <si>
    <t>Card Purchase           11/15 Reattendance Ltd Banbury Card 4199</t>
  </si>
  <si>
    <t>Orig CO Name:Venmo Orig ID:3264681992 Desc Date:211109 CO Entry</t>
  </si>
  <si>
    <t>Card Purchase           06/21 Fedex217080859 800-4633339 TN Card 4199</t>
  </si>
  <si>
    <t>Card Purchase           06/23 Fedex577842590 800-4633339 TN Card 4199</t>
  </si>
  <si>
    <t>Orig CO Name:Venmo                  Orig ID:3264681992 Desc Date:230518 CO Entry</t>
  </si>
  <si>
    <t>Card Purchase 09/08 Paypal *Nflgamepass 402-935-7733 NY Card 0698</t>
  </si>
  <si>
    <t>FEDEX         00011007 800-4633339 TN        06/04</t>
  </si>
  <si>
    <t>Card Purchase 05/31 Fedexoffice 00000828 800-4633339 TX Card 0698</t>
  </si>
  <si>
    <t>Recurring Card Purchase 08/01 Google *Gsuite_Audio Cc@Google.Com CA Card 4199</t>
  </si>
  <si>
    <t>Card Purchase           01/24 Yet Another Mail Merge Bruxelles Card 4199</t>
  </si>
  <si>
    <t>YAMM.COM BRUXELLES                           01/24</t>
  </si>
  <si>
    <t>TST* WESTVILLE - WEST 212-741-7971 NY        03/08</t>
  </si>
  <si>
    <t>Orig CO Name:Bankcard-8566 Orig ID:1592126793 Desc Date:220825 CO Entry</t>
  </si>
  <si>
    <t>Card Purchase 09/07 Amazon.Com*Mu0C84971 Amzn.Com/Bill WA Card 0698</t>
  </si>
  <si>
    <t>Card Purchase 12/09 Uber Trip Help.Uber.Com CA Card 0698</t>
  </si>
  <si>
    <t>Recurring Card Purchase 07/01 Akamai Technologies, 617-444-3000 MA Card 4199</t>
  </si>
  <si>
    <t>Zelle payment to Janet Benson JPM99bdssgda</t>
  </si>
  <si>
    <t>FEDEX485184746 800-4633339 TN                03/20</t>
  </si>
  <si>
    <t>Card Purchase 06/06 Amazon.Com Amzn.Com/Bill WA Card 0698</t>
  </si>
  <si>
    <t>Recurring Card Purchase 06/05 Fedex 149778241830 Memphis TN Card 0698</t>
  </si>
  <si>
    <t>REATTENDANCE LTD BANBURY                     01/18</t>
  </si>
  <si>
    <t>Card Purchase 12/02 Taxi Svc Queens Long Island C NY Card 0698</t>
  </si>
  <si>
    <t>Recurring Card Purchase 08/10 J2 Efax Services 323-817-3205 CA Card 0698</t>
  </si>
  <si>
    <t>Card Purchase 11/30 Amzn Mktp US*Er79B0W Amzn.Com/Bill WA Card 0698</t>
  </si>
  <si>
    <t>Card Purchase 06/04 Amazon.Com Amzn.Com/Bill WA Card 0698</t>
  </si>
  <si>
    <t>Card Purchase With Pin 03/04 Michaels Stores 1191 New York NY Card 0698</t>
  </si>
  <si>
    <t>Card Purchase 06/04 Amazon Mktplace Pmts Amzn.Com/Bill WA Card 0698</t>
  </si>
  <si>
    <t>Recurring Card Purchase 02/11 Google *Google Storag 855-836-3987 CA Card 0698</t>
  </si>
  <si>
    <t>Card Purchase           03/21 Cko*Www.Istockphoto.CO 866-4786251 WA Card 4199</t>
  </si>
  <si>
    <t>Bill.Com Verify 016Lwzfja1Cympg CCD ID: 2204895317</t>
  </si>
  <si>
    <t>Beginning Balance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</si>
  <si>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</si>
  <si>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Card Purchase Return 07/01 Fedex 97702861 Memphis TN Card 4199</t>
  </si>
  <si>
    <t>Online Transfer From Chk ...7365 Transaction#: 14505538542</t>
  </si>
  <si>
    <t>Orig CO Name:Bankcard-8566 Orig ID:1592126793 Desc Date:200920 CO Entry</t>
  </si>
  <si>
    <t>Orig CO Name:Bankcard-8566 Orig ID:1592126793 Desc Date:220824 CO Entry</t>
  </si>
  <si>
    <t>Orig CO Name:Bankcard-8566 Orig ID:1592126793 Desc Date:220303 CO Entry</t>
  </si>
  <si>
    <t>Orig CO Name:Bankcard-8566 Orig ID:1592126793 Desc Date:220313 CO Entry</t>
  </si>
  <si>
    <t>Orig CO Name:Bankcard-8566 Orig ID:1592126793 Desc Date:200914 CO Entry</t>
  </si>
  <si>
    <t>Orig CO Name:Bankcard-8566 Orig ID:1592126793 Desc Date:210824 CO Entry</t>
  </si>
  <si>
    <t>Orig CO Name:Bankcard-8566 Orig ID:1592126793 Desc Date:220828 CO Entry</t>
  </si>
  <si>
    <t>Orig CO Name:Bankcard-8566 Orig ID:1592126793 Desc Date:220221 CO Entry</t>
  </si>
  <si>
    <t>Orig CO Name:Bankcard-8566 Orig ID:1592126793 Desc Date:220314 CO Entry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</si>
  <si>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</si>
  <si>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</si>
  <si>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</si>
  <si>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Date:220330 CO Entry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</si>
  <si>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</si>
  <si>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Orig CO Name:Bankcard-8566 Orig ID:1592126793 Desc Date:201102 CO Entry</t>
  </si>
  <si>
    <t>Orig CO Name:Bankcard-8566 Orig ID:1592126793 Desc Date:201103 CO Entry</t>
  </si>
  <si>
    <t>Orig CO Name:Bankcard-8566 Orig ID:1592126793 Desc Date:201104 CO Entry</t>
  </si>
  <si>
    <t>Orig CO Name:Bankcard-8566 Orig ID:1592126793 Desc Date:220815 CO Entry</t>
  </si>
  <si>
    <t>Orig CO Name:Bankcard-8566 Orig ID:1592126793 Desc Date:220929 CO Entry</t>
  </si>
  <si>
    <t>Credit Return: Online Payment 9354893086 To Fajer AL-Kaisi</t>
  </si>
  <si>
    <t>Credit Return: Online Payment 9342058915 To Sean Okane</t>
  </si>
  <si>
    <t>Orig CO Name:Apple Inc.             Orig ID:8942404110 Desc Date:       CO Entry</t>
  </si>
  <si>
    <t>Orig CO Name:Spotify Iso            Orig ID:4284601835 Desc Date:230216 CO Entry</t>
  </si>
  <si>
    <t>Orig CO Name:Chicago Review P       Orig ID:9362812923 Desc Date:       CO Entry</t>
  </si>
  <si>
    <t>Orig CO Name:Bankcard-8566          Orig ID:1592126793 Desc Date:230804 CO Entry</t>
  </si>
  <si>
    <t>Orig CO Name:Bankcard-8566 Orig ID:1592126793 Desc Date:220306 CO Entry</t>
  </si>
  <si>
    <t>Orig CO Name:Bankcard-8566 Orig ID:1592126793 Desc Date:220309 CO Entry</t>
  </si>
  <si>
    <t>Credit Return: Online Payment 9345256901 To Jeff Mack</t>
  </si>
  <si>
    <t>Credit Return: Online Payment 9354746420 To Jon Frazier</t>
  </si>
  <si>
    <t>Card Purchase Return 06/04 Intuit *Quickbooks Cl.Intuit.Com CA Card 4199</t>
  </si>
  <si>
    <t>Orig CO Name:Netgalleyllc           Orig ID:1263807644 Desc Date:       CO Entry Descr:Ng</t>
  </si>
  <si>
    <t>Orig CO Name:Bankcard-8566 Orig ID:1592126793 Desc Date:220905 CO Entry</t>
  </si>
  <si>
    <t>Orig CO Name:Bankcard-8566 Orig ID:1592126793 Desc Date:220819 CO Entry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</si>
  <si>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</si>
  <si>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Orig ID:1592126793 Desc Date:220809 CO Entry</t>
  </si>
  <si>
    <t>Orig CO Name:Bankcard-8566          Orig ID:1592126793 Desc Date:221109 CO Entry</t>
  </si>
  <si>
    <t>Orig CO Name:Bankcard-8566 Orig ID:1592126793 Desc Date:220812 CO Entry</t>
  </si>
  <si>
    <t>Orig CO Name:Harry N Abra1932 Orig ID:1131601701 Desc Date: CO Entry</t>
  </si>
  <si>
    <t>Orig CO Name:Bankcard-8566          Orig ID:1592126793 Desc Date:221125 CO Entry</t>
  </si>
  <si>
    <t>Online Transfer from CHK ...7851 transaction#: 24929573579</t>
  </si>
  <si>
    <t>REAL TIME TRANSFER RECD FROM ABA/CONTR BNK-021000021  FROM: BNF-WISE REF: 814712570-STUART INFO: TEXT-  IID: 20240209021000021P1BRJPC00510076990 RECD: 16:23:39 TRN: 0396791040GA</t>
  </si>
  <si>
    <t>Online Transfer From Chk ...7365 Transaction#: 12158813650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</si>
  <si>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</si>
  <si>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Orig CO Name:Bankcard-8566 Orig ID:1592126793 Desc Date:220805 CO Entry</t>
  </si>
  <si>
    <t>Orig CO Name:Bankcard-8566 Orig ID:1592126793 Desc Date:220830 CO Entry</t>
  </si>
  <si>
    <t>Orig CO Name:Bankcard-8566 Orig ID:1592126793 Desc Date:210312 CO Entry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</si>
  <si>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</si>
  <si>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Orig ID:1592126793 Desc Date:220811 CO Entry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</si>
  <si>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</si>
  <si>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Orig ID:1592126793 Desc Date:220821 CO Entry</t>
  </si>
  <si>
    <t>Orig CO Name:Bankcard-8566          Orig ID:1592126793 Desc Date:221124 CO Entry</t>
  </si>
  <si>
    <t>Orig CO Name:Bankcard-8566 Orig ID:1592126793 Desc Date:220928 CO Entry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</si>
  <si>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</si>
  <si>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Name:Spotify Iso            Orig ID:4284601835 Desc Date:230516 CO Entry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</si>
  <si>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</si>
  <si>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</si>
  <si>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Credit Return: Online Payment 9318836403 To Bernstein &amp; Associates</t>
  </si>
  <si>
    <t>Orig CO Name:Bankcard-8566 Orig ID:1592126793 Desc Date:220823 CO Entry</t>
  </si>
  <si>
    <t>Orig CO Name:Bankcard-8566 Orig ID:1592126793 Desc Date:220916 CO Entry</t>
  </si>
  <si>
    <t>Orig CO Name:Bankcard-8566          Orig ID:1592126793 Desc Date:230206 CO Entry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</si>
  <si>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</si>
  <si>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Online Transfer from CHK ...7851 transaction#: 21500225750</t>
  </si>
  <si>
    <t>Orig CO Name:Bankcard-8566          Orig ID:1592126793 Desc Date:221129 CO Entry</t>
  </si>
  <si>
    <t>Fedwire Credit Via: Wells Fargo Bank, N.A./121000248 B/O: Jarpa Creative Media USA</t>
  </si>
  <si>
    <t>Orig CO Name:Bankcard-8566          Orig ID:1592126793 Desc Date:230303 CO Entry</t>
  </si>
  <si>
    <t>Online Transfer from CHK ...7851 transaction#: 22781553365</t>
  </si>
  <si>
    <t>Orig CO Name:Bankcard-8566          Orig ID:1592126793 Desc Date:230216 CO Entry</t>
  </si>
  <si>
    <t>Online Transfer from CHK ...7851 transaction#: 20790499578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</si>
  <si>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</si>
  <si>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</si>
  <si>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</si>
  <si>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Online Transfer From Chk ...7365 Transaction#: 8279446040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</si>
  <si>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</si>
  <si>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Online Transfer From Chk ...7365 Transaction#: 8167583327</t>
  </si>
  <si>
    <t>Orig CO Name:Bankcard-8566          Orig ID:1592126793 Desc Date:221123 CO Entry</t>
  </si>
  <si>
    <t>04/04 Online Domestic Wire Transfer Via: Peoples Bank/221172186 A/C: Audiofile Publications</t>
  </si>
  <si>
    <t>04/04 Online International Wire Transfer A/C: Coutts And CO Essex United Kingdom Sso O-Ej</t>
  </si>
  <si>
    <t>Deposit 1898813656</t>
  </si>
  <si>
    <t>Orig CO Name:Bankcard-8566          Orig ID:1592126793 Desc Date:230222 CO Entry</t>
  </si>
  <si>
    <t>Orig CO Name:Bankcard-8566          Orig ID:1592126793 Desc Date:230221 CO Entry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</si>
  <si>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</si>
  <si>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06/04 Online ACH Payment 5338409321 To Edisonresearch (_######4589)</t>
  </si>
  <si>
    <t>09/27 Online Domestic Wire Transfer Via: Keybank Albany/021300077 A/C: Pier Sixty LLC Nyc</t>
  </si>
  <si>
    <t>11/10 Online Domestic Wire Transfer Via: Itasca Bank/071922175 A/C: Cristaux International</t>
  </si>
  <si>
    <t>Orig CO Name:Bankcard-8566          Orig ID:1592126793 Desc Date:221118 CO Entry</t>
  </si>
  <si>
    <t>Credit Return: Online Payment 20695568518 To KLS Worldwide Chauffeured Services</t>
  </si>
  <si>
    <t>Orig CO Name:Bankcard-8566          Orig ID:1592126793 Desc Date:230217 CO Entry</t>
  </si>
  <si>
    <t>Orig CO Name:Bankcard-8566          Orig ID:1592126793 Desc Date:230226 CO Entry</t>
  </si>
  <si>
    <t>Online Transfer From Chk ...7365 Transaction#: 10636600499</t>
  </si>
  <si>
    <t>Online Transfer From Chk ...7365 Transaction#: 14313568721</t>
  </si>
  <si>
    <t>Orig CO Name:Bankcard-8566          Orig ID:1592126793 Desc Date:230106 CO Entry</t>
  </si>
  <si>
    <t>Orig CO Name:Bankcard-8566          Orig ID:1592126793 Desc Date:230202 CO Entry</t>
  </si>
  <si>
    <t>Online Transfer From Chk ...7365 Transaction#: 13430128605</t>
  </si>
  <si>
    <t>Orig CO Name:Bankcard-8566          Orig ID:1592126793 Desc Date:230223 CO Entry</t>
  </si>
  <si>
    <t>Orig CO Name:Uta Comedy Touri       Orig ID:4101813436 Desc Date:230405 CO Entry</t>
  </si>
  <si>
    <t>Online Transfer From Chk ...7365 Transaction#: 10414037847</t>
  </si>
  <si>
    <t>Online Transfer From Chk ...7851 Transaction#: 10411399938</t>
  </si>
  <si>
    <t>Orig CO Name:Bankcard-8566          Orig ID:1592126793 Desc Date:230108 CO Entry</t>
  </si>
  <si>
    <t>Orig CO Name:Bankcard-8566          Orig ID:1592126793 Desc Date:230214 CO Entry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</si>
  <si>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</si>
  <si>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Date:230207 CO Entry</t>
  </si>
  <si>
    <t>Orig CO Name:Bankcard-8566          Orig ID:1592126793 Desc Date:230109 CO Entry</t>
  </si>
  <si>
    <t>Online Transfer From Chk ...7365 Transaction#: 17397871851</t>
  </si>
  <si>
    <t>Orig CO Name:Bankcard-8566          Orig ID:1592126793 Desc Date:230203 CO Entry</t>
  </si>
  <si>
    <t>Orig CO Name:Bankcard-8566          Orig ID:1592126793 Desc Date:230110 CO Entry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</si>
  <si>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</si>
  <si>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Date:230208 CO Entry</t>
  </si>
  <si>
    <t>Orig CO Name:Bankcard-8566          Orig ID:1592126793 Desc Date:230111 CO Entry</t>
  </si>
  <si>
    <t>Orig CO Name:Bankcard-8566          Orig ID:1592126793 Desc Date:230113 CO Entry</t>
  </si>
  <si>
    <t>Online Transfer From Chk ...7365 Transaction#: 16521204517</t>
  </si>
  <si>
    <t>Online Transfer From Chk ...7365 Transaction#: 7498630704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</si>
  <si>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</si>
  <si>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Name:Harpercollins-Ha       Orig ID:5568227951 Desc Date:230110 CO Entry</t>
  </si>
  <si>
    <t>Orig CO Name:Bankcard-8566          Orig ID:1592126793 Desc Date:230112 CO Entry</t>
  </si>
  <si>
    <t>Online Transfer From Chk ...7365 Transaction#: 8298828680</t>
  </si>
  <si>
    <t>Orig CO Name:Bankcard-8566          Orig ID:1592126793 Desc Date:230224 CO Entry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</si>
  <si>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</si>
  <si>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05/18 Online ACH Payment 11019320233 To Michelecobb (_######6800)</t>
  </si>
  <si>
    <t>Orig CO Name:Bankcard-8566          Orig ID:1592126793 Desc Date:230125 CO Entry</t>
  </si>
  <si>
    <t>Online Transfer From Chk ...7365 Transaction#: 9974225368</t>
  </si>
  <si>
    <t>Online Transfer From Chk ...7365 Transaction#: 12119388361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</si>
  <si>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</si>
  <si>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Online Transfer From Chk ...7365 Transaction#: 9431902967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</si>
  <si>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</si>
  <si>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06/14 Online ACH Payment 11021801078 To Michelecobb (_######6800)</t>
  </si>
  <si>
    <t>06/14 Online Transfer To Chk ...7365 Transaction#: 17621487130</t>
  </si>
  <si>
    <t>Online Transfer From Chk ...7365 Transaction#: 13848634925</t>
  </si>
  <si>
    <t>07/27 Same-Day ACH Payment 11025763418 To Openwater (_###3899)</t>
  </si>
  <si>
    <t>Online ACH Payment 11116444142 To MicheleCobb (_######6800)</t>
  </si>
  <si>
    <t>Online Transfer From Chk ...7365 Transaction#: 12359694205</t>
  </si>
  <si>
    <t>ONLINE DOMESTIC WIRE TRANSFER VIA: CITIZENS BANK, NA/011500120 A/C: ABA/211070175 FAIRHAVEN MA US BEN: FORTE BUSINESS CONSULTING PROVIDENCE RI 02908 US REF: 2277 IMAD: 0308MMQFMP2K022036 TRN: 3424894068ES 03/08</t>
  </si>
  <si>
    <t>Online Transfer From Chk ...7365 Transaction#: 11530898089</t>
  </si>
  <si>
    <t>Online ACH Payment 11130876584 To MicheleCobb (_######6800)</t>
  </si>
  <si>
    <t>Online ACH Payment 11130959304 To OpenWater (_#####7501)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</si>
  <si>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</si>
  <si>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</si>
  <si>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Online ACH Payment 11134903816 To MicheleCobb (_######6800)</t>
  </si>
  <si>
    <t>Online Transfer From Chk ...7365 Transaction#: 8591288571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</si>
  <si>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</si>
  <si>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Online Transfer From Chk ...7365 Transaction#: 11532561296</t>
  </si>
  <si>
    <t>Orig CO Name:6800Forte Busine Orig ID:1813898207 Desc Date: CO Entry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</si>
  <si>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</si>
  <si>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Online ACH Payment 11151174765 To EdisonResearch (_######4589)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</si>
  <si>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</si>
  <si>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</si>
  <si>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</si>
  <si>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</si>
  <si>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Online Transfer from MMA ...5639 transaction#: 24920929505</t>
  </si>
  <si>
    <t>Entries flagged in Unmatched_Bank (i.e., in Bank but not in QB)</t>
  </si>
  <si>
    <t>Bank</t>
  </si>
  <si>
    <t>Count of Amount</t>
  </si>
  <si>
    <t>Column Labels</t>
  </si>
  <si>
    <t>Row Labels</t>
  </si>
  <si>
    <t>Sum of Amount</t>
  </si>
  <si>
    <t>Count of Outstanding Balance</t>
  </si>
  <si>
    <t xml:space="preserve">Bank  </t>
  </si>
  <si>
    <t>QB</t>
  </si>
  <si>
    <t>Grand Total</t>
  </si>
  <si>
    <t xml:space="preserve">No common identifier </t>
  </si>
  <si>
    <t>Same date and amount but transaction number mismatch</t>
  </si>
  <si>
    <t>T0 in Bank</t>
  </si>
  <si>
    <t>T0 in QB</t>
  </si>
  <si>
    <t>Transaction number in Bank Description &amp; QB Memo/Description</t>
  </si>
  <si>
    <t>Count of Balance</t>
  </si>
  <si>
    <t>2018</t>
  </si>
  <si>
    <t>T0+1 in QB</t>
  </si>
  <si>
    <t>2020</t>
  </si>
  <si>
    <t>T0+53 in QB</t>
  </si>
  <si>
    <t>2021</t>
  </si>
  <si>
    <t>Source</t>
  </si>
  <si>
    <t>Year</t>
  </si>
  <si>
    <t>Identifier</t>
  </si>
  <si>
    <t>2018-06/01</t>
  </si>
  <si>
    <t>2018-07/30</t>
  </si>
  <si>
    <t>2018-09/14</t>
  </si>
  <si>
    <t>2018-11/09</t>
  </si>
  <si>
    <t>2018-12/28</t>
  </si>
  <si>
    <t>2019-04/30</t>
  </si>
  <si>
    <t>2019-08/30</t>
  </si>
  <si>
    <t>2019-11/12</t>
  </si>
  <si>
    <t>2019-11/13</t>
  </si>
  <si>
    <t>2020-02/18</t>
  </si>
  <si>
    <t>2020-03/05</t>
  </si>
  <si>
    <t>06/01/2018</t>
  </si>
  <si>
    <t>ransaction#: 7086377962</t>
  </si>
  <si>
    <t>07/30/2018</t>
  </si>
  <si>
    <t>ransaction#: 7353955330</t>
  </si>
  <si>
    <t>11/09/2018</t>
  </si>
  <si>
    <t>ransaction#: 7650405896</t>
  </si>
  <si>
    <t>12/28/2018</t>
  </si>
  <si>
    <t>ransaction#: 7794479362</t>
  </si>
  <si>
    <t>03/01/2020</t>
  </si>
  <si>
    <t/>
  </si>
  <si>
    <t>04/01/2020</t>
  </si>
  <si>
    <t>ransaction#: 8180729078</t>
  </si>
  <si>
    <t>ransaction#: 8848799201</t>
  </si>
  <si>
    <t>03/07/2021</t>
  </si>
  <si>
    <t>BSL</t>
  </si>
  <si>
    <t>06/01/2021</t>
  </si>
  <si>
    <t>T+0 in QB</t>
  </si>
  <si>
    <t>T+3 in QB</t>
  </si>
  <si>
    <t>T+7 in QB</t>
  </si>
  <si>
    <t>T+26 in QB</t>
  </si>
  <si>
    <t>T+35 in QB</t>
  </si>
  <si>
    <t>T+ 31 in QB</t>
  </si>
  <si>
    <t>T+ 12 in Bank</t>
  </si>
  <si>
    <t>T+ 5 in Bank</t>
  </si>
  <si>
    <t>11/09/2022</t>
  </si>
  <si>
    <t>T+4 in Bank</t>
  </si>
  <si>
    <t>03/06/2023</t>
  </si>
  <si>
    <t>01/23/2019</t>
  </si>
  <si>
    <t>ransaction#: 7872164571</t>
  </si>
  <si>
    <t>2019</t>
  </si>
  <si>
    <t>02/01/2019</t>
  </si>
  <si>
    <t>03/11/2019</t>
  </si>
  <si>
    <t>04/15/2019</t>
  </si>
  <si>
    <t>05/01/2019</t>
  </si>
  <si>
    <t>11/01/2019</t>
  </si>
  <si>
    <t>12/01/2019</t>
  </si>
  <si>
    <t>01/01/2020</t>
  </si>
  <si>
    <t>02/01/2020</t>
  </si>
  <si>
    <t>ransaction#: 8128556593</t>
  </si>
  <si>
    <t>02/01/2021</t>
  </si>
  <si>
    <t>05/01/2021</t>
  </si>
  <si>
    <t>ransaction#: 11587814647</t>
  </si>
  <si>
    <t>07/01/2021</t>
  </si>
  <si>
    <t>08/01/2021</t>
  </si>
  <si>
    <t>09/01/2021</t>
  </si>
  <si>
    <t>10/01/2021</t>
  </si>
  <si>
    <t>11/01/2021</t>
  </si>
  <si>
    <t>03/30/2022</t>
  </si>
  <si>
    <t>ransaction#: 14008876144</t>
  </si>
  <si>
    <t>2022</t>
  </si>
  <si>
    <t>08/15/2022</t>
  </si>
  <si>
    <t>09/15/2022</t>
  </si>
  <si>
    <t>11/05/2022</t>
  </si>
  <si>
    <t>12/01/2022</t>
  </si>
  <si>
    <t>Debit/Credit</t>
  </si>
  <si>
    <t>Table Heading</t>
  </si>
  <si>
    <t>Outstanding Balance</t>
  </si>
  <si>
    <t>Transaction date</t>
  </si>
  <si>
    <t>Transaction type</t>
  </si>
  <si>
    <t>Num</t>
  </si>
  <si>
    <t>Name</t>
  </si>
  <si>
    <t>Memo/Description</t>
  </si>
  <si>
    <t>Account full name</t>
  </si>
  <si>
    <t>Debit</t>
  </si>
  <si>
    <t>2019-01/23</t>
  </si>
  <si>
    <t>Electronic Withdrawals</t>
  </si>
  <si>
    <t>Pelorus</t>
  </si>
  <si>
    <t>2019-01/29</t>
  </si>
  <si>
    <t>2019-03/04</t>
  </si>
  <si>
    <t>2019-03/20</t>
  </si>
  <si>
    <t>2019-03/27</t>
  </si>
  <si>
    <t>2019-04/01</t>
  </si>
  <si>
    <t>2019-04/15</t>
  </si>
  <si>
    <t>2019-12/24</t>
  </si>
  <si>
    <t>2022-04/01</t>
  </si>
  <si>
    <t>BANK</t>
  </si>
  <si>
    <t>2023</t>
  </si>
  <si>
    <t>2024</t>
  </si>
  <si>
    <t>2025</t>
  </si>
  <si>
    <t>DEBIT</t>
  </si>
  <si>
    <t>ACCT_XFER</t>
  </si>
  <si>
    <t>08/23/2023</t>
  </si>
  <si>
    <t>Online Transfer to CHK ...7365 t ransaction#: 18241607941</t>
  </si>
  <si>
    <t>09/26/2023</t>
  </si>
  <si>
    <t>Online Transfer to CHK ...7365 t ransaction#: 18827489616</t>
  </si>
  <si>
    <t>90000 General &amp; Administrative:91500 Management Fee</t>
  </si>
  <si>
    <t>Online Transfer to CHK ...7365 t ransaction#: 18827521111</t>
  </si>
  <si>
    <t>11/09/2023</t>
  </si>
  <si>
    <t>Online Transfer to CHK ...7365 t ransaction#: 18958116826</t>
  </si>
  <si>
    <t>12/15/2023</t>
  </si>
  <si>
    <t>29</t>
  </si>
  <si>
    <t>01/15/2024</t>
  </si>
  <si>
    <t>30</t>
  </si>
  <si>
    <t>02/15/2024</t>
  </si>
  <si>
    <t>35</t>
  </si>
  <si>
    <t>03/15/2024</t>
  </si>
  <si>
    <t>36</t>
  </si>
  <si>
    <t>05/10/2024</t>
  </si>
  <si>
    <t>06/15/2024</t>
  </si>
  <si>
    <t>53</t>
  </si>
  <si>
    <t>07/03/2024</t>
  </si>
  <si>
    <t>08/03/2024</t>
  </si>
  <si>
    <t>10/15/2024</t>
  </si>
  <si>
    <t>Online Transfer to CHK ...7365 t ransaction#: 21560675136</t>
  </si>
  <si>
    <t>11/12/2024</t>
  </si>
  <si>
    <t>Online Transfer to CHK ...7365 t ransaction#: 22690662526</t>
  </si>
  <si>
    <t>12/03/2024</t>
  </si>
  <si>
    <t>Online Transfer to CHK ...7365 t ransaction#: 22928479829</t>
  </si>
  <si>
    <t>01/15/2025</t>
  </si>
  <si>
    <t>55</t>
  </si>
  <si>
    <t>02/15/2025</t>
  </si>
  <si>
    <t>02/20/2025</t>
  </si>
  <si>
    <t>Online Transfer to CHK ...7365 t ransaction#: 23470114074</t>
  </si>
  <si>
    <t>03/06/2025</t>
  </si>
  <si>
    <t>Online Transfer to CHK ...7365 t ransaction#: 23959342029</t>
  </si>
  <si>
    <t>04/14/2025</t>
  </si>
  <si>
    <t>Online Transfer to CHK ...7365 t ransaction#: 24408407851</t>
  </si>
  <si>
    <t>05/01/2025</t>
  </si>
  <si>
    <t>Online Transfer to CHK ...7365 t ransaction#: 24585845531</t>
  </si>
  <si>
    <t>06/15/2025</t>
  </si>
  <si>
    <t>Online Transfer to CHK ...7365 t ransaction#: 24240779608</t>
  </si>
  <si>
    <t>In Bank</t>
  </si>
  <si>
    <t>In Bank (Month/Year mismatch hence not detected)</t>
  </si>
  <si>
    <t>In Bank (Only one entry in Bank dated 1/10/2023)</t>
  </si>
  <si>
    <t>In Bank (QB-Dec 23 + Bank-Jan 24)</t>
  </si>
  <si>
    <t>In Bank (Total no. of entries and amount in bank and QB are the same)</t>
  </si>
  <si>
    <t>Mismatch (Refer Annexure)</t>
  </si>
  <si>
    <t>Not in Bank</t>
  </si>
  <si>
    <t>(blank)</t>
  </si>
  <si>
    <t>Remark Category</t>
  </si>
  <si>
    <t>No. of Occurrences</t>
  </si>
  <si>
    <t>Type</t>
  </si>
  <si>
    <t>A: CITIZENS BANK, NA/011500120 A</t>
  </si>
  <si>
    <t>89424394518 CCD ID: 1592126793</t>
  </si>
  <si>
    <t>venue deposit</t>
  </si>
  <si>
    <t>rakuten kobo</t>
  </si>
  <si>
    <t>et Benson Consulting, Inc.</t>
  </si>
  <si>
    <t>r the River Public Relations</t>
  </si>
  <si>
    <t>Balance Adjustment</t>
  </si>
  <si>
    <t>Online ACH Payment 11141890888 T o MicheleCobb (_######6800)</t>
  </si>
  <si>
    <t>Michele Cobb (_######6800)</t>
  </si>
  <si>
    <t>208478 03/04</t>
  </si>
  <si>
    <t>ransaction#: 8004196094</t>
  </si>
  <si>
    <t>NY 01/27</t>
  </si>
  <si>
    <t>ONLINE DOMESTIC WIRE TRANSFER VI A: CITIZENS BANK, NA/011500120 A</t>
  </si>
  <si>
    <t>EdisonResearch (_######4589)</t>
  </si>
  <si>
    <t>Same-Day ACH Payment 11127919035 to EdisonAudioMetricsLLC (_#####</t>
  </si>
  <si>
    <t>12/02</t>
  </si>
  <si>
    <t>12/09</t>
  </si>
  <si>
    <t>TERRY REFUND</t>
  </si>
  <si>
    <t>A: PEOPLES BANK/221172186 A/C: A</t>
  </si>
  <si>
    <t>1</t>
  </si>
  <si>
    <t>01/25</t>
  </si>
  <si>
    <t>BookWire</t>
  </si>
  <si>
    <t>415046 WEB ID: 3264681992</t>
  </si>
  <si>
    <t>410820 WEB ID: 3264681992</t>
  </si>
  <si>
    <t>06/05</t>
  </si>
  <si>
    <t>42058915 To Sean OKane</t>
  </si>
  <si>
    <t>54746420 To Jon Frazier</t>
  </si>
  <si>
    <t>45256901 To Jeff Mack</t>
  </si>
  <si>
    <t>rls Write Now</t>
  </si>
  <si>
    <t>ll WA 09/07</t>
  </si>
  <si>
    <t>NY 09/08</t>
  </si>
  <si>
    <t>Hachette</t>
  </si>
  <si>
    <t>ransaction#: 11018426653</t>
  </si>
  <si>
    <t>BaileyDuquette (_######9908)</t>
  </si>
  <si>
    <t>audere</t>
  </si>
  <si>
    <t>Edison Research (_######4589)</t>
  </si>
  <si>
    <t>ORIG ID:1592126793 DESC DATE:201</t>
  </si>
  <si>
    <t>erry Bernstein 10414722454</t>
  </si>
  <si>
    <t>ORIG ID:1131601701 DESC DATE:</t>
  </si>
  <si>
    <t>A: CAPITAL ONE NA/021407912 A/C:</t>
  </si>
  <si>
    <t>C: THE SAMONTE GROUP LLC LOS ANG</t>
  </si>
  <si>
    <t>staux</t>
  </si>
  <si>
    <t>transaction#: 12119388361</t>
  </si>
  <si>
    <t>Same-Day ACH Payment 11025763418 to OpenWater (_###3899)</t>
  </si>
  <si>
    <t>SEPTEMBER</t>
  </si>
  <si>
    <t>09/13</t>
  </si>
  <si>
    <t>transaction#: 13430128605</t>
  </si>
  <si>
    <t>ransaction#: 13112874287</t>
  </si>
  <si>
    <t>ORIG ID:3264681992 DESC DATE:211</t>
  </si>
  <si>
    <t>ORIG ID:1592126793 DESC DATE:220</t>
  </si>
  <si>
    <t>89 MI 04/03</t>
  </si>
  <si>
    <t>ORIG ID:9215986202 DESC DATE:210</t>
  </si>
  <si>
    <t>A: F121000358/121000358 A/C: INT</t>
  </si>
  <si>
    <t>Online ACH Payment 11134903816 T o MicheleCobb (_######6800)</t>
  </si>
  <si>
    <t>07/01</t>
  </si>
  <si>
    <t>08/01</t>
  </si>
  <si>
    <t>BOD pkt printing</t>
  </si>
  <si>
    <t>medallions</t>
  </si>
  <si>
    <t>Online Transfer to CHK ...7365 t ransaction#: 21082318529</t>
  </si>
  <si>
    <t>ransaction#: 12075423117</t>
  </si>
  <si>
    <t>deposit for 2024</t>
  </si>
  <si>
    <t>ransaction#: 16820902547</t>
  </si>
  <si>
    <t>Online Transfer to CHK ...7851 t ransaction#: 21560709453</t>
  </si>
  <si>
    <t>Online Transfer to CHK ...7365 t ransaction#: 21422175615</t>
  </si>
  <si>
    <t>net galley</t>
  </si>
  <si>
    <t>jarpa</t>
  </si>
  <si>
    <t>NOT REALLY</t>
  </si>
  <si>
    <t>ioFile</t>
  </si>
  <si>
    <t>pozotron payment 1</t>
  </si>
  <si>
    <t>MARCH</t>
  </si>
  <si>
    <t>ORIG ID:4101813436 DESC DATE:230</t>
  </si>
  <si>
    <t>ORIG ID:1592126793 DESC DATE:230</t>
  </si>
  <si>
    <t>ORIG ID:4284601835 DESC DATE:230</t>
  </si>
  <si>
    <t>ORIG ID:3264681992 DESC DATE:230</t>
  </si>
  <si>
    <t>Book Buzz 25% project deposit</t>
  </si>
  <si>
    <t>Book Buzz</t>
  </si>
  <si>
    <t>04/19</t>
  </si>
  <si>
    <t>06/14</t>
  </si>
  <si>
    <t>GOOGLE *GSUITE_audio cc@google.c om CA        07/01</t>
  </si>
  <si>
    <t>EIG*CONSTANTCONTACT.CO 855-22955 06 MA        07/02</t>
  </si>
  <si>
    <t>Online ACH Payment 11026785689 T o AudioFilePublications (_######</t>
  </si>
  <si>
    <t>REMOTE ONLINE DEPOSIT # 1</t>
  </si>
  <si>
    <t>Online ACH Payment 11112530090 T o MicheleCobb (_######6800)</t>
  </si>
  <si>
    <t>ORIG CO NAME:Great American G ORIG ID:F800146791 DESC DATE:240</t>
  </si>
  <si>
    <t>r Membership</t>
  </si>
  <si>
    <t>harper</t>
  </si>
  <si>
    <t>teleprompter</t>
  </si>
  <si>
    <t>cars</t>
  </si>
  <si>
    <t>ORIG CO NAME:BANKCARD-8566 ORIG ID:1592126793 DESC DATE:240</t>
  </si>
  <si>
    <t>A: WELLS FARGO NA/121000248 A/C:</t>
  </si>
  <si>
    <t>Reconcile Adjustment</t>
  </si>
  <si>
    <t>ACCESSIBE.COM ACCESSIBE.COM NY 06/14</t>
  </si>
  <si>
    <t>Credit Return: Online Payment 20 695568518 To KLS Worldwide Chauf</t>
  </si>
  <si>
    <t>Online Transfer to CHK ...7365 t ransaction#: 21443691410</t>
  </si>
  <si>
    <t>ORIG CO NAME:RAYDIUS CORPORAT ORIG ID:9215986202 DESC DATE:240</t>
  </si>
  <si>
    <t>to offset</t>
  </si>
  <si>
    <t>SUNSAMA PRO PLAN SUNSAMA.COM CA 11/28</t>
  </si>
  <si>
    <t>TST* WESTVILLE - WEST 212-741-79 71 NY        03/08</t>
  </si>
  <si>
    <t>Transfer</t>
  </si>
  <si>
    <t>emma</t>
  </si>
  <si>
    <t>FEDEX485793557 800-4633339 TN 03/27</t>
  </si>
  <si>
    <t>FEDEX485184746 800-4633339 TN 03/20</t>
  </si>
  <si>
    <t>FEDEX237041151 800-4633339 TN 03/27</t>
  </si>
  <si>
    <t>Entries flagged in Unmatched_QB (i.e., in QB but not in Bank)</t>
  </si>
  <si>
    <t>Only 4 entries should have been flagged instead of 14 (Annexure 1)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</si>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</sst>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yyyy\-mm\-dd\ hh:mm:ss"/>
    <numFmt numFmtId="166" formatCode="mm/dd/yyyy\ hh:mm:ss\ \a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6" fillId="0" borderId="5"/>
    <xf numFmtId="9" fontId="2" fillId="0" borderId="0" applyFont="0" applyFill="0" applyBorder="0" applyAlignment="0" applyProtection="0"/>
  </cellStyleXfs>
  <cellXfs count="11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wrapText="1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43" fontId="0" fillId="2" borderId="1" xfId="1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43" fontId="0" fillId="0" borderId="0" xfId="1" applyFont="1" applyAlignment="1">
      <alignment horizontal="center"/>
    </xf>
    <xf numFmtId="165" fontId="0" fillId="0" borderId="1" xfId="0" applyNumberFormat="1" applyBorder="1"/>
    <xf numFmtId="14" fontId="0" fillId="0" borderId="0" xfId="0" applyNumberFormat="1" applyAlignment="1">
      <alignment horizontal="center"/>
    </xf>
    <xf numFmtId="14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43" fontId="1" fillId="0" borderId="3" xfId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0" fillId="0" borderId="3" xfId="0" applyNumberFormat="1" applyBorder="1"/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165" fontId="0" fillId="0" borderId="2" xfId="0" applyNumberFormat="1" applyBorder="1"/>
    <xf numFmtId="0" fontId="0" fillId="0" borderId="2" xfId="0" applyBorder="1"/>
    <xf numFmtId="0" fontId="4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43" fontId="3" fillId="0" borderId="1" xfId="1" applyFont="1" applyFill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1" fontId="0" fillId="0" borderId="1" xfId="1" applyNumberFormat="1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2" fontId="0" fillId="0" borderId="1" xfId="1" applyNumberFormat="1" applyFont="1" applyFill="1" applyBorder="1" applyAlignment="1">
      <alignment vertical="top"/>
    </xf>
    <xf numFmtId="43" fontId="0" fillId="0" borderId="1" xfId="1" applyFont="1" applyFill="1" applyBorder="1" applyAlignment="1">
      <alignment vertical="top"/>
    </xf>
    <xf numFmtId="0" fontId="7" fillId="0" borderId="1" xfId="2" applyFont="1" applyBorder="1" applyAlignment="1">
      <alignment horizontal="center" wrapText="1"/>
    </xf>
    <xf numFmtId="166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2" fontId="0" fillId="0" borderId="1" xfId="1" applyNumberFormat="1" applyFont="1" applyFill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3" fillId="0" borderId="0" xfId="0" applyFont="1"/>
    <xf numFmtId="43" fontId="0" fillId="0" borderId="1" xfId="1" applyFont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1" applyFont="1" applyFill="1" applyBorder="1"/>
    <xf numFmtId="0" fontId="3" fillId="3" borderId="1" xfId="0" applyFont="1" applyFill="1" applyBorder="1"/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5" borderId="1" xfId="1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167" fontId="10" fillId="6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0" fillId="7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2" fontId="0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1" applyNumberFormat="1" applyFon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2" fontId="0" fillId="5" borderId="1" xfId="1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14" fontId="0" fillId="0" borderId="1" xfId="0" applyNumberFormat="1" applyBorder="1" applyAlignment="1">
      <alignment wrapText="1"/>
    </xf>
    <xf numFmtId="14" fontId="10" fillId="6" borderId="3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2" fontId="0" fillId="0" borderId="6" xfId="1" applyNumberFormat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left"/>
    </xf>
    <xf numFmtId="43" fontId="10" fillId="6" borderId="4" xfId="1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 indent="1"/>
    </xf>
    <xf numFmtId="43" fontId="10" fillId="0" borderId="0" xfId="1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right" vertical="center" wrapText="1"/>
    </xf>
    <xf numFmtId="2" fontId="11" fillId="6" borderId="6" xfId="1" applyNumberFormat="1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center" vertical="center"/>
    </xf>
    <xf numFmtId="9" fontId="0" fillId="0" borderId="0" xfId="3" applyFont="1"/>
    <xf numFmtId="0" fontId="4" fillId="0" borderId="1" xfId="0" applyFont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HeaderCellStyle" xfId="2" xr:uid="{65F30D22-6671-4ACF-B9CF-D2D9D5AC0E87}"/>
    <cellStyle name="Normal" xfId="0" builtinId="0"/>
    <cellStyle name="Percent" xfId="3" builtinId="5"/>
  </cellStyles>
  <dxfs count="109">
    <dxf>
      <numFmt numFmtId="35" formatCode="_(* #,##0.00_);_(* \(#,##0.00\);_(* &quot;-&quot;??_);_(@_)"/>
    </dxf>
    <dxf>
      <fill>
        <patternFill patternType="none">
          <fgColor indexed="64"/>
          <bgColor indexed="6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/>
        <color auto="1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4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4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47810416669" createdVersion="8" refreshedVersion="8" minRefreshableVersion="3" recordCount="22" xr:uid="{FC3DE973-9962-4585-9843-B540E3CF9E29}">
  <cacheSource type="worksheet">
    <worksheetSource ref="J2:R24" sheet="Sheet1" r:id="rId2"/>
  </cacheSource>
  <cacheFields count="9">
    <cacheField name="Transaction date" numFmtId="0">
      <sharedItems/>
    </cacheField>
    <cacheField name="Year" numFmtId="0">
      <sharedItems count="3">
        <s v="2023"/>
        <s v="2024"/>
        <s v="2025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0">
      <sharedItems containsSemiMixedTypes="0" containsString="0" containsNumber="1" containsInteger="1" minValue="-13600" maxValue="-13600"/>
    </cacheField>
    <cacheField name="Balance" numFmtId="0">
      <sharedItems containsSemiMixedTypes="0" containsString="0" containsNumber="1" minValue="68435.53000000109" maxValue="663587.30000000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47413657405" createdVersion="8" refreshedVersion="8" minRefreshableVersion="3" recordCount="24" xr:uid="{006A3BE1-AF4F-4ED9-B4FC-E642B0854A4E}">
  <cacheSource type="worksheet">
    <worksheetSource ref="B2:H26" sheet="Sheet1" r:id="rId2"/>
  </cacheSource>
  <cacheFields count="7">
    <cacheField name="Debit/Credit" numFmtId="0">
      <sharedItems/>
    </cacheField>
    <cacheField name="Date" numFmtId="0">
      <sharedItems containsDate="1" containsMixedTypes="1" minDate="2023-10-26T00:00:00" maxDate="2025-05-01T00:00:00"/>
    </cacheField>
    <cacheField name="Year" numFmtId="1">
      <sharedItems containsSemiMixedTypes="0" containsString="0" containsNumber="1" containsInteger="1" minValue="2023" maxValue="2025" count="3">
        <n v="2023"/>
        <n v="2024"/>
        <n v="2025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13600" maxValue="-13600"/>
    </cacheField>
    <cacheField name="Outstanding Balance" numFmtId="164">
      <sharedItems containsSemiMixedTypes="0" containsString="0" containsNumber="1" minValue="65011.169999999693" maxValue="364211.169999999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61731365742" createdVersion="8" refreshedVersion="8" minRefreshableVersion="3" recordCount="12" xr:uid="{204ECBC6-C90F-4368-95EB-C3B889711C55}">
  <cacheSource type="worksheet">
    <worksheetSource ref="A10:G22" sheet="Annexure 1"/>
  </cacheSource>
  <cacheFields count="7">
    <cacheField name="Debit/Credit" numFmtId="0">
      <sharedItems/>
    </cacheField>
    <cacheField name="Date" numFmtId="0">
      <sharedItems/>
    </cacheField>
    <cacheField name="Year" numFmtId="1">
      <sharedItems containsSemiMixedTypes="0" containsString="0" containsNumber="1" containsInteger="1" minValue="2019" maxValue="2023" count="3">
        <n v="2019"/>
        <n v="2022"/>
        <n v="2023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7350" maxValue="-7350"/>
    </cacheField>
    <cacheField name="Outstanding Balance" numFmtId="43">
      <sharedItems containsSemiMixedTypes="0" containsString="0" containsNumber="1" minValue="301434.40000000008" maxValue="1242182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62321296296" createdVersion="8" refreshedVersion="8" minRefreshableVersion="3" recordCount="21" xr:uid="{B3287E66-7E71-4566-85C6-60564D0D6F89}">
  <cacheSource type="worksheet">
    <worksheetSource ref="I10:Q31" sheet="Annexure 1"/>
  </cacheSource>
  <cacheFields count="9">
    <cacheField name="Transaction date" numFmtId="166">
      <sharedItems/>
    </cacheField>
    <cacheField name="Year" numFmtId="166">
      <sharedItems count="4">
        <s v="2019"/>
        <s v="2020"/>
        <s v="2021"/>
        <s v="2022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2">
      <sharedItems containsSemiMixedTypes="0" containsString="0" containsNumber="1" containsInteger="1" minValue="-7350" maxValue="-7350"/>
    </cacheField>
    <cacheField name="Balance" numFmtId="4">
      <sharedItems containsSemiMixedTypes="0" containsString="0" containsNumber="1" minValue="179517.86000000068" maxValue="834546.68000000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70941435188" createdVersion="8" refreshedVersion="8" minRefreshableVersion="3" recordCount="9" xr:uid="{DEBBD8B9-EDB4-49F4-883C-3392BD639D0B}">
  <cacheSource type="worksheet">
    <worksheetSource ref="I2:Q11" sheet="Sheet1" r:id="rId2"/>
  </cacheSource>
  <cacheFields count="9">
    <cacheField name="Transaction date" numFmtId="166">
      <sharedItems/>
    </cacheField>
    <cacheField name="Year" numFmtId="166">
      <sharedItems count="3">
        <s v="2018"/>
        <s v="2020"/>
        <s v="2021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2">
      <sharedItems containsSemiMixedTypes="0" containsString="0" containsNumber="1" containsInteger="1" minValue="-6675" maxValue="-6675"/>
    </cacheField>
    <cacheField name="Balance" numFmtId="4">
      <sharedItems containsSemiMixedTypes="0" containsString="0" containsNumber="1" minValue="369119.7700000006" maxValue="574847.22000000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70454745372" createdVersion="8" refreshedVersion="8" minRefreshableVersion="3" recordCount="13" xr:uid="{3323551A-54C0-4FD5-ACCC-E8D98318F220}">
  <cacheSource type="worksheet">
    <worksheetSource ref="A2:G15" sheet="Sheet1" r:id="rId2"/>
  </cacheSource>
  <cacheFields count="7">
    <cacheField name="Debit/Credit" numFmtId="0">
      <sharedItems/>
    </cacheField>
    <cacheField name="Date" numFmtId="0">
      <sharedItems/>
    </cacheField>
    <cacheField name="Year" numFmtId="1">
      <sharedItems containsSemiMixedTypes="0" containsString="0" containsNumber="1" containsInteger="1" minValue="2018" maxValue="2020" count="3">
        <n v="2018"/>
        <n v="2019"/>
        <n v="2020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6675" maxValue="-6675"/>
    </cacheField>
    <cacheField name="Outstanding Balance" numFmtId="164">
      <sharedItems containsSemiMixedTypes="0" containsString="0" containsNumber="1" minValue="144152.49000000011" maxValue="483854.29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622959143519" createdVersion="8" refreshedVersion="8" minRefreshableVersion="3" recordCount="454" xr:uid="{CDB00A6B-8879-496F-ABFB-CEB971C2D201}">
  <cacheSource type="worksheet">
    <worksheetSource ref="A1:F455" sheet="Unmatched_QB"/>
  </cacheSource>
  <cacheFields count="6">
    <cacheField name="Date" numFmtId="0">
      <sharedItems containsSemiMixedTypes="0" containsNonDate="0" containsDate="1" containsString="0" minDate="2018-06-01T00:00:00" maxDate="2025-06-16T00:00:00"/>
    </cacheField>
    <cacheField name="Type" numFmtId="0">
      <sharedItems/>
    </cacheField>
    <cacheField name="Description" numFmtId="0">
      <sharedItems containsBlank="1"/>
    </cacheField>
    <cacheField name="Amount" numFmtId="0">
      <sharedItems containsSemiMixedTypes="0" containsString="0" containsNumber="1" minValue="-46240.21" maxValue="79070"/>
    </cacheField>
    <cacheField name="Balance" numFmtId="0">
      <sharedItems containsSemiMixedTypes="0" containsString="0" containsNumber="1" minValue="68435.53000000109" maxValue="1122637.5800000019"/>
    </cacheField>
    <cacheField name="Remark" numFmtId="0">
      <sharedItems containsBlank="1" count="9">
        <s v="Not in Bank"/>
        <m/>
        <s v="In Bank"/>
        <s v="Mismatch (Refer Annexure)"/>
        <s v="In Bank (Month/Year mismatch hence not detected)"/>
        <s v="In Bank (QB-Dec 23 + Bank-Jan 24)"/>
        <s v="Mismatch (Refer Annexure 1)"/>
        <s v="In Bank (Total no. of entries and amount in bank and QB are the same)"/>
        <s v="In Bank (Only one entry in Bank dated 1/10/2023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90.43741111111" createdVersion="8" refreshedVersion="8" minRefreshableVersion="3" recordCount="22" xr:uid="{44F8782A-6FCF-40B0-A24D-141F1D0B4A9D}">
  <cacheSource type="worksheet">
    <worksheetSource ref="A17:G39" sheet="Annexure 2"/>
  </cacheSource>
  <cacheFields count="7">
    <cacheField name="Source" numFmtId="0">
      <sharedItems count="2">
        <s v="Bank  "/>
        <s v="QB"/>
      </sharedItems>
    </cacheField>
    <cacheField name="Date" numFmtId="0">
      <sharedItems/>
    </cacheField>
    <cacheField name="Description" numFmtId="0">
      <sharedItems/>
    </cacheField>
    <cacheField name="Year" numFmtId="0">
      <sharedItems containsMixedTypes="1" containsNumber="1" containsInteger="1" minValue="2018" maxValue="2020"/>
    </cacheField>
    <cacheField name="Amount" numFmtId="2">
      <sharedItems containsSemiMixedTypes="0" containsString="0" containsNumber="1" containsInteger="1" minValue="-6675" maxValue="-6675"/>
    </cacheField>
    <cacheField name="Remark" numFmtId="0">
      <sharedItems containsBlank="1" count="5">
        <s v="T0 in QB"/>
        <m/>
        <s v="T0+1 in QB"/>
        <s v="T0+53 in QB"/>
        <s v="T0 in Bank"/>
      </sharedItems>
    </cacheField>
    <cacheField name="Identifier" numFmtId="0">
      <sharedItems count="3">
        <s v="Same date and amount but transaction number mismatch"/>
        <s v="Transaction number in Bank Description &amp; QB Memo/Description"/>
        <s v="No common identifie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ishka  Jain" refreshedDate="45891.440329050929" createdVersion="8" refreshedVersion="8" minRefreshableVersion="3" recordCount="33" xr:uid="{0B1EFE0B-E314-4C5D-B7D9-34D5342E8D54}">
  <cacheSource type="worksheet">
    <worksheetSource ref="A22:G55" sheet="Sheet1"/>
  </cacheSource>
  <cacheFields count="7">
    <cacheField name="Source" numFmtId="0">
      <sharedItems count="2">
        <s v="Bank"/>
        <s v="QB"/>
      </sharedItems>
    </cacheField>
    <cacheField name="Date" numFmtId="14">
      <sharedItems containsDate="1" containsMixedTypes="1" minDate="2019-01-23T00:00:00" maxDate="2022-04-02T00:00:00"/>
    </cacheField>
    <cacheField name="Description" numFmtId="0">
      <sharedItems/>
    </cacheField>
    <cacheField name="Year" numFmtId="0">
      <sharedItems containsMixedTypes="1" containsNumber="1" containsInteger="1" minValue="2019" maxValue="2023" count="7">
        <n v="2019"/>
        <n v="2022"/>
        <n v="2023"/>
        <s v="2019"/>
        <s v="2020"/>
        <s v="2021"/>
        <s v="2022"/>
      </sharedItems>
    </cacheField>
    <cacheField name="Amount" numFmtId="2">
      <sharedItems containsSemiMixedTypes="0" containsString="0" containsNumber="1" containsInteger="1" minValue="-7350" maxValue="-7350"/>
    </cacheField>
    <cacheField name="Remark" numFmtId="0">
      <sharedItems containsBlank="1" count="10">
        <s v="T+0 in QB"/>
        <s v="T+3 in QB"/>
        <s v="T+7 in QB"/>
        <s v="T+26 in QB"/>
        <s v="T+35 in QB"/>
        <s v="T+ 31 in QB"/>
        <s v="T+ 12 in Bank"/>
        <m/>
        <s v="T+ 5 in Bank"/>
        <s v="T+4 in Bank"/>
      </sharedItems>
    </cacheField>
    <cacheField name="Identifier" numFmtId="0">
      <sharedItems count="3">
        <s v="Same date and amount but transaction number mismatch"/>
        <s v="Transaction number in Bank Description &amp; QB Memo/Description"/>
        <s v="No common identifie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08/23/2023"/>
    <x v="0"/>
    <s v="Expense"/>
    <s v=""/>
    <s v="Pelorus"/>
    <s v="Online Transfer to CHK ...7365 t ransaction#: 18241607941"/>
    <s v=""/>
    <n v="-13600"/>
    <n v="190252.24000000171"/>
  </r>
  <r>
    <s v="09/26/2023"/>
    <x v="0"/>
    <s v="Expense"/>
    <s v=""/>
    <s v="Pelorus"/>
    <s v="Online Transfer to CHK ...7365 t ransaction#: 18827489616"/>
    <s v="90000 General &amp; Administrative:91500 Management Fee"/>
    <n v="-13600"/>
    <n v="183535.14000000173"/>
  </r>
  <r>
    <s v="09/26/2023"/>
    <x v="0"/>
    <s v="Expense"/>
    <s v=""/>
    <s v="Pelorus"/>
    <s v="Online Transfer to CHK ...7365 t ransaction#: 18827521111"/>
    <s v="90000 General &amp; Administrative:91500 Management Fee"/>
    <n v="-13600"/>
    <n v="169935.14000000173"/>
  </r>
  <r>
    <s v="11/09/2023"/>
    <x v="0"/>
    <s v="Expense"/>
    <s v=""/>
    <s v="Pelorus"/>
    <s v="Online Transfer to CHK ...7365 t ransaction#: 18958116826"/>
    <s v="90000 General &amp; Administrative:91500 Management Fee"/>
    <n v="-13600"/>
    <n v="187745.18000000171"/>
  </r>
  <r>
    <s v="12/15/2023"/>
    <x v="0"/>
    <s v="Check"/>
    <s v="29"/>
    <s v="Pelorus"/>
    <s v=""/>
    <s v=""/>
    <n v="-13600"/>
    <n v="292905.42000000173"/>
  </r>
  <r>
    <s v="01/15/2024"/>
    <x v="1"/>
    <s v="Check"/>
    <s v="30"/>
    <s v="Pelorus"/>
    <s v=""/>
    <s v=""/>
    <n v="-13600"/>
    <n v="419101.30000000173"/>
  </r>
  <r>
    <s v="02/15/2024"/>
    <x v="1"/>
    <s v="Check"/>
    <s v="35"/>
    <s v="Pelorus"/>
    <s v=""/>
    <s v=""/>
    <n v="-13600"/>
    <n v="547989.60000000161"/>
  </r>
  <r>
    <s v="03/15/2024"/>
    <x v="1"/>
    <s v="Check"/>
    <s v="36"/>
    <s v="Pelorus"/>
    <s v=""/>
    <s v=""/>
    <n v="-13600"/>
    <n v="380361.57000000146"/>
  </r>
  <r>
    <s v="05/10/2024"/>
    <x v="1"/>
    <s v="Check"/>
    <s v=""/>
    <s v="Pelorus"/>
    <s v=""/>
    <s v=""/>
    <n v="-13600"/>
    <n v="240728.27000000142"/>
  </r>
  <r>
    <s v="06/15/2024"/>
    <x v="1"/>
    <s v="Check"/>
    <s v="53"/>
    <s v="Pelorus"/>
    <s v=""/>
    <s v=""/>
    <n v="-13600"/>
    <n v="193866.11000000138"/>
  </r>
  <r>
    <s v="07/03/2024"/>
    <x v="1"/>
    <s v="Check"/>
    <s v=""/>
    <s v="Pelorus"/>
    <s v=""/>
    <s v=""/>
    <n v="-13600"/>
    <n v="202029.67000000138"/>
  </r>
  <r>
    <s v="08/03/2024"/>
    <x v="1"/>
    <s v="Check"/>
    <s v=""/>
    <s v="Pelorus"/>
    <s v=""/>
    <s v=""/>
    <n v="-13600"/>
    <n v="297803.67000000138"/>
  </r>
  <r>
    <s v="10/15/2024"/>
    <x v="1"/>
    <s v="Expense"/>
    <s v=""/>
    <s v="Pelorus"/>
    <s v="Online Transfer to CHK ...7365 t ransaction#: 21560675136"/>
    <s v=""/>
    <n v="-13600"/>
    <n v="283874.36000000138"/>
  </r>
  <r>
    <s v="11/12/2024"/>
    <x v="1"/>
    <s v="Expense"/>
    <s v=""/>
    <s v="Pelorus"/>
    <s v="Online Transfer to CHK ...7365 t ransaction#: 22690662526"/>
    <s v=""/>
    <n v="-13600"/>
    <n v="172173.83000000138"/>
  </r>
  <r>
    <s v="12/03/2024"/>
    <x v="1"/>
    <s v="Expense"/>
    <s v=""/>
    <s v=""/>
    <s v="Online Transfer to CHK ...7365 t ransaction#: 22928479829"/>
    <s v=""/>
    <n v="-13600"/>
    <n v="99087.160000001357"/>
  </r>
  <r>
    <s v="01/15/2025"/>
    <x v="2"/>
    <s v="Check"/>
    <s v="55"/>
    <s v="Pelorus"/>
    <s v=""/>
    <s v=""/>
    <n v="-13600"/>
    <n v="359587.59000000131"/>
  </r>
  <r>
    <s v="02/15/2025"/>
    <x v="2"/>
    <s v="Expense"/>
    <s v=""/>
    <s v="Pelorus"/>
    <s v="Online Transfer to CHK ...7365 t ransaction#: 21560675136"/>
    <s v=""/>
    <n v="-13600"/>
    <n v="663587.30000000121"/>
  </r>
  <r>
    <s v="02/20/2025"/>
    <x v="2"/>
    <s v="Expense"/>
    <s v=""/>
    <s v="Pelorus"/>
    <s v="Online Transfer to CHK ...7365 t ransaction#: 23470114074"/>
    <s v=""/>
    <n v="-13600"/>
    <n v="648738.60000000114"/>
  </r>
  <r>
    <s v="03/06/2025"/>
    <x v="2"/>
    <s v="Expense"/>
    <s v=""/>
    <s v=""/>
    <s v="Online Transfer to CHK ...7365 t ransaction#: 23959342029"/>
    <s v=""/>
    <n v="-13600"/>
    <n v="348832.6800000011"/>
  </r>
  <r>
    <s v="04/14/2025"/>
    <x v="2"/>
    <s v="Expense"/>
    <s v=""/>
    <s v="Pelorus"/>
    <s v="Online Transfer to CHK ...7365 t ransaction#: 24408407851"/>
    <s v=""/>
    <n v="-13600"/>
    <n v="179184.57000000111"/>
  </r>
  <r>
    <s v="05/01/2025"/>
    <x v="2"/>
    <s v="Expense"/>
    <s v=""/>
    <s v="Pelorus"/>
    <s v="Online Transfer to CHK ...7365 t ransaction#: 24585845531"/>
    <s v="90000 General &amp; Administrative:91500 Management Fee"/>
    <n v="-13600"/>
    <n v="76384.200000001103"/>
  </r>
  <r>
    <s v="06/15/2025"/>
    <x v="2"/>
    <s v="Expense"/>
    <s v=""/>
    <s v=""/>
    <s v="Online Transfer to CHK ...7365 t ransaction#: 24240779608"/>
    <s v="90000 General &amp; Administrative:91500 Management Fee"/>
    <n v="-13600"/>
    <n v="68435.530000001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DEBIT"/>
    <d v="2023-10-26T00:00:00"/>
    <x v="0"/>
    <s v="Online Transfer to CHK ...7365 transaction#: 18827521111 10/26"/>
    <s v="ACCT_XFER"/>
    <n v="-13600"/>
    <n v="364211.16999999969"/>
  </r>
  <r>
    <s v="DEBIT"/>
    <d v="2023-10-26T00:00:00"/>
    <x v="0"/>
    <s v="Online Transfer to CHK ...7365 transaction#: 18827489616 10/26"/>
    <s v="ACCT_XFER"/>
    <n v="-13600"/>
    <n v="350611.16999999969"/>
  </r>
  <r>
    <s v="DEBIT"/>
    <d v="2023-11-09T00:00:00"/>
    <x v="0"/>
    <s v="Online Transfer to CHK ...7365 transaction#: 18958116826 11/09"/>
    <s v="ACCT_XFER"/>
    <n v="-13600"/>
    <n v="337011.16999999969"/>
  </r>
  <r>
    <s v="DEBIT"/>
    <d v="2024-01-17T00:00:00"/>
    <x v="1"/>
    <s v="Online Transfer to CHK ...7365 transaction#: 19599228283 01/17"/>
    <s v="ACCT_XFER"/>
    <n v="-13600"/>
    <n v="323411.16999999969"/>
  </r>
  <r>
    <s v="DEBIT"/>
    <d v="2024-01-17T00:00:00"/>
    <x v="1"/>
    <s v="Online Transfer to CHK ...7365 transaction#: 19599234533 01/17"/>
    <s v="ACCT_XFER"/>
    <n v="-13600"/>
    <n v="309811.16999999969"/>
  </r>
  <r>
    <s v="DEBIT"/>
    <d v="2024-02-22T00:00:00"/>
    <x v="1"/>
    <s v="Online Transfer to CHK ...7365 transaction#: 19936477651 02/22"/>
    <s v="ACCT_XFER"/>
    <n v="-13600"/>
    <n v="296211.16999999969"/>
  </r>
  <r>
    <s v="DEBIT"/>
    <d v="2024-02-26T00:00:00"/>
    <x v="1"/>
    <s v="Online Transfer to CHK ...7365 transaction#: 19974806128 02/26"/>
    <s v="ACCT_XFER"/>
    <n v="-13600"/>
    <n v="282611.16999999969"/>
  </r>
  <r>
    <s v="DEBIT"/>
    <d v="2024-03-15T00:00:00"/>
    <x v="1"/>
    <s v="Online Transfer to CHK ...7365 transaction#: 20169819083 03/15"/>
    <s v="ACCT_XFER"/>
    <n v="-13600"/>
    <n v="269011.16999999969"/>
  </r>
  <r>
    <s v="DEBIT"/>
    <d v="2024-05-10T00:00:00"/>
    <x v="1"/>
    <s v="Online Transfer to CHK ...7365 transaction#: 20740517135 05/10"/>
    <s v="ACCT_XFER"/>
    <n v="-13600"/>
    <n v="255411.16999999969"/>
  </r>
  <r>
    <s v="DEBIT"/>
    <d v="2024-06-12T00:00:00"/>
    <x v="1"/>
    <s v="Online Transfer to CHK ...7365 transaction#: 21069692505 06/12"/>
    <s v="ACCT_XFER"/>
    <n v="-13600"/>
    <n v="241811.16999999969"/>
  </r>
  <r>
    <s v="DEBIT"/>
    <d v="2024-06-12T00:00:00"/>
    <x v="1"/>
    <s v="Online Transfer to CHK ...7365 transaction#: 21069681384 06/12"/>
    <s v="ACCT_XFER"/>
    <n v="-13600"/>
    <n v="228211.16999999969"/>
  </r>
  <r>
    <s v="DEBIT"/>
    <d v="2024-06-13T00:00:00"/>
    <x v="1"/>
    <s v="Online Transfer to CHK ...7365 transaction#: 21079635193 06/13"/>
    <s v="ACCT_XFER"/>
    <n v="-13600"/>
    <n v="214611.16999999969"/>
  </r>
  <r>
    <s v="DEBIT"/>
    <d v="2024-08-29T00:00:00"/>
    <x v="1"/>
    <s v="Online Transfer to CHK ...7365 transaction#: 21877360532 08/29"/>
    <s v="ACCT_XFER"/>
    <n v="-13600"/>
    <n v="201011.16999999969"/>
  </r>
  <r>
    <s v="DEBIT"/>
    <d v="2024-08-29T00:00:00"/>
    <x v="1"/>
    <s v="Online Transfer to CHK ...7365 transaction#: 21877317629 08/29"/>
    <s v="ACCT_XFER"/>
    <n v="-13600"/>
    <n v="187411.16999999969"/>
  </r>
  <r>
    <s v="DEBIT"/>
    <d v="2024-09-27T00:00:00"/>
    <x v="1"/>
    <s v="Online Transfer to CHK ...7365 transaction#: 22185579008 09/27"/>
    <s v="ACCT_XFER"/>
    <n v="-13600"/>
    <n v="173811.16999999969"/>
  </r>
  <r>
    <s v="DEBIT"/>
    <d v="2024-11-12T00:00:00"/>
    <x v="1"/>
    <s v="Online Transfer to CHK ...7365 transaction#: 22690662526 11/12"/>
    <s v="ACCT_XFER"/>
    <n v="-13600"/>
    <n v="160211.16999999969"/>
  </r>
  <r>
    <s v="DEBIT"/>
    <d v="2024-12-03T00:00:00"/>
    <x v="1"/>
    <s v="Online Transfer to CHK ...7365 transaction#: 22928479829 12/03"/>
    <s v="ACCT_XFER"/>
    <n v="-13600"/>
    <n v="146611.16999999969"/>
  </r>
  <r>
    <s v="DEBIT"/>
    <d v="2025-01-22T00:00:00"/>
    <x v="2"/>
    <s v="Online Transfer to CHK ...7365 transaction#: 23470114074 01/22"/>
    <s v="ACCT_XFER"/>
    <n v="-13600"/>
    <n v="133011.16999999969"/>
  </r>
  <r>
    <s v="DEBIT"/>
    <d v="2025-02-14T00:00:00"/>
    <x v="2"/>
    <s v="Online Transfer to CHK ...7365 transaction#: 23732220821 02/14"/>
    <s v="ACCT_XFER"/>
    <n v="-13600"/>
    <n v="119411.16999999969"/>
  </r>
  <r>
    <s v="DEBIT"/>
    <d v="2025-03-06T00:00:00"/>
    <x v="2"/>
    <s v="Online Transfer to CHK ...7365 transaction#: 23959342029 03/06"/>
    <s v="ACCT_XFER"/>
    <n v="-13600"/>
    <n v="105811.16999999969"/>
  </r>
  <r>
    <s v="DEBIT"/>
    <d v="2025-03-31T00:00:00"/>
    <x v="2"/>
    <s v="Online Transfer to CHK ...7365 transaction#: 24240779608 03/31"/>
    <s v="ACCT_XFER"/>
    <n v="-13600"/>
    <n v="92211.169999999693"/>
  </r>
  <r>
    <s v="DEBIT"/>
    <d v="2025-04-14T00:00:00"/>
    <x v="2"/>
    <s v="Online Transfer to CHK ...7365 transaction#: 24408407851 04/14"/>
    <s v="ACCT_XFER"/>
    <n v="-13600"/>
    <n v="78611.169999999693"/>
  </r>
  <r>
    <s v="DEBIT"/>
    <d v="2025-04-30T00:00:00"/>
    <x v="2"/>
    <s v="Online Transfer to CHK ...7365 transaction#: 24585845531 04/30"/>
    <s v="ACCT_XFER"/>
    <n v="-13600"/>
    <n v="65011.169999999693"/>
  </r>
  <r>
    <s v="DEBIT"/>
    <s v="08/23/2023"/>
    <x v="0"/>
    <s v="08/23 Online Transfer To Chk ...7365 Transaction#: 18241607941"/>
    <s v="Electronic Withdrawals"/>
    <n v="-13600"/>
    <n v="173829.380000000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Debit"/>
    <s v="2019-01/23"/>
    <x v="0"/>
    <s v="01/23 Online Transfer To Chk ...7365 Transaction#: 7872164571"/>
    <s v="Electronic Withdrawals"/>
    <n v="-7350"/>
    <n v="573625.99999999977"/>
  </r>
  <r>
    <s v="Debit"/>
    <s v="2019-01/29"/>
    <x v="0"/>
    <s v="01/29 Online Transfer To Chk ...7365 Transaction#: 7887914593"/>
    <s v="Electronic Withdrawals"/>
    <n v="-7350"/>
    <n v="559712.34999999974"/>
  </r>
  <r>
    <s v="Debit"/>
    <s v="2019-03/04"/>
    <x v="0"/>
    <s v="03/02 Online Transfer To Chk ...7365 Transaction#: 7993253891"/>
    <s v="Electronic Withdrawals"/>
    <n v="-7350"/>
    <n v="561833.9"/>
  </r>
  <r>
    <s v="Debit"/>
    <s v="2019-03/20"/>
    <x v="0"/>
    <s v="03/20 Online Transfer To Chk ...7365 Transaction#: 8049040246"/>
    <s v="Electronic Withdrawals"/>
    <n v="-7350"/>
    <n v="491239.31000000011"/>
  </r>
  <r>
    <s v="Debit"/>
    <s v="2019-03/27"/>
    <x v="0"/>
    <s v="03/27 Online Transfer To Chk ...7365 Transaction#: 8071277841"/>
    <s v="Electronic Withdrawals"/>
    <n v="-7350"/>
    <n v="486010.6"/>
  </r>
  <r>
    <s v="Debit"/>
    <s v="2019-04/01"/>
    <x v="0"/>
    <s v="04/01 Online Transfer To Chk ...7365 Transaction#: 8090496262"/>
    <s v="Electronic Withdrawals"/>
    <n v="-7350"/>
    <n v="484124.56"/>
  </r>
  <r>
    <s v="Debit"/>
    <s v="2019-04/15"/>
    <x v="0"/>
    <s v="04/13 Online Transfer To Chk ...7365 Transaction#: 8128556593"/>
    <s v="Electronic Withdrawals"/>
    <n v="-7350"/>
    <n v="478914.72"/>
  </r>
  <r>
    <s v="Debit"/>
    <s v="2019-04/15"/>
    <x v="0"/>
    <s v="04/15 Online Transfer To Chk ...7365 Transaction#: 8133828903"/>
    <s v="Electronic Withdrawals"/>
    <n v="-7350"/>
    <n v="471476.33"/>
  </r>
  <r>
    <s v="Debit"/>
    <s v="2019-12/24"/>
    <x v="0"/>
    <s v="12/24 Online Transfer To Chk ...7365 Transaction#: 9001840996"/>
    <s v="Electronic Withdrawals"/>
    <n v="-7350"/>
    <n v="301434.40000000008"/>
  </r>
  <r>
    <s v="Debit"/>
    <s v="2022-04/01"/>
    <x v="1"/>
    <s v="04/01 Online Transfer To Chk ...7365 Transaction#: 14008867191"/>
    <s v="Electronic Withdrawals"/>
    <n v="-7350"/>
    <n v="748320.93"/>
  </r>
  <r>
    <s v="Debit"/>
    <s v="11/09/2022"/>
    <x v="1"/>
    <s v="11/09 Online Transfer To Chk ...7365 Transaction#: 15755466121"/>
    <s v="Electronic Withdrawals"/>
    <n v="-7350"/>
    <n v="658764.92000000004"/>
  </r>
  <r>
    <s v="Debit"/>
    <s v="03/06/2023"/>
    <x v="2"/>
    <s v="03/06 Online Transfer To Chk ...7365 Transaction#: 16753932052"/>
    <s v="Electronic Withdrawals"/>
    <n v="-7350"/>
    <n v="1242182.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01/23/2019"/>
    <x v="0"/>
    <s v="Check"/>
    <s v=""/>
    <s v="Pelorus"/>
    <s v="ransaction#: 7872164571"/>
    <s v=""/>
    <n v="-7350"/>
    <n v="576286.7000000003"/>
  </r>
  <r>
    <s v="02/01/2019"/>
    <x v="0"/>
    <s v="Check"/>
    <s v=""/>
    <s v="Pelorus"/>
    <s v="ransaction#: 7872164571"/>
    <s v=""/>
    <n v="-7350"/>
    <n v="582917.35000000033"/>
  </r>
  <r>
    <s v="03/11/2019"/>
    <x v="0"/>
    <s v="Check"/>
    <s v=""/>
    <s v="Pelorus"/>
    <s v="ransaction#: 7872164571"/>
    <s v=""/>
    <n v="-7350"/>
    <n v="484605.01000000059"/>
  </r>
  <r>
    <s v="04/15/2019"/>
    <x v="0"/>
    <s v="Check"/>
    <s v=""/>
    <s v="Pelorus"/>
    <s v="ransaction#: 7872164571"/>
    <s v=""/>
    <n v="-7350"/>
    <n v="502662.82000000059"/>
  </r>
  <r>
    <s v="05/01/2019"/>
    <x v="0"/>
    <s v="Check"/>
    <s v=""/>
    <s v="Pelorus"/>
    <s v="ransaction#: 7872164571"/>
    <s v=""/>
    <n v="-7350"/>
    <n v="239915.38000000062"/>
  </r>
  <r>
    <s v="11/01/2019"/>
    <x v="0"/>
    <s v="Check"/>
    <s v=""/>
    <s v="Pelorus"/>
    <s v="ransaction#: 7872164571"/>
    <s v=""/>
    <n v="-7350"/>
    <n v="179517.86000000068"/>
  </r>
  <r>
    <s v="12/01/2019"/>
    <x v="0"/>
    <s v="Check"/>
    <s v=""/>
    <s v="Pelorus"/>
    <s v="ransaction#: 7872164571"/>
    <s v=""/>
    <n v="-7350"/>
    <n v="243269.24000000069"/>
  </r>
  <r>
    <s v="01/01/2020"/>
    <x v="1"/>
    <s v="Check"/>
    <s v=""/>
    <s v="Pelorus"/>
    <s v="ransaction#: 7872164571"/>
    <s v=""/>
    <n v="-7350"/>
    <n v="335732.89000000065"/>
  </r>
  <r>
    <s v="02/01/2020"/>
    <x v="1"/>
    <s v="Check"/>
    <s v=""/>
    <s v="Pelorus"/>
    <s v="ransaction#: 8128556593"/>
    <s v=""/>
    <n v="-7350"/>
    <n v="530530.99000000057"/>
  </r>
  <r>
    <s v="02/01/2021"/>
    <x v="2"/>
    <s v="Check"/>
    <s v=""/>
    <s v="Pelorus"/>
    <s v=""/>
    <s v=""/>
    <n v="-7350"/>
    <n v="585322.7500000007"/>
  </r>
  <r>
    <s v="05/01/2021"/>
    <x v="2"/>
    <s v="Check"/>
    <s v=""/>
    <s v="Pelorus"/>
    <s v="ransaction#: 11587814647"/>
    <s v=""/>
    <n v="-7350"/>
    <n v="455962.2400000011"/>
  </r>
  <r>
    <s v="07/01/2021"/>
    <x v="2"/>
    <s v="Check"/>
    <s v=""/>
    <s v="Pelorus"/>
    <s v=""/>
    <s v=""/>
    <n v="-7350"/>
    <n v="410798.21000000107"/>
  </r>
  <r>
    <s v="08/01/2021"/>
    <x v="2"/>
    <s v="Check"/>
    <s v=""/>
    <s v="Pelorus"/>
    <s v=""/>
    <s v=""/>
    <n v="-7350"/>
    <n v="446924.87000000104"/>
  </r>
  <r>
    <s v="09/01/2021"/>
    <x v="2"/>
    <s v="Check"/>
    <s v=""/>
    <s v="Pelorus"/>
    <s v=""/>
    <s v=""/>
    <n v="-7350"/>
    <n v="446949.30000000098"/>
  </r>
  <r>
    <s v="10/01/2021"/>
    <x v="2"/>
    <s v="Check"/>
    <s v=""/>
    <s v="Pelorus"/>
    <s v=""/>
    <s v=""/>
    <n v="-7350"/>
    <n v="492621.44000000093"/>
  </r>
  <r>
    <s v="11/01/2021"/>
    <x v="2"/>
    <s v="Check"/>
    <s v=""/>
    <s v="Pelorus"/>
    <s v=""/>
    <s v=""/>
    <n v="-7350"/>
    <n v="521685.99000000092"/>
  </r>
  <r>
    <s v="03/30/2022"/>
    <x v="3"/>
    <s v="Check"/>
    <s v=""/>
    <s v="Pelorus"/>
    <s v="ransaction#: 14008876144"/>
    <s v=""/>
    <n v="-7350"/>
    <n v="834546.68000000133"/>
  </r>
  <r>
    <s v="08/15/2022"/>
    <x v="3"/>
    <s v="Check"/>
    <s v=""/>
    <s v="Pelorus"/>
    <s v="ransaction#: 14008876144"/>
    <s v=""/>
    <n v="-7350"/>
    <n v="702439.48000000173"/>
  </r>
  <r>
    <s v="09/15/2022"/>
    <x v="3"/>
    <s v="Check"/>
    <s v=""/>
    <s v="Pelorus"/>
    <s v="ransaction#: 14008876144"/>
    <s v=""/>
    <n v="-7350"/>
    <n v="671726.54000000178"/>
  </r>
  <r>
    <s v="11/05/2022"/>
    <x v="3"/>
    <s v="Check"/>
    <s v=""/>
    <s v="Pelorus"/>
    <s v=""/>
    <s v=""/>
    <n v="-7350"/>
    <n v="532681.58000000182"/>
  </r>
  <r>
    <s v="12/01/2022"/>
    <x v="3"/>
    <s v="Check"/>
    <s v=""/>
    <s v="Pelorus"/>
    <s v=""/>
    <s v=""/>
    <n v="-7350"/>
    <n v="567921.2600000017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06/01/2018"/>
    <x v="0"/>
    <s v="Check"/>
    <s v=""/>
    <s v="Pelorus"/>
    <s v="ransaction#: 7086377962"/>
    <s v=""/>
    <n v="-6675"/>
    <n v="437499.36000000039"/>
  </r>
  <r>
    <s v="07/30/2018"/>
    <x v="0"/>
    <s v="Check"/>
    <s v=""/>
    <s v="Pelorus"/>
    <s v="ransaction#: 7353955330"/>
    <s v=""/>
    <n v="-6675"/>
    <n v="382778.2400000004"/>
  </r>
  <r>
    <s v="11/09/2018"/>
    <x v="0"/>
    <s v="Check"/>
    <s v=""/>
    <s v="Pelorus"/>
    <s v="ransaction#: 7650405896"/>
    <s v=""/>
    <n v="-6675"/>
    <n v="430678.56000000023"/>
  </r>
  <r>
    <s v="12/28/2018"/>
    <x v="0"/>
    <s v="Check"/>
    <s v=""/>
    <s v="Pelorus"/>
    <s v="ransaction#: 7794479362"/>
    <s v=""/>
    <n v="-6675"/>
    <n v="452690.75000000041"/>
  </r>
  <r>
    <s v="03/01/2020"/>
    <x v="1"/>
    <s v="Check"/>
    <s v=""/>
    <s v="Pelorus"/>
    <s v=""/>
    <s v="90000 General &amp; Administrative:91500 Management Fee"/>
    <n v="-6675"/>
    <n v="418782.03000000055"/>
  </r>
  <r>
    <s v="04/01/2020"/>
    <x v="1"/>
    <s v="Check"/>
    <s v=""/>
    <s v="Pelorus"/>
    <s v="ransaction#: 8180729078"/>
    <s v=""/>
    <n v="-6675"/>
    <n v="375794.7700000006"/>
  </r>
  <r>
    <s v="04/01/2020"/>
    <x v="1"/>
    <s v="Check"/>
    <s v=""/>
    <s v="Pelorus"/>
    <s v="ransaction#: 8848799201"/>
    <s v="90000 General &amp; Administrative:91500 Management Fee"/>
    <n v="-6675"/>
    <n v="369119.7700000006"/>
  </r>
  <r>
    <s v="03/07/2021"/>
    <x v="2"/>
    <s v="Check"/>
    <s v="8"/>
    <s v=""/>
    <s v="BSL"/>
    <s v="90000 General &amp; Administrative:91500 Management Fee"/>
    <n v="-6675"/>
    <n v="574847.22000000114"/>
  </r>
  <r>
    <s v="06/01/2021"/>
    <x v="2"/>
    <s v="Check"/>
    <s v=""/>
    <s v="Pelorus"/>
    <s v=""/>
    <s v="90000 General &amp; Administrative:91500 Management Fee"/>
    <n v="-6675"/>
    <n v="458173.7300000010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Debit"/>
    <s v="2018-06/01"/>
    <x v="0"/>
    <s v="06/01 Online Transfer To Chk ...7365 Transaction#: 7195928954"/>
    <s v="Electronic Withdrawals"/>
    <n v="-6675"/>
    <n v="443678.75"/>
  </r>
  <r>
    <s v="Debit"/>
    <s v="2018-07/30"/>
    <x v="0"/>
    <s v="07/29 Online Transfer To Chk ...7365 Transaction#: 7353955330"/>
    <s v="Electronic Withdrawals"/>
    <n v="-6675"/>
    <n v="373944.53"/>
  </r>
  <r>
    <s v="Debit"/>
    <s v="2018-09/14"/>
    <x v="0"/>
    <s v="09/14 Online Transfer To Chk ...7365 Transaction#: 7490488264"/>
    <s v="Electronic Withdrawals"/>
    <n v="-6675"/>
    <n v="451929.6999999999"/>
  </r>
  <r>
    <s v="Debit"/>
    <s v="2018-11/09"/>
    <x v="0"/>
    <s v="11/09 Online Transfer To Chk ...7365 Transaction#: 7650405896"/>
    <s v="Electronic Withdrawals"/>
    <n v="-6675"/>
    <n v="427674.33999999991"/>
  </r>
  <r>
    <s v="Debit"/>
    <s v="2018-12/28"/>
    <x v="0"/>
    <s v="12/28 Online Transfer To Chk ...7365 Transaction#: 7794479362"/>
    <s v="Electronic Withdrawals"/>
    <n v="-6675"/>
    <n v="457375.6"/>
  </r>
  <r>
    <s v="Debit"/>
    <s v="2019-04/30"/>
    <x v="1"/>
    <s v="04/30 Online Transfer To Chk ...7365 Transaction#: 8180729078"/>
    <s v="Electronic Withdrawals"/>
    <n v="-6675"/>
    <n v="217891.8"/>
  </r>
  <r>
    <s v="Debit"/>
    <s v="2019-08/30"/>
    <x v="1"/>
    <s v="08/30 Online Transfer To Chk ...7365 Transaction#: 8588846059"/>
    <s v="Electronic Withdrawals"/>
    <n v="-6675"/>
    <n v="157502.49000000011"/>
  </r>
  <r>
    <s v="Debit"/>
    <s v="2019-08/30"/>
    <x v="1"/>
    <s v="08/30 Online Transfer To Chk ...7365 Transaction#: 8588846391"/>
    <s v="Electronic Withdrawals"/>
    <n v="-6675"/>
    <n v="150827.49000000011"/>
  </r>
  <r>
    <s v="Debit"/>
    <s v="2019-08/30"/>
    <x v="1"/>
    <s v="08/30 Online Transfer To Chk ...7365 Transaction#: 8588846731"/>
    <s v="Electronic Withdrawals"/>
    <n v="-6675"/>
    <n v="144152.49000000011"/>
  </r>
  <r>
    <s v="Debit"/>
    <s v="2019-11/12"/>
    <x v="1"/>
    <s v="11/11 Online Transfer To Chk ...7365 Transaction#: 8848799201"/>
    <s v="Electronic Withdrawals"/>
    <n v="-6675"/>
    <n v="152372.6700000001"/>
  </r>
  <r>
    <s v="Debit"/>
    <s v="2019-11/13"/>
    <x v="1"/>
    <s v="11/13 Online Transfer To Chk ...7365 Transaction#: 8854427330"/>
    <s v="Electronic Withdrawals"/>
    <n v="-6675"/>
    <n v="147197.6700000001"/>
  </r>
  <r>
    <s v="Debit"/>
    <s v="2020-02/18"/>
    <x v="2"/>
    <s v="02/17 Online Transfer To Chk ...7365 Transaction#: 9200064996"/>
    <s v="Electronic Withdrawals"/>
    <n v="-6675"/>
    <n v="483854.2900000001"/>
  </r>
  <r>
    <s v="Debit"/>
    <s v="2020-03/05"/>
    <x v="2"/>
    <s v="03/05 Online Transfer To Chk ...7365 Transaction#: 9266205128"/>
    <s v="Electronic Withdrawals"/>
    <n v="-6675"/>
    <n v="300378.2800000000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d v="2022-11-10T00:00:00"/>
    <s v="Check"/>
    <s v="A: CITIZENS BANK, NA/011500120 A"/>
    <n v="-46240.21"/>
    <n v="491818.8700000018"/>
    <x v="0"/>
  </r>
  <r>
    <d v="2018-06-08T00:00:00"/>
    <s v="Deposit"/>
    <s v="89424394518 CCD ID: 1592126793"/>
    <n v="163.75"/>
    <n v="434577.90000000037"/>
    <x v="1"/>
  </r>
  <r>
    <d v="2018-06-11T00:00:00"/>
    <s v="Deposit"/>
    <m/>
    <n v="2448.71"/>
    <n v="437255.76000000042"/>
    <x v="1"/>
  </r>
  <r>
    <d v="2018-06-15T00:00:00"/>
    <s v="Deposit"/>
    <m/>
    <n v="2450"/>
    <n v="439849.52000000043"/>
    <x v="1"/>
  </r>
  <r>
    <d v="2022-09-23T00:00:00"/>
    <s v="Check"/>
    <s v="venue deposit"/>
    <n v="-39000"/>
    <n v="645449.79000000178"/>
    <x v="2"/>
  </r>
  <r>
    <d v="2018-07-07T00:00:00"/>
    <s v="Deposit"/>
    <m/>
    <n v="900"/>
    <n v="401383.31000000029"/>
    <x v="1"/>
  </r>
  <r>
    <d v="2018-07-26T00:00:00"/>
    <s v="Deposit"/>
    <s v="rakuten kobo"/>
    <n v="1500"/>
    <n v="389725.61000000039"/>
    <x v="1"/>
  </r>
  <r>
    <d v="2018-08-22T00:00:00"/>
    <s v="Check"/>
    <s v="et Benson Consulting, Inc."/>
    <n v="-25.78"/>
    <n v="457240.12000000029"/>
    <x v="1"/>
  </r>
  <r>
    <d v="2024-10-31T00:00:00"/>
    <s v="Check"/>
    <m/>
    <n v="-38750"/>
    <n v="194700.93000000139"/>
    <x v="2"/>
  </r>
  <r>
    <d v="2018-08-31T00:00:00"/>
    <s v="Deposit"/>
    <m/>
    <n v="5800"/>
    <n v="462006.08000000031"/>
    <x v="1"/>
  </r>
  <r>
    <d v="2018-08-31T00:00:00"/>
    <s v="Deposit"/>
    <m/>
    <n v="3100"/>
    <n v="472506.08000000031"/>
    <x v="1"/>
  </r>
  <r>
    <d v="2018-08-31T00:00:00"/>
    <s v="Deposit"/>
    <m/>
    <n v="1000"/>
    <n v="463006.08000000031"/>
    <x v="1"/>
  </r>
  <r>
    <d v="2018-10-31T00:00:00"/>
    <s v="Deposit"/>
    <s v="r the River Public Relations"/>
    <n v="3000"/>
    <n v="469490.77000000031"/>
    <x v="1"/>
  </r>
  <r>
    <d v="2018-11-09T00:00:00"/>
    <s v="Deposit"/>
    <m/>
    <n v="30"/>
    <n v="437353.56000000017"/>
    <x v="1"/>
  </r>
  <r>
    <d v="2018-11-24T00:00:00"/>
    <s v="Deposit"/>
    <m/>
    <n v="563.25"/>
    <n v="461159.79000000033"/>
    <x v="1"/>
  </r>
  <r>
    <d v="2023-02-15T00:00:00"/>
    <s v="Check"/>
    <m/>
    <n v="-37481.5"/>
    <n v="1056955.850000002"/>
    <x v="0"/>
  </r>
  <r>
    <d v="2018-11-30T00:00:00"/>
    <s v="Check"/>
    <s v="Balance Adjustment"/>
    <n v="-1.22"/>
    <n v="434420.31000000029"/>
    <x v="1"/>
  </r>
  <r>
    <d v="2018-12-31T00:00:00"/>
    <s v="Check"/>
    <m/>
    <n v="-62.06"/>
    <n v="424550.13000000041"/>
    <x v="1"/>
  </r>
  <r>
    <d v="2018-12-31T00:00:00"/>
    <s v="Check"/>
    <m/>
    <n v="-667.24"/>
    <n v="423882.89000000042"/>
    <x v="1"/>
  </r>
  <r>
    <d v="2024-08-16T00:00:00"/>
    <s v="Expense"/>
    <s v="Online ACH Payment 11141890888 T o MicheleCobb (_######6800)"/>
    <n v="-35181.94"/>
    <n v="291504.86000000138"/>
    <x v="0"/>
  </r>
  <r>
    <d v="2019-01-01T00:00:00"/>
    <s v="Deposit"/>
    <m/>
    <n v="1500"/>
    <n v="427947.89000000042"/>
    <x v="1"/>
  </r>
  <r>
    <d v="2021-01-31T00:00:00"/>
    <s v="Check"/>
    <m/>
    <n v="-32500"/>
    <n v="593970.7500000007"/>
    <x v="2"/>
  </r>
  <r>
    <d v="2019-01-18T00:00:00"/>
    <s v="Deposit"/>
    <m/>
    <n v="4425"/>
    <n v="571251.36000000034"/>
    <x v="1"/>
  </r>
  <r>
    <d v="2019-01-18T00:00:00"/>
    <s v="Deposit"/>
    <m/>
    <n v="3600"/>
    <n v="574851.36000000034"/>
    <x v="1"/>
  </r>
  <r>
    <d v="2019-01-18T00:00:00"/>
    <s v="Deposit"/>
    <m/>
    <n v="1320"/>
    <n v="576171.36000000034"/>
    <x v="1"/>
  </r>
  <r>
    <d v="2019-01-24T00:00:00"/>
    <s v="Check"/>
    <s v="Michele Cobb (_######6800)"/>
    <n v="-4167"/>
    <n v="564069.7000000003"/>
    <x v="1"/>
  </r>
  <r>
    <d v="2019-02-14T00:00:00"/>
    <s v="Deposit"/>
    <m/>
    <n v="165"/>
    <n v="623955.64000000048"/>
    <x v="1"/>
  </r>
  <r>
    <d v="2019-02-15T00:00:00"/>
    <s v="Deposit"/>
    <m/>
    <n v="165"/>
    <n v="623921.25000000047"/>
    <x v="1"/>
  </r>
  <r>
    <d v="2023-03-30T00:00:00"/>
    <s v="Check"/>
    <s v="A: CITIZENS BANK, NA/011500120 A"/>
    <n v="-30000"/>
    <n v="342832.5100000017"/>
    <x v="2"/>
  </r>
  <r>
    <d v="2019-02-20T00:00:00"/>
    <s v="Deposit"/>
    <m/>
    <n v="4950"/>
    <n v="610125.25000000058"/>
    <x v="1"/>
  </r>
  <r>
    <d v="2019-02-21T00:00:00"/>
    <s v="Deposit"/>
    <m/>
    <n v="2175"/>
    <n v="612300.25000000058"/>
    <x v="1"/>
  </r>
  <r>
    <d v="2019-02-28T00:00:00"/>
    <s v="Check"/>
    <s v="208478 03/04"/>
    <n v="-12.87"/>
    <n v="572321.37000000058"/>
    <x v="1"/>
  </r>
  <r>
    <d v="2019-02-28T00:00:00"/>
    <s v="Check"/>
    <m/>
    <n v="-492.19"/>
    <n v="571829.18000000063"/>
    <x v="1"/>
  </r>
  <r>
    <d v="2019-02-28T00:00:00"/>
    <s v="Check"/>
    <m/>
    <n v="-1040"/>
    <n v="572334.24000000057"/>
    <x v="1"/>
  </r>
  <r>
    <d v="2019-03-05T00:00:00"/>
    <s v="Check"/>
    <s v="ransaction#: 8004196094"/>
    <n v="-4000"/>
    <n v="479195.47000000061"/>
    <x v="1"/>
  </r>
  <r>
    <d v="2019-02-15T00:00:00"/>
    <s v="Check"/>
    <m/>
    <n v="-25968.59"/>
    <n v="597952.6600000005"/>
    <x v="2"/>
  </r>
  <r>
    <d v="2019-03-15T00:00:00"/>
    <s v="Check"/>
    <s v="NY 01/27"/>
    <n v="-541.11"/>
    <n v="517446.38000000059"/>
    <x v="1"/>
  </r>
  <r>
    <d v="2019-03-15T00:00:00"/>
    <s v="Check"/>
    <m/>
    <n v="-1000"/>
    <n v="521055.59000000061"/>
    <x v="1"/>
  </r>
  <r>
    <d v="2019-03-15T00:00:00"/>
    <s v="Check"/>
    <m/>
    <n v="-3068.1"/>
    <n v="517987.49000000057"/>
    <x v="1"/>
  </r>
  <r>
    <d v="2024-10-31T00:00:00"/>
    <s v="Check"/>
    <m/>
    <n v="-25206"/>
    <n v="169494.93000000139"/>
    <x v="2"/>
  </r>
  <r>
    <d v="2024-04-30T00:00:00"/>
    <s v="Check"/>
    <m/>
    <n v="-25075.040000000001"/>
    <n v="287714.83000000141"/>
    <x v="0"/>
  </r>
  <r>
    <d v="2019-03-31T00:00:00"/>
    <s v="Deposit"/>
    <m/>
    <n v="2000"/>
    <n v="499983.42000000062"/>
    <x v="1"/>
  </r>
  <r>
    <d v="2019-05-01T00:00:00"/>
    <s v="Deposit"/>
    <m/>
    <n v="10"/>
    <n v="247265.38000000059"/>
    <x v="1"/>
  </r>
  <r>
    <d v="2024-02-08T00:00:00"/>
    <s v="Expense"/>
    <s v="ONLINE DOMESTIC WIRE TRANSFER VI A: CITIZENS BANK, NA/011500120 A"/>
    <n v="-23237.4"/>
    <n v="540795.40000000165"/>
    <x v="2"/>
  </r>
  <r>
    <d v="2019-05-24T00:00:00"/>
    <s v="Deposit"/>
    <m/>
    <n v="843.75"/>
    <n v="166870.9100000007"/>
    <x v="1"/>
  </r>
  <r>
    <d v="2023-04-30T00:00:00"/>
    <s v="Check"/>
    <m/>
    <n v="-21760"/>
    <n v="201584.27000000171"/>
    <x v="2"/>
  </r>
  <r>
    <d v="2019-07-19T00:00:00"/>
    <s v="Deposit"/>
    <m/>
    <n v="2600"/>
    <n v="187771.9900000006"/>
    <x v="1"/>
  </r>
  <r>
    <d v="2023-05-24T00:00:00"/>
    <s v="Check"/>
    <s v="EdisonResearch (_######4589)"/>
    <n v="-21750"/>
    <n v="136436.99000000171"/>
    <x v="2"/>
  </r>
  <r>
    <d v="2019-09-01T00:00:00"/>
    <s v="Deposit"/>
    <m/>
    <n v="400"/>
    <n v="179377.4900000006"/>
    <x v="1"/>
  </r>
  <r>
    <d v="2019-09-09T00:00:00"/>
    <s v="Deposit"/>
    <m/>
    <n v="40"/>
    <n v="180545.82000000059"/>
    <x v="1"/>
  </r>
  <r>
    <d v="2019-09-16T00:00:00"/>
    <s v="Deposit"/>
    <s v="89424394518 CCD ID: 1592126793"/>
    <n v="80"/>
    <n v="162922.58000000069"/>
    <x v="1"/>
  </r>
  <r>
    <d v="2019-10-30T00:00:00"/>
    <s v="Deposit"/>
    <s v="89424394518 CCD ID: 1592126793"/>
    <n v="206.25"/>
    <n v="186327.86000000071"/>
    <x v="1"/>
  </r>
  <r>
    <d v="2023-12-31T00:00:00"/>
    <s v="Expense"/>
    <s v="Same-Day ACH Payment 11127919035 to EdisonAudioMetricsLLC (_#####"/>
    <n v="-21750"/>
    <n v="303210.10000000172"/>
    <x v="2"/>
  </r>
  <r>
    <d v="2022-10-31T00:00:00"/>
    <s v="Check"/>
    <s v="A: CITIZENS BANK, NA/011500120 A"/>
    <n v="-20534.3"/>
    <n v="542435.22000000172"/>
    <x v="0"/>
  </r>
  <r>
    <d v="2019-12-04T00:00:00"/>
    <s v="Check"/>
    <s v="12/02"/>
    <n v="-20.8"/>
    <n v="242857.26000000071"/>
    <x v="1"/>
  </r>
  <r>
    <d v="2019-12-09T00:00:00"/>
    <s v="Deposit"/>
    <s v="89424394518 CCD ID: 1592126793"/>
    <n v="660"/>
    <n v="255842.26000000071"/>
    <x v="1"/>
  </r>
  <r>
    <d v="2019-12-09T00:00:00"/>
    <s v="Check"/>
    <s v="12/09"/>
    <n v="-15.18"/>
    <n v="255827.08000000069"/>
    <x v="1"/>
  </r>
  <r>
    <d v="2019-12-15T00:00:00"/>
    <s v="Check"/>
    <m/>
    <n v="-4229.62"/>
    <n v="275836.22000000073"/>
    <x v="1"/>
  </r>
  <r>
    <d v="2019-12-31T00:00:00"/>
    <s v="Deposit"/>
    <s v="TERRY REFUND"/>
    <n v="1250"/>
    <n v="347178.49000000069"/>
    <x v="1"/>
  </r>
  <r>
    <d v="2019-12-31T00:00:00"/>
    <s v="Check"/>
    <m/>
    <n v="-34.950000000000003"/>
    <n v="344332.89000000071"/>
    <x v="1"/>
  </r>
  <r>
    <d v="2019-12-31T00:00:00"/>
    <s v="Check"/>
    <m/>
    <n v="-750"/>
    <n v="344367.84000000072"/>
    <x v="1"/>
  </r>
  <r>
    <d v="2019-12-31T00:00:00"/>
    <s v="Check"/>
    <m/>
    <n v="-810.65"/>
    <n v="346367.84000000072"/>
    <x v="1"/>
  </r>
  <r>
    <d v="2019-12-31T00:00:00"/>
    <s v="Check"/>
    <m/>
    <n v="-1250"/>
    <n v="345117.84000000072"/>
    <x v="1"/>
  </r>
  <r>
    <d v="2019-12-31T00:00:00"/>
    <s v="Check"/>
    <m/>
    <n v="-1250"/>
    <n v="343082.89000000071"/>
    <x v="1"/>
  </r>
  <r>
    <d v="2020-01-01T00:00:00"/>
    <s v="Check"/>
    <m/>
    <n v="-4700"/>
    <n v="331032.89000000071"/>
    <x v="1"/>
  </r>
  <r>
    <d v="2022-03-31T00:00:00"/>
    <s v="Check"/>
    <s v="A: PEOPLES BANK/221172186 A/C: A"/>
    <n v="-20230"/>
    <n v="751718.93000000145"/>
    <x v="2"/>
  </r>
  <r>
    <d v="2021-08-01T00:00:00"/>
    <s v="Check"/>
    <s v="BSL"/>
    <n v="-19925"/>
    <n v="477799.87000000098"/>
    <x v="0"/>
  </r>
  <r>
    <d v="2020-02-15T00:00:00"/>
    <s v="Check"/>
    <m/>
    <n v="-9.99"/>
    <n v="546844.23000000056"/>
    <x v="1"/>
  </r>
  <r>
    <d v="2020-02-29T00:00:00"/>
    <s v="Deposit"/>
    <s v="89424394518 CCD ID: 1592126793"/>
    <n v="3000"/>
    <n v="422991.98000000062"/>
    <x v="1"/>
  </r>
  <r>
    <d v="2020-02-29T00:00:00"/>
    <s v="Deposit"/>
    <m/>
    <n v="2500"/>
    <n v="425491.98000000062"/>
    <x v="1"/>
  </r>
  <r>
    <d v="2020-02-29T00:00:00"/>
    <s v="Check"/>
    <m/>
    <n v="-34.950000000000003"/>
    <n v="425457.03000000061"/>
    <x v="1"/>
  </r>
  <r>
    <d v="2020-03-01T00:00:00"/>
    <s v="Check"/>
    <m/>
    <n v="-675"/>
    <n v="418107.03000000061"/>
    <x v="1"/>
  </r>
  <r>
    <d v="2020-03-01T00:00:00"/>
    <s v="Check"/>
    <m/>
    <n v="-6675"/>
    <n v="418782.03000000061"/>
    <x v="1"/>
  </r>
  <r>
    <d v="2020-03-31T00:00:00"/>
    <s v="Deposit"/>
    <s v="1"/>
    <n v="550"/>
    <n v="383194.76000000059"/>
    <x v="1"/>
  </r>
  <r>
    <d v="2020-03-31T00:00:00"/>
    <s v="Check"/>
    <s v="01/25"/>
    <n v="-54.99"/>
    <n v="383139.7700000006"/>
    <x v="1"/>
  </r>
  <r>
    <d v="2020-04-01T00:00:00"/>
    <s v="Check"/>
    <s v="ransaction#: 8180729078"/>
    <n v="-6675"/>
    <n v="375794.7700000006"/>
    <x v="1"/>
  </r>
  <r>
    <d v="2020-04-01T00:00:00"/>
    <s v="Check"/>
    <s v="ransaction#: 8848799201"/>
    <n v="-6675"/>
    <n v="369119.7700000006"/>
    <x v="1"/>
  </r>
  <r>
    <d v="2020-04-10T00:00:00"/>
    <s v="Deposit"/>
    <s v="BookWire"/>
    <n v="3119.98"/>
    <n v="363731.51000000059"/>
    <x v="1"/>
  </r>
  <r>
    <d v="2020-04-13T00:00:00"/>
    <s v="Deposit"/>
    <s v="89424394518 CCD ID: 1592126793"/>
    <n v="247.5"/>
    <n v="333162.10000000062"/>
    <x v="1"/>
  </r>
  <r>
    <d v="2020-04-24T00:00:00"/>
    <s v="Check"/>
    <m/>
    <n v="-275"/>
    <n v="330510.70000000059"/>
    <x v="1"/>
  </r>
  <r>
    <d v="2020-04-30T00:00:00"/>
    <s v="Check"/>
    <s v="415046 WEB ID: 3264681992"/>
    <n v="-275"/>
    <n v="330794.94000000058"/>
    <x v="1"/>
  </r>
  <r>
    <d v="2020-04-30T00:00:00"/>
    <s v="Check"/>
    <s v="410820 WEB ID: 3264681992"/>
    <n v="-295"/>
    <n v="330499.94000000058"/>
    <x v="1"/>
  </r>
  <r>
    <d v="2020-05-01T00:00:00"/>
    <s v="Check"/>
    <m/>
    <n v="-675"/>
    <n v="330099.94000000058"/>
    <x v="1"/>
  </r>
  <r>
    <d v="2020-05-01T00:00:00"/>
    <s v="Check"/>
    <m/>
    <n v="-4700"/>
    <n v="324373.61000000063"/>
    <x v="1"/>
  </r>
  <r>
    <d v="2020-05-08T00:00:00"/>
    <s v="Check"/>
    <s v="06/05"/>
    <n v="-26.99"/>
    <n v="308687.42000000062"/>
    <x v="1"/>
  </r>
  <r>
    <d v="2020-05-22T00:00:00"/>
    <s v="Deposit"/>
    <m/>
    <n v="123.75"/>
    <n v="300496.13000000059"/>
    <x v="1"/>
  </r>
  <r>
    <d v="2020-05-24T00:00:00"/>
    <s v="Check"/>
    <m/>
    <n v="-70.77"/>
    <n v="300230.37000000058"/>
    <x v="1"/>
  </r>
  <r>
    <d v="2020-05-29T00:00:00"/>
    <s v="Deposit"/>
    <s v="42058915 To Sean OKane"/>
    <n v="275"/>
    <n v="300545.37000000058"/>
    <x v="1"/>
  </r>
  <r>
    <d v="2020-05-30T00:00:00"/>
    <s v="Deposit"/>
    <s v="54746420 To Jon Frazier"/>
    <n v="375"/>
    <n v="300920.37000000058"/>
    <x v="1"/>
  </r>
  <r>
    <d v="2020-05-30T00:00:00"/>
    <s v="Deposit"/>
    <s v="45256901 To Jeff Mack"/>
    <n v="375"/>
    <n v="301295.37000000058"/>
    <x v="1"/>
  </r>
  <r>
    <d v="2020-06-01T00:00:00"/>
    <s v="Deposit"/>
    <m/>
    <n v="530"/>
    <n v="302297.87000000058"/>
    <x v="1"/>
  </r>
  <r>
    <d v="2020-06-01T00:00:00"/>
    <s v="Check"/>
    <m/>
    <n v="-650"/>
    <n v="301647.87000000058"/>
    <x v="1"/>
  </r>
  <r>
    <d v="2020-06-01T00:00:00"/>
    <s v="Check"/>
    <m/>
    <n v="-5866.75"/>
    <n v="295781.12000000058"/>
    <x v="1"/>
  </r>
  <r>
    <d v="2020-06-29T00:00:00"/>
    <s v="Check"/>
    <m/>
    <n v="-697.89"/>
    <n v="311176.94000000053"/>
    <x v="1"/>
  </r>
  <r>
    <d v="2020-07-20T00:00:00"/>
    <s v="Check"/>
    <m/>
    <n v="-70.77"/>
    <n v="403332.55000000051"/>
    <x v="1"/>
  </r>
  <r>
    <d v="2020-07-20T00:00:00"/>
    <s v="Check"/>
    <s v="rls Write Now"/>
    <n v="-1000"/>
    <n v="403403.32000000047"/>
    <x v="1"/>
  </r>
  <r>
    <d v="2020-07-23T00:00:00"/>
    <s v="Check"/>
    <m/>
    <n v="-6811.65"/>
    <n v="396835.90000000049"/>
    <x v="1"/>
  </r>
  <r>
    <d v="2020-08-02T00:00:00"/>
    <s v="Check"/>
    <m/>
    <n v="-573.36"/>
    <n v="392301.06000000052"/>
    <x v="1"/>
  </r>
  <r>
    <d v="2020-08-14T00:00:00"/>
    <s v="Deposit"/>
    <m/>
    <n v="82.5"/>
    <n v="389604.88000000053"/>
    <x v="1"/>
  </r>
  <r>
    <d v="2020-08-14T00:00:00"/>
    <s v="Deposit"/>
    <m/>
    <n v="82.5"/>
    <n v="389687.38000000053"/>
    <x v="1"/>
  </r>
  <r>
    <d v="2020-09-02T00:00:00"/>
    <s v="Check"/>
    <m/>
    <n v="-4700"/>
    <n v="376804.24000000051"/>
    <x v="1"/>
  </r>
  <r>
    <d v="2020-09-21T00:00:00"/>
    <s v="Deposit"/>
    <m/>
    <n v="165"/>
    <n v="383378.96000000049"/>
    <x v="1"/>
  </r>
  <r>
    <d v="2020-09-21T00:00:00"/>
    <s v="Deposit"/>
    <m/>
    <n v="110"/>
    <n v="383488.96000000049"/>
    <x v="1"/>
  </r>
  <r>
    <d v="2020-10-01T00:00:00"/>
    <s v="Check"/>
    <s v="ll WA 09/07"/>
    <n v="-38.159999999999997"/>
    <n v="404035.03000000049"/>
    <x v="1"/>
  </r>
  <r>
    <d v="2020-10-01T00:00:00"/>
    <s v="Check"/>
    <s v="NY 09/08"/>
    <n v="-79.989999999999995"/>
    <n v="403955.0400000005"/>
    <x v="1"/>
  </r>
  <r>
    <d v="2020-10-01T00:00:00"/>
    <s v="Check"/>
    <m/>
    <n v="-750"/>
    <n v="395982.56000000052"/>
    <x v="1"/>
  </r>
  <r>
    <d v="2020-10-01T00:00:00"/>
    <s v="Check"/>
    <m/>
    <n v="-2437.5"/>
    <n v="401517.5400000005"/>
    <x v="1"/>
  </r>
  <r>
    <d v="2020-10-01T00:00:00"/>
    <s v="Check"/>
    <m/>
    <n v="-4784.9799999999996"/>
    <n v="396732.56000000052"/>
    <x v="1"/>
  </r>
  <r>
    <d v="2020-11-10T00:00:00"/>
    <s v="Deposit"/>
    <m/>
    <n v="618.75"/>
    <n v="430150.50000000052"/>
    <x v="1"/>
  </r>
  <r>
    <d v="2020-11-30T00:00:00"/>
    <s v="Deposit"/>
    <s v="Hachette"/>
    <n v="5390"/>
    <n v="476133.65000000037"/>
    <x v="1"/>
  </r>
  <r>
    <d v="2020-11-30T00:00:00"/>
    <s v="Check"/>
    <m/>
    <n v="-700"/>
    <n v="475287.34000000037"/>
    <x v="1"/>
  </r>
  <r>
    <d v="2021-01-01T00:00:00"/>
    <s v="Check"/>
    <s v="ransaction#: 11018426653"/>
    <n v="-703.62"/>
    <n v="535481.51000000047"/>
    <x v="1"/>
  </r>
  <r>
    <d v="2021-01-01T00:00:00"/>
    <s v="Check"/>
    <s v="BaileyDuquette (_######9908)"/>
    <n v="-3750"/>
    <n v="531731.51000000047"/>
    <x v="1"/>
  </r>
  <r>
    <d v="2021-01-29T00:00:00"/>
    <s v="Check"/>
    <s v="audere"/>
    <n v="-7000"/>
    <n v="650433.69000000076"/>
    <x v="1"/>
  </r>
  <r>
    <d v="2021-01-31T00:00:00"/>
    <s v="Check"/>
    <m/>
    <n v="-3750"/>
    <n v="646612.92000000074"/>
    <x v="1"/>
  </r>
  <r>
    <d v="2021-01-31T00:00:00"/>
    <s v="Check"/>
    <m/>
    <n v="-5142.17"/>
    <n v="641470.7500000007"/>
    <x v="1"/>
  </r>
  <r>
    <d v="2021-01-31T00:00:00"/>
    <s v="Check"/>
    <m/>
    <n v="-7018"/>
    <n v="586952.7500000007"/>
    <x v="1"/>
  </r>
  <r>
    <d v="2022-01-01T00:00:00"/>
    <s v="Check"/>
    <s v="Edison Research (_######4589)"/>
    <n v="-18500"/>
    <n v="629595.83000000124"/>
    <x v="2"/>
  </r>
  <r>
    <d v="2022-03-31T00:00:00"/>
    <s v="Check"/>
    <m/>
    <n v="-18500"/>
    <n v="813166.68000000133"/>
    <x v="2"/>
  </r>
  <r>
    <d v="2022-05-15T00:00:00"/>
    <s v="Check"/>
    <s v="Edison Research (_######4589)"/>
    <n v="-18500"/>
    <n v="668492.15000000142"/>
    <x v="2"/>
  </r>
  <r>
    <d v="2021-02-04T00:00:00"/>
    <s v="Check"/>
    <s v="ORIG ID:1592126793 DESC DATE:201"/>
    <n v="-2404.17"/>
    <n v="582936.60000000068"/>
    <x v="1"/>
  </r>
  <r>
    <d v="2021-03-04T00:00:00"/>
    <s v="Deposit"/>
    <m/>
    <n v="855"/>
    <n v="582887.22000000114"/>
    <x v="1"/>
  </r>
  <r>
    <d v="2021-03-07T00:00:00"/>
    <s v="Check"/>
    <s v="BSL"/>
    <n v="-475"/>
    <n v="581522.22000000114"/>
    <x v="1"/>
  </r>
  <r>
    <d v="2021-03-07T00:00:00"/>
    <s v="Check"/>
    <s v="BSL"/>
    <n v="-6675"/>
    <n v="574847.22000000114"/>
    <x v="1"/>
  </r>
  <r>
    <d v="2021-03-31T00:00:00"/>
    <s v="Check"/>
    <s v="Balance Adjustment"/>
    <n v="-0.39"/>
    <n v="501752.96000000113"/>
    <x v="1"/>
  </r>
  <r>
    <d v="2021-04-01T00:00:00"/>
    <s v="Check"/>
    <s v="erry Bernstein 10414722454"/>
    <n v="-1250"/>
    <n v="497222.96000000113"/>
    <x v="1"/>
  </r>
  <r>
    <d v="2021-04-01T00:00:00"/>
    <s v="Check"/>
    <m/>
    <n v="-5300"/>
    <n v="498472.96000000113"/>
    <x v="1"/>
  </r>
  <r>
    <d v="2021-04-05T00:00:00"/>
    <s v="Check"/>
    <m/>
    <n v="-800"/>
    <n v="495756.1800000011"/>
    <x v="1"/>
  </r>
  <r>
    <d v="2021-04-07T00:00:00"/>
    <s v="Deposit"/>
    <s v="ORIG ID:1131601701 DESC DATE:"/>
    <n v="600"/>
    <n v="497018.6800000011"/>
    <x v="1"/>
  </r>
  <r>
    <d v="2021-04-08T00:00:00"/>
    <s v="Check"/>
    <s v="Michele Cobb (_######6800)"/>
    <n v="-331.61"/>
    <n v="500620.05000000121"/>
    <x v="1"/>
  </r>
  <r>
    <d v="2019-03-15T00:00:00"/>
    <s v="Check"/>
    <s v="A: CAPITAL ONE NA/021407912 A/C:"/>
    <n v="-18225.57"/>
    <n v="499220.81000000058"/>
    <x v="2"/>
  </r>
  <r>
    <d v="2023-02-15T00:00:00"/>
    <s v="Check"/>
    <s v="C: THE SAMONTE GROUP LLC LOS ANG"/>
    <n v="-17500"/>
    <n v="1039455.850000002"/>
    <x v="0"/>
  </r>
  <r>
    <d v="2021-05-15T00:00:00"/>
    <s v="Check"/>
    <s v="staux"/>
    <n v="-5128.99"/>
    <n v="459660.34000000107"/>
    <x v="1"/>
  </r>
  <r>
    <d v="2023-04-30T00:00:00"/>
    <s v="Check"/>
    <m/>
    <n v="-15561.08"/>
    <n v="185938.19000000169"/>
    <x v="2"/>
  </r>
  <r>
    <d v="2021-06-01T00:00:00"/>
    <s v="Check"/>
    <s v="transaction#: 12119388361"/>
    <n v="-675"/>
    <n v="457395.29000000108"/>
    <x v="1"/>
  </r>
  <r>
    <d v="2021-06-01T00:00:00"/>
    <s v="Check"/>
    <m/>
    <n v="-6675"/>
    <n v="458173.73000000109"/>
    <x v="1"/>
  </r>
  <r>
    <d v="2021-06-12T00:00:00"/>
    <s v="Check"/>
    <m/>
    <n v="-5247.07"/>
    <n v="408780.42000000109"/>
    <x v="1"/>
  </r>
  <r>
    <d v="2025-06-01T00:00:00"/>
    <s v="Check"/>
    <m/>
    <n v="-15400"/>
    <n v="69850.53000000109"/>
    <x v="0"/>
  </r>
  <r>
    <d v="2021-08-01T00:00:00"/>
    <s v="Check"/>
    <m/>
    <n v="-5513.39"/>
    <n v="441411.48000000097"/>
    <x v="1"/>
  </r>
  <r>
    <d v="2023-11-30T00:00:00"/>
    <s v="Check"/>
    <m/>
    <n v="-15163.81"/>
    <n v="246856.91000000169"/>
    <x v="2"/>
  </r>
  <r>
    <d v="2021-01-31T00:00:00"/>
    <s v="Check"/>
    <m/>
    <n v="-15000"/>
    <n v="626470.7500000007"/>
    <x v="2"/>
  </r>
  <r>
    <d v="2023-06-28T00:00:00"/>
    <s v="Expense"/>
    <s v="Same-Day ACH Payment 11025763418 to OpenWater (_###3899)"/>
    <n v="-14500"/>
    <n v="103095.5800000017"/>
    <x v="2"/>
  </r>
  <r>
    <d v="2024-04-15T00:00:00"/>
    <s v="Check"/>
    <m/>
    <n v="-14400.21"/>
    <n v="327943.08000000141"/>
    <x v="0"/>
  </r>
  <r>
    <d v="2021-08-19T00:00:00"/>
    <s v="Deposit"/>
    <m/>
    <n v="122.5"/>
    <n v="450165.24000000098"/>
    <x v="1"/>
  </r>
  <r>
    <d v="2021-09-01T00:00:00"/>
    <s v="Check"/>
    <m/>
    <n v="-5156.96"/>
    <n v="441792.34000000102"/>
    <x v="1"/>
  </r>
  <r>
    <d v="2023-09-26T00:00:00"/>
    <s v="Expense"/>
    <s v="Online Transfer to CHK ...7365 t ransaction#: 18827489616"/>
    <n v="-13600"/>
    <n v="183535.1400000017"/>
    <x v="3"/>
  </r>
  <r>
    <d v="2021-09-05T00:00:00"/>
    <s v="Check"/>
    <s v="SEPTEMBER"/>
    <n v="-34.950000000000003"/>
    <n v="442563.23000000091"/>
    <x v="1"/>
  </r>
  <r>
    <d v="2023-09-26T00:00:00"/>
    <s v="Expense"/>
    <s v="Online Transfer to CHK ...7365 t ransaction#: 18827521111"/>
    <n v="-13600"/>
    <n v="169935.1400000017"/>
    <x v="3"/>
  </r>
  <r>
    <d v="2023-12-15T00:00:00"/>
    <s v="Check"/>
    <m/>
    <n v="-13600"/>
    <n v="292905.42000000167"/>
    <x v="3"/>
  </r>
  <r>
    <d v="2021-09-13T00:00:00"/>
    <s v="Check"/>
    <s v="09/13"/>
    <n v="-36.54"/>
    <n v="477523.28000000102"/>
    <x v="1"/>
  </r>
  <r>
    <d v="2024-02-15T00:00:00"/>
    <s v="Check"/>
    <m/>
    <n v="-13600"/>
    <n v="547989.60000000161"/>
    <x v="3"/>
  </r>
  <r>
    <d v="2021-10-15T00:00:00"/>
    <s v="Check"/>
    <m/>
    <n v="-5117.28"/>
    <n v="519790.82000000088"/>
    <x v="1"/>
  </r>
  <r>
    <d v="2021-11-01T00:00:00"/>
    <s v="Check"/>
    <m/>
    <n v="-2000"/>
    <n v="519685.99000000092"/>
    <x v="1"/>
  </r>
  <r>
    <d v="2024-07-03T00:00:00"/>
    <s v="Check"/>
    <m/>
    <n v="-13600"/>
    <n v="202029.67000000141"/>
    <x v="3"/>
  </r>
  <r>
    <d v="2024-08-03T00:00:00"/>
    <s v="Check"/>
    <m/>
    <n v="-13600"/>
    <n v="297803.67000000138"/>
    <x v="3"/>
  </r>
  <r>
    <d v="2021-11-30T00:00:00"/>
    <s v="Deposit"/>
    <s v="Balance Adjustment"/>
    <n v="425"/>
    <n v="568159.60000000102"/>
    <x v="1"/>
  </r>
  <r>
    <d v="2021-12-11T00:00:00"/>
    <s v="Deposit"/>
    <s v="transaction#: 13430128605"/>
    <n v="3750"/>
    <n v="582261.44000000111"/>
    <x v="1"/>
  </r>
  <r>
    <d v="2021-12-15T00:00:00"/>
    <s v="Check"/>
    <s v="ransaction#: 13112874287"/>
    <n v="-6835.62"/>
    <n v="580588.73000000115"/>
    <x v="1"/>
  </r>
  <r>
    <d v="2021-12-31T00:00:00"/>
    <s v="Deposit"/>
    <m/>
    <n v="3525"/>
    <n v="650443.28000000119"/>
    <x v="1"/>
  </r>
  <r>
    <d v="2021-12-31T00:00:00"/>
    <s v="Check"/>
    <m/>
    <n v="-34.950000000000003"/>
    <n v="648095.83000000124"/>
    <x v="1"/>
  </r>
  <r>
    <d v="2021-12-31T00:00:00"/>
    <s v="Check"/>
    <s v="BaileyDuquette (_######9908)"/>
    <n v="-112.5"/>
    <n v="648130.78000000119"/>
    <x v="1"/>
  </r>
  <r>
    <d v="2021-12-31T00:00:00"/>
    <s v="Check"/>
    <s v="BaileyDuquette (_######9908)"/>
    <n v="-2200"/>
    <n v="648243.28000000119"/>
    <x v="1"/>
  </r>
  <r>
    <d v="2024-10-15T00:00:00"/>
    <s v="Expense"/>
    <s v="Online Transfer to CHK ...7365 t ransaction#: 21560675136"/>
    <n v="-13600"/>
    <n v="283874.36000000138"/>
    <x v="3"/>
  </r>
  <r>
    <d v="2025-01-15T00:00:00"/>
    <s v="Check"/>
    <m/>
    <n v="-13600"/>
    <n v="359587.59000000131"/>
    <x v="3"/>
  </r>
  <r>
    <d v="2022-01-03T00:00:00"/>
    <s v="Deposit"/>
    <m/>
    <n v="300"/>
    <n v="670810.83000000124"/>
    <x v="1"/>
  </r>
  <r>
    <d v="2022-01-03T00:00:00"/>
    <s v="Deposit"/>
    <m/>
    <n v="165"/>
    <n v="670975.83000000124"/>
    <x v="1"/>
  </r>
  <r>
    <d v="2022-01-10T00:00:00"/>
    <s v="Check"/>
    <s v="ORIG ID:3264681992 DESC DATE:211"/>
    <n v="-100"/>
    <n v="724558.03000000119"/>
    <x v="1"/>
  </r>
  <r>
    <d v="2022-01-31T00:00:00"/>
    <s v="Check"/>
    <m/>
    <n v="-300"/>
    <n v="818961.9100000012"/>
    <x v="1"/>
  </r>
  <r>
    <d v="2022-02-01T00:00:00"/>
    <s v="Deposit"/>
    <m/>
    <n v="165"/>
    <n v="826756.9100000012"/>
    <x v="1"/>
  </r>
  <r>
    <d v="2022-02-15T00:00:00"/>
    <s v="Deposit"/>
    <s v="1"/>
    <n v="220"/>
    <n v="846088.98000000138"/>
    <x v="1"/>
  </r>
  <r>
    <d v="2022-02-28T00:00:00"/>
    <s v="Check"/>
    <s v="A: CITIZENS BANK, NA/011500120 A"/>
    <n v="-5597.46"/>
    <n v="857908.31000000134"/>
    <x v="1"/>
  </r>
  <r>
    <d v="2022-03-04T00:00:00"/>
    <s v="Deposit"/>
    <s v="ORIG ID:1592126793 DESC DATE:220"/>
    <n v="170"/>
    <n v="862753.86000000138"/>
    <x v="1"/>
  </r>
  <r>
    <d v="2022-03-07T00:00:00"/>
    <s v="Deposit"/>
    <s v="ORIG ID:1592126793 DESC DATE:220"/>
    <n v="660"/>
    <n v="863663.86000000138"/>
    <x v="1"/>
  </r>
  <r>
    <d v="2022-03-25T00:00:00"/>
    <s v="Deposit"/>
    <s v="ORIG ID:1592126793 DESC DATE:220"/>
    <n v="495"/>
    <n v="864888.11000000138"/>
    <x v="1"/>
  </r>
  <r>
    <d v="2022-03-29T00:00:00"/>
    <s v="Check"/>
    <m/>
    <n v="-301.43"/>
    <n v="864146.68000000133"/>
    <x v="1"/>
  </r>
  <r>
    <d v="2022-03-29T00:00:00"/>
    <s v="Check"/>
    <m/>
    <n v="-500"/>
    <n v="864448.11000000138"/>
    <x v="1"/>
  </r>
  <r>
    <d v="2022-03-31T00:00:00"/>
    <s v="Deposit"/>
    <s v="ORIG ID:1592126793 DESC DATE:220"/>
    <n v="495"/>
    <n v="835041.68000000133"/>
    <x v="1"/>
  </r>
  <r>
    <d v="2022-03-31T00:00:00"/>
    <s v="Check"/>
    <s v="89 MI 04/03"/>
    <n v="-1035"/>
    <n v="679683.93000000145"/>
    <x v="1"/>
  </r>
  <r>
    <d v="2022-03-31T00:00:00"/>
    <s v="Check"/>
    <s v="ORIG ID:9215986202 DESC DATE:210"/>
    <n v="-3375"/>
    <n v="831666.68000000133"/>
    <x v="1"/>
  </r>
  <r>
    <d v="2025-02-20T00:00:00"/>
    <s v="Expense"/>
    <s v="Online Transfer to CHK ...7365 t ransaction#: 23470114074"/>
    <n v="-13600"/>
    <n v="648738.60000000114"/>
    <x v="3"/>
  </r>
  <r>
    <d v="2025-06-15T00:00:00"/>
    <s v="Expense"/>
    <s v="Online Transfer to CHK ...7365 t ransaction#: 24240779608"/>
    <n v="-13600"/>
    <n v="68435.53000000109"/>
    <x v="3"/>
  </r>
  <r>
    <d v="2021-08-01T00:00:00"/>
    <s v="Check"/>
    <m/>
    <n v="-13525"/>
    <n v="464274.87000000098"/>
    <x v="0"/>
  </r>
  <r>
    <d v="2022-04-15T00:00:00"/>
    <s v="Check"/>
    <m/>
    <n v="-5184.78"/>
    <n v="667395.10000000137"/>
    <x v="1"/>
  </r>
  <r>
    <d v="2022-05-01T00:00:00"/>
    <s v="Check"/>
    <s v="A: F121000358/121000358 A/C: INT"/>
    <n v="-6500"/>
    <n v="687221.04000000143"/>
    <x v="1"/>
  </r>
  <r>
    <d v="2022-05-15T00:00:00"/>
    <s v="Check"/>
    <m/>
    <n v="-2665.26"/>
    <n v="665826.89000000141"/>
    <x v="1"/>
  </r>
  <r>
    <d v="2022-05-15T00:00:00"/>
    <s v="Check"/>
    <s v="BaileyDuquette (_######9908)"/>
    <n v="-3800"/>
    <n v="662026.89000000141"/>
    <x v="1"/>
  </r>
  <r>
    <d v="2024-05-13T00:00:00"/>
    <s v="Expense"/>
    <s v="Online ACH Payment 11134903816 T o MicheleCobb (_######6800)"/>
    <n v="-12863.58"/>
    <n v="228017.4700000014"/>
    <x v="2"/>
  </r>
  <r>
    <d v="2022-05-19T00:00:00"/>
    <s v="Deposit"/>
    <m/>
    <n v="60"/>
    <n v="667226.65000000142"/>
    <x v="1"/>
  </r>
  <r>
    <d v="2022-06-27T00:00:00"/>
    <s v="Check"/>
    <s v="A: CITIZENS BANK, NA/011500120 A"/>
    <n v="-1041.22"/>
    <n v="660240.40000000154"/>
    <x v="1"/>
  </r>
  <r>
    <d v="2022-06-27T00:00:00"/>
    <s v="Check"/>
    <m/>
    <n v="-5000"/>
    <n v="655240.40000000154"/>
    <x v="1"/>
  </r>
  <r>
    <d v="2022-06-30T00:00:00"/>
    <s v="Deposit"/>
    <s v="07/01"/>
    <n v="48.3"/>
    <n v="655508.70000000158"/>
    <x v="1"/>
  </r>
  <r>
    <d v="2022-06-30T00:00:00"/>
    <s v="Check"/>
    <s v="Balance Adjustment"/>
    <n v="-3250"/>
    <n v="652258.70000000158"/>
    <x v="1"/>
  </r>
  <r>
    <d v="2023-05-24T00:00:00"/>
    <s v="Check"/>
    <m/>
    <n v="-12400"/>
    <n v="168086.99000000171"/>
    <x v="2"/>
  </r>
  <r>
    <d v="2022-07-20T00:00:00"/>
    <s v="Check"/>
    <s v="08/01"/>
    <n v="-30"/>
    <n v="674441.09000000171"/>
    <x v="1"/>
  </r>
  <r>
    <d v="2022-07-20T00:00:00"/>
    <s v="Check"/>
    <s v="BOD pkt printing"/>
    <n v="-495"/>
    <n v="674471.09000000171"/>
    <x v="1"/>
  </r>
  <r>
    <d v="2022-07-20T00:00:00"/>
    <s v="Check"/>
    <s v="BaileyDuquette (_######9908)"/>
    <n v="-1625"/>
    <n v="674966.09000000171"/>
    <x v="1"/>
  </r>
  <r>
    <d v="2022-07-20T00:00:00"/>
    <s v="Check"/>
    <s v="A: F121000358/121000358 A/C: INT"/>
    <n v="-6500"/>
    <n v="676591.09000000171"/>
    <x v="1"/>
  </r>
  <r>
    <d v="2022-08-02T00:00:00"/>
    <s v="Deposit"/>
    <m/>
    <n v="727.5"/>
    <n v="692603.59000000171"/>
    <x v="1"/>
  </r>
  <r>
    <d v="2022-08-06T00:00:00"/>
    <s v="Deposit"/>
    <m/>
    <n v="965"/>
    <n v="690634.48000000173"/>
    <x v="1"/>
  </r>
  <r>
    <d v="2022-08-06T00:00:00"/>
    <s v="Deposit"/>
    <m/>
    <n v="520"/>
    <n v="689421.98000000173"/>
    <x v="1"/>
  </r>
  <r>
    <d v="2022-08-06T00:00:00"/>
    <s v="Deposit"/>
    <m/>
    <n v="247.5"/>
    <n v="689669.48000000173"/>
    <x v="1"/>
  </r>
  <r>
    <d v="2022-08-11T00:00:00"/>
    <s v="Deposit"/>
    <m/>
    <n v="585"/>
    <n v="708489.48000000173"/>
    <x v="1"/>
  </r>
  <r>
    <d v="2022-08-14T00:00:00"/>
    <s v="Deposit"/>
    <m/>
    <n v="82.5"/>
    <n v="709789.48000000173"/>
    <x v="1"/>
  </r>
  <r>
    <d v="2024-04-15T00:00:00"/>
    <s v="Check"/>
    <m/>
    <n v="-12295.73"/>
    <n v="313697.35000000137"/>
    <x v="2"/>
  </r>
  <r>
    <d v="2022-08-18T00:00:00"/>
    <s v="Deposit"/>
    <m/>
    <n v="1270"/>
    <n v="678935.48000000173"/>
    <x v="1"/>
  </r>
  <r>
    <d v="2022-08-18T00:00:00"/>
    <s v="Deposit"/>
    <m/>
    <n v="1100"/>
    <n v="677665.48000000173"/>
    <x v="1"/>
  </r>
  <r>
    <d v="2022-08-18T00:00:00"/>
    <s v="Deposit"/>
    <m/>
    <n v="642.5"/>
    <n v="679660.48000000173"/>
    <x v="1"/>
  </r>
  <r>
    <d v="2022-08-18T00:00:00"/>
    <s v="Deposit"/>
    <m/>
    <n v="440"/>
    <n v="676565.48000000173"/>
    <x v="1"/>
  </r>
  <r>
    <d v="2022-08-18T00:00:00"/>
    <s v="Deposit"/>
    <m/>
    <n v="150"/>
    <n v="679810.48000000173"/>
    <x v="1"/>
  </r>
  <r>
    <d v="2022-08-18T00:00:00"/>
    <s v="Check"/>
    <m/>
    <n v="-45"/>
    <n v="679765.48000000173"/>
    <x v="1"/>
  </r>
  <r>
    <d v="2022-08-23T00:00:00"/>
    <s v="Deposit"/>
    <m/>
    <n v="762.5"/>
    <n v="680391.8200000017"/>
    <x v="1"/>
  </r>
  <r>
    <d v="2022-08-23T00:00:00"/>
    <s v="Check"/>
    <s v="BOD pkt printing"/>
    <n v="-572"/>
    <n v="676069.8200000017"/>
    <x v="1"/>
  </r>
  <r>
    <d v="2022-08-23T00:00:00"/>
    <s v="Check"/>
    <s v="BaileyDuquette (_######9908)"/>
    <n v="-3750"/>
    <n v="676641.8200000017"/>
    <x v="1"/>
  </r>
  <r>
    <d v="2022-08-25T00:00:00"/>
    <s v="Check"/>
    <s v="A: CITIZENS BANK, NA/011500120 A"/>
    <n v="-6000"/>
    <n v="670069.8200000017"/>
    <x v="1"/>
  </r>
  <r>
    <d v="2022-09-01T00:00:00"/>
    <s v="Deposit"/>
    <m/>
    <n v="730"/>
    <n v="671677.3200000017"/>
    <x v="1"/>
  </r>
  <r>
    <d v="2022-09-01T00:00:00"/>
    <s v="Deposit"/>
    <m/>
    <n v="435"/>
    <n v="672112.3200000017"/>
    <x v="1"/>
  </r>
  <r>
    <d v="2022-09-15T00:00:00"/>
    <s v="Deposit"/>
    <m/>
    <n v="1317.5"/>
    <n v="679076.54000000178"/>
    <x v="1"/>
  </r>
  <r>
    <d v="2022-10-31T00:00:00"/>
    <s v="Check"/>
    <s v="medallions"/>
    <n v="-12279.24"/>
    <n v="562969.52000000176"/>
    <x v="2"/>
  </r>
  <r>
    <d v="2024-04-30T00:00:00"/>
    <s v="Check"/>
    <m/>
    <n v="-11704.07"/>
    <n v="276010.76000000141"/>
    <x v="2"/>
  </r>
  <r>
    <d v="2022-09-25T00:00:00"/>
    <s v="Deposit"/>
    <m/>
    <n v="1180"/>
    <n v="652489.79000000178"/>
    <x v="1"/>
  </r>
  <r>
    <d v="2022-09-25T00:00:00"/>
    <s v="Deposit"/>
    <m/>
    <n v="270"/>
    <n v="652759.79000000178"/>
    <x v="1"/>
  </r>
  <r>
    <d v="2022-09-25T00:00:00"/>
    <s v="Check"/>
    <m/>
    <n v="-109"/>
    <n v="652650.79000000178"/>
    <x v="1"/>
  </r>
  <r>
    <d v="2022-10-15T00:00:00"/>
    <s v="Check"/>
    <m/>
    <n v="-300"/>
    <n v="567496.88000000175"/>
    <x v="1"/>
  </r>
  <r>
    <d v="2022-10-15T00:00:00"/>
    <s v="Check"/>
    <m/>
    <n v="-2050"/>
    <n v="572796.88000000175"/>
    <x v="1"/>
  </r>
  <r>
    <d v="2022-10-25T00:00:00"/>
    <s v="Check"/>
    <m/>
    <n v="-109"/>
    <n v="571069.50000000175"/>
    <x v="1"/>
  </r>
  <r>
    <d v="2022-10-31T00:00:00"/>
    <s v="Check"/>
    <m/>
    <n v="-109"/>
    <n v="575248.76000000176"/>
    <x v="1"/>
  </r>
  <r>
    <d v="2022-10-31T00:00:00"/>
    <s v="Check"/>
    <s v="A: CITIZENS BANK, NA/011500120 A"/>
    <n v="-668.45"/>
    <n v="541766.77000000176"/>
    <x v="1"/>
  </r>
  <r>
    <d v="2022-03-31T00:00:00"/>
    <s v="Check"/>
    <s v="A: CITIZENS BANK, NA/011500120 A"/>
    <n v="-11620.57"/>
    <n v="801546.11000000138"/>
    <x v="2"/>
  </r>
  <r>
    <d v="2018-06-01T00:00:00"/>
    <s v="Check"/>
    <s v="Michele Cobb (_######6800)"/>
    <n v="-11353.16"/>
    <n v="426146.20000000042"/>
    <x v="2"/>
  </r>
  <r>
    <d v="2022-11-05T00:00:00"/>
    <s v="Check"/>
    <s v="BaileyDuquette (_######9908)"/>
    <n v="-3750"/>
    <n v="540031.58000000182"/>
    <x v="1"/>
  </r>
  <r>
    <d v="2024-07-15T00:00:00"/>
    <s v="Check"/>
    <m/>
    <n v="-10626.38"/>
    <n v="296450.1900000014"/>
    <x v="0"/>
  </r>
  <r>
    <d v="2024-05-13T00:00:00"/>
    <s v="Expense"/>
    <s v="Online Transfer to CHK ...7365 t ransaction#: 21082318529"/>
    <n v="-10500"/>
    <n v="217517.4700000014"/>
    <x v="2"/>
  </r>
  <r>
    <d v="2021-11-29T00:00:00"/>
    <s v="Check"/>
    <s v="ransaction#: 13112874287"/>
    <n v="-10473.69"/>
    <n v="566373.35000000102"/>
    <x v="2"/>
  </r>
  <r>
    <d v="2021-04-15T00:00:00"/>
    <s v="Check"/>
    <s v="Michele Cobb (_######6800)"/>
    <n v="-10042.11"/>
    <n v="496592.48000000109"/>
    <x v="2"/>
  </r>
  <r>
    <d v="2022-11-17T00:00:00"/>
    <s v="Deposit"/>
    <m/>
    <n v="1155"/>
    <n v="555252.62000000174"/>
    <x v="1"/>
  </r>
  <r>
    <d v="2022-11-21T00:00:00"/>
    <s v="Deposit"/>
    <m/>
    <n v="2351.25"/>
    <n v="562689.24000000174"/>
    <x v="1"/>
  </r>
  <r>
    <d v="2022-11-23T00:00:00"/>
    <s v="Deposit"/>
    <m/>
    <n v="660"/>
    <n v="564669.24000000174"/>
    <x v="1"/>
  </r>
  <r>
    <d v="2022-11-24T00:00:00"/>
    <s v="Deposit"/>
    <m/>
    <n v="795"/>
    <n v="566000.49000000174"/>
    <x v="1"/>
  </r>
  <r>
    <d v="2022-11-24T00:00:00"/>
    <s v="Deposit"/>
    <m/>
    <n v="536.25"/>
    <n v="565205.49000000174"/>
    <x v="1"/>
  </r>
  <r>
    <d v="2022-11-26T00:00:00"/>
    <s v="Deposit"/>
    <m/>
    <n v="1702.5"/>
    <n v="576094.54000000178"/>
    <x v="1"/>
  </r>
  <r>
    <d v="2022-11-26T00:00:00"/>
    <s v="Deposit"/>
    <m/>
    <n v="1545"/>
    <n v="574392.04000000178"/>
    <x v="1"/>
  </r>
  <r>
    <d v="2022-11-30T00:00:00"/>
    <s v="Check"/>
    <m/>
    <n v="-700"/>
    <n v="575301.26000000176"/>
    <x v="1"/>
  </r>
  <r>
    <d v="2021-08-01T00:00:00"/>
    <s v="Check"/>
    <s v="ransaction#: 12075423117"/>
    <n v="-10000"/>
    <n v="454274.87000000098"/>
    <x v="2"/>
  </r>
  <r>
    <d v="2022-12-31T00:00:00"/>
    <s v="Check"/>
    <m/>
    <n v="-500"/>
    <n v="651594.25000000175"/>
    <x v="1"/>
  </r>
  <r>
    <d v="2023-12-31T00:00:00"/>
    <s v="Check"/>
    <s v="deposit for 2024"/>
    <n v="-10000"/>
    <n v="293210.10000000172"/>
    <x v="4"/>
  </r>
  <r>
    <d v="2019-03-15T00:00:00"/>
    <s v="Check"/>
    <m/>
    <n v="-9600"/>
    <n v="489620.81000000058"/>
    <x v="0"/>
  </r>
  <r>
    <d v="2023-02-01T00:00:00"/>
    <s v="Check"/>
    <m/>
    <n v="-9600"/>
    <n v="1014218.860000002"/>
    <x v="2"/>
  </r>
  <r>
    <d v="2023-12-21T00:00:00"/>
    <s v="Check"/>
    <m/>
    <n v="-8831.02"/>
    <n v="291184.27000000171"/>
    <x v="5"/>
  </r>
  <r>
    <d v="2023-06-15T00:00:00"/>
    <s v="Check"/>
    <m/>
    <n v="-8750"/>
    <n v="108622.4400000017"/>
    <x v="2"/>
  </r>
  <r>
    <d v="2023-06-15T00:00:00"/>
    <s v="Check"/>
    <s v="A: CITIZENS BANK, NA/011500120 A"/>
    <n v="-8732.74"/>
    <n v="125772.4400000017"/>
    <x v="2"/>
  </r>
  <r>
    <d v="2018-12-31T00:00:00"/>
    <s v="Check"/>
    <m/>
    <n v="-8720"/>
    <n v="424612.19000000041"/>
    <x v="4"/>
  </r>
  <r>
    <d v="2023-01-03T00:00:00"/>
    <s v="Check"/>
    <m/>
    <n v="-10.88"/>
    <n v="892427.54000000178"/>
    <x v="1"/>
  </r>
  <r>
    <d v="2023-04-15T00:00:00"/>
    <s v="Check"/>
    <s v="ransaction#: 16820902547"/>
    <n v="-8400"/>
    <n v="340609.15000000171"/>
    <x v="2"/>
  </r>
  <r>
    <d v="2024-08-21T00:00:00"/>
    <s v="Expense"/>
    <s v="Online Transfer to CHK ...7851 t ransaction#: 21560709453"/>
    <n v="-8008.33"/>
    <n v="287258.15000000142"/>
    <x v="2"/>
  </r>
  <r>
    <d v="2024-09-15T00:00:00"/>
    <s v="Expense"/>
    <s v="Online Transfer to CHK ...7365 t ransaction#: 21422175615"/>
    <n v="-8008.33"/>
    <n v="212768.6600000014"/>
    <x v="2"/>
  </r>
  <r>
    <d v="2023-05-15T00:00:00"/>
    <s v="Check"/>
    <s v="A: CITIZENS BANK, NA/011500120 A"/>
    <n v="-8000.92"/>
    <n v="172029.75000000169"/>
    <x v="0"/>
  </r>
  <r>
    <d v="2023-01-15T00:00:00"/>
    <s v="Deposit"/>
    <s v="net galley"/>
    <n v="1650"/>
    <n v="945402.54000000178"/>
    <x v="1"/>
  </r>
  <r>
    <d v="2023-01-15T00:00:00"/>
    <s v="Deposit"/>
    <s v="jarpa"/>
    <n v="1650"/>
    <n v="947052.54000000178"/>
    <x v="1"/>
  </r>
  <r>
    <d v="2023-01-15T00:00:00"/>
    <s v="Check"/>
    <m/>
    <n v="-50"/>
    <n v="947002.54000000178"/>
    <x v="1"/>
  </r>
  <r>
    <d v="2023-01-15T00:00:00"/>
    <s v="Check"/>
    <m/>
    <n v="-920"/>
    <n v="921082.54000000178"/>
    <x v="1"/>
  </r>
  <r>
    <d v="2023-01-15T00:00:00"/>
    <s v="Check"/>
    <m/>
    <n v="-5044.78"/>
    <n v="916037.76000000176"/>
    <x v="1"/>
  </r>
  <r>
    <d v="2023-01-17T00:00:00"/>
    <s v="Deposit"/>
    <m/>
    <n v="700"/>
    <n v="931982.76000000176"/>
    <x v="1"/>
  </r>
  <r>
    <d v="2023-01-31T00:00:00"/>
    <s v="Deposit"/>
    <s v="NOT REALLY"/>
    <n v="308.36"/>
    <n v="994906.12000000174"/>
    <x v="1"/>
  </r>
  <r>
    <d v="2023-02-01T00:00:00"/>
    <s v="Deposit"/>
    <m/>
    <n v="5510"/>
    <n v="1015146.120000002"/>
    <x v="1"/>
  </r>
  <r>
    <d v="2023-02-01T00:00:00"/>
    <s v="Deposit"/>
    <m/>
    <n v="4825"/>
    <n v="1019971.120000002"/>
    <x v="1"/>
  </r>
  <r>
    <d v="2023-02-01T00:00:00"/>
    <s v="Deposit"/>
    <m/>
    <n v="3750"/>
    <n v="1009636.120000002"/>
    <x v="1"/>
  </r>
  <r>
    <d v="2023-02-01T00:00:00"/>
    <s v="Deposit"/>
    <m/>
    <n v="2585"/>
    <n v="1022556.120000002"/>
    <x v="1"/>
  </r>
  <r>
    <d v="2023-02-01T00:00:00"/>
    <s v="Deposit"/>
    <m/>
    <n v="1345"/>
    <n v="1023901.120000002"/>
    <x v="1"/>
  </r>
  <r>
    <d v="2018-06-30T00:00:00"/>
    <s v="Check"/>
    <s v="ioFile"/>
    <n v="-7990"/>
    <n v="400332.5500000004"/>
    <x v="2"/>
  </r>
  <r>
    <d v="2022-07-08T00:00:00"/>
    <s v="Check"/>
    <m/>
    <n v="-7776"/>
    <n v="650451.79000000167"/>
    <x v="2"/>
  </r>
  <r>
    <d v="2023-02-11T00:00:00"/>
    <s v="Deposit"/>
    <m/>
    <n v="4490"/>
    <n v="1035987.230000002"/>
    <x v="1"/>
  </r>
  <r>
    <d v="2023-02-13T00:00:00"/>
    <s v="Deposit"/>
    <m/>
    <n v="1800"/>
    <n v="1039532.230000002"/>
    <x v="1"/>
  </r>
  <r>
    <d v="2021-05-15T00:00:00"/>
    <s v="Check"/>
    <s v="Michele Cobb (_######6800)"/>
    <n v="-7614.25"/>
    <n v="464789.33000000112"/>
    <x v="2"/>
  </r>
  <r>
    <d v="2024-04-30T00:00:00"/>
    <s v="Check"/>
    <m/>
    <n v="-7500"/>
    <n v="315991.6300000014"/>
    <x v="2"/>
  </r>
  <r>
    <d v="2019-03-11T00:00:00"/>
    <s v="Check"/>
    <s v="ransaction#: 7872164571"/>
    <n v="-7350"/>
    <n v="484605.01000000059"/>
    <x v="6"/>
  </r>
  <r>
    <d v="2023-02-15T00:00:00"/>
    <s v="Deposit"/>
    <m/>
    <n v="5215"/>
    <n v="1060027.350000002"/>
    <x v="1"/>
  </r>
  <r>
    <d v="2023-02-15T00:00:00"/>
    <s v="Deposit"/>
    <m/>
    <n v="3295"/>
    <n v="1063322.350000002"/>
    <x v="1"/>
  </r>
  <r>
    <d v="2023-02-15T00:00:00"/>
    <s v="Deposit"/>
    <s v="pozotron payment 1"/>
    <n v="1500"/>
    <n v="1054812.350000002"/>
    <x v="1"/>
  </r>
  <r>
    <d v="2023-02-15T00:00:00"/>
    <s v="Deposit"/>
    <m/>
    <n v="425"/>
    <n v="1063747.350000002"/>
    <x v="1"/>
  </r>
  <r>
    <d v="2023-02-15T00:00:00"/>
    <s v="Check"/>
    <m/>
    <n v="-960"/>
    <n v="1034745.850000002"/>
    <x v="1"/>
  </r>
  <r>
    <d v="2023-02-15T00:00:00"/>
    <s v="Check"/>
    <s v="MARCH"/>
    <n v="-1925"/>
    <n v="1032820.850000002"/>
    <x v="1"/>
  </r>
  <r>
    <d v="2023-02-15T00:00:00"/>
    <s v="Check"/>
    <m/>
    <n v="-3300"/>
    <n v="1094437.350000002"/>
    <x v="1"/>
  </r>
  <r>
    <d v="2023-02-15T00:00:00"/>
    <s v="Check"/>
    <s v="BaileyDuquette (_######9908)"/>
    <n v="-3750"/>
    <n v="1035705.850000002"/>
    <x v="1"/>
  </r>
  <r>
    <d v="2019-05-01T00:00:00"/>
    <s v="Check"/>
    <s v="ransaction#: 7872164571"/>
    <n v="-7350"/>
    <n v="239915.38000000059"/>
    <x v="6"/>
  </r>
  <r>
    <d v="2019-11-01T00:00:00"/>
    <s v="Check"/>
    <s v="ransaction#: 7872164571"/>
    <n v="-7350"/>
    <n v="179517.86000000071"/>
    <x v="6"/>
  </r>
  <r>
    <d v="2019-12-01T00:00:00"/>
    <s v="Check"/>
    <s v="ransaction#: 7872164571"/>
    <n v="-7350"/>
    <n v="243269.24000000069"/>
    <x v="6"/>
  </r>
  <r>
    <d v="2023-02-17T00:00:00"/>
    <s v="Deposit"/>
    <m/>
    <n v="2505"/>
    <n v="1042038.250000002"/>
    <x v="1"/>
  </r>
  <r>
    <d v="2023-02-17T00:00:00"/>
    <s v="Deposit"/>
    <m/>
    <n v="600"/>
    <n v="1039533.250000002"/>
    <x v="1"/>
  </r>
  <r>
    <d v="2023-02-18T00:00:00"/>
    <s v="Deposit"/>
    <m/>
    <n v="2670"/>
    <n v="1048357.370000002"/>
    <x v="1"/>
  </r>
  <r>
    <d v="2023-02-18T00:00:00"/>
    <s v="Deposit"/>
    <m/>
    <n v="2605"/>
    <n v="1050962.370000002"/>
    <x v="1"/>
  </r>
  <r>
    <d v="2020-01-01T00:00:00"/>
    <s v="Check"/>
    <s v="ransaction#: 7872164571"/>
    <n v="-7350"/>
    <n v="335732.89000000071"/>
    <x v="6"/>
  </r>
  <r>
    <d v="2023-02-19T00:00:00"/>
    <s v="Deposit"/>
    <m/>
    <n v="5070"/>
    <n v="1068632.370000002"/>
    <x v="1"/>
  </r>
  <r>
    <d v="2023-02-19T00:00:00"/>
    <s v="Deposit"/>
    <m/>
    <n v="3920"/>
    <n v="1054882.370000002"/>
    <x v="1"/>
  </r>
  <r>
    <d v="2023-02-19T00:00:00"/>
    <s v="Deposit"/>
    <m/>
    <n v="3445"/>
    <n v="1072077.370000002"/>
    <x v="1"/>
  </r>
  <r>
    <d v="2023-03-02T00:00:00"/>
    <s v="Deposit"/>
    <m/>
    <n v="1785"/>
    <n v="1105355.690000002"/>
    <x v="1"/>
  </r>
  <r>
    <d v="2023-03-06T00:00:00"/>
    <s v="Deposit"/>
    <s v="ORIG ID:4101813436 DESC DATE:230"/>
    <n v="4000"/>
    <n v="1102626.7100000021"/>
    <x v="1"/>
  </r>
  <r>
    <d v="2023-03-11T00:00:00"/>
    <s v="Check"/>
    <m/>
    <n v="-5149.9799999999996"/>
    <n v="1122637.5800000019"/>
    <x v="1"/>
  </r>
  <r>
    <d v="2023-03-16T00:00:00"/>
    <s v="Check"/>
    <s v="ORIG ID:1592126793 DESC DATE:230"/>
    <n v="-1021.87"/>
    <n v="555165.74000000174"/>
    <x v="1"/>
  </r>
  <r>
    <d v="2023-03-17T00:00:00"/>
    <s v="Check"/>
    <m/>
    <n v="0"/>
    <n v="559190.61000000173"/>
    <x v="1"/>
  </r>
  <r>
    <d v="2020-02-01T00:00:00"/>
    <s v="Check"/>
    <s v="ransaction#: 8128556593"/>
    <n v="-7350"/>
    <n v="530530.99000000057"/>
    <x v="6"/>
  </r>
  <r>
    <d v="2021-02-01T00:00:00"/>
    <s v="Check"/>
    <m/>
    <n v="-7350"/>
    <n v="585322.7500000007"/>
    <x v="6"/>
  </r>
  <r>
    <d v="2023-04-16T00:00:00"/>
    <s v="Deposit"/>
    <s v="ORIG ID:4284601835 DESC DATE:230"/>
    <n v="1200"/>
    <n v="341809.15000000171"/>
    <x v="1"/>
  </r>
  <r>
    <d v="2023-04-30T00:00:00"/>
    <s v="Deposit"/>
    <m/>
    <n v="5479"/>
    <n v="223344.27000000171"/>
    <x v="1"/>
  </r>
  <r>
    <d v="2023-04-30T00:00:00"/>
    <s v="Check"/>
    <s v="ORIG ID:3264681992 DESC DATE:230"/>
    <n v="-85"/>
    <n v="201499.27000000171"/>
    <x v="1"/>
  </r>
  <r>
    <d v="2021-05-01T00:00:00"/>
    <s v="Check"/>
    <s v="ransaction#: 11587814647"/>
    <n v="-7350"/>
    <n v="455962.2400000011"/>
    <x v="6"/>
  </r>
  <r>
    <d v="2021-07-01T00:00:00"/>
    <s v="Check"/>
    <m/>
    <n v="-7350"/>
    <n v="410798.21000000113"/>
    <x v="6"/>
  </r>
  <r>
    <d v="2023-05-15T00:00:00"/>
    <s v="Deposit"/>
    <s v="Online Transfer from CHK ...7851 transaction#: 20790499578"/>
    <n v="1870.89"/>
    <n v="173900.6400000017"/>
    <x v="1"/>
  </r>
  <r>
    <d v="2021-08-01T00:00:00"/>
    <s v="Check"/>
    <m/>
    <n v="-7350"/>
    <n v="446924.87000000098"/>
    <x v="6"/>
  </r>
  <r>
    <d v="2023-05-24T00:00:00"/>
    <s v="Check"/>
    <s v="Book Buzz 25% project deposit"/>
    <n v="-1250"/>
    <n v="166836.99000000171"/>
    <x v="1"/>
  </r>
  <r>
    <d v="2023-05-24T00:00:00"/>
    <s v="Check"/>
    <s v="BaileyDuquette (_######9908)"/>
    <n v="-3750"/>
    <n v="163086.99000000171"/>
    <x v="1"/>
  </r>
  <r>
    <d v="2023-05-24T00:00:00"/>
    <s v="Check"/>
    <s v="BaileyDuquette (_######9908)"/>
    <n v="-4900"/>
    <n v="158186.99000000171"/>
    <x v="1"/>
  </r>
  <r>
    <d v="2021-09-01T00:00:00"/>
    <s v="Check"/>
    <m/>
    <n v="-7350"/>
    <n v="446949.30000000098"/>
    <x v="6"/>
  </r>
  <r>
    <d v="2021-10-01T00:00:00"/>
    <s v="Check"/>
    <m/>
    <n v="-7350"/>
    <n v="492621.44000000088"/>
    <x v="6"/>
  </r>
  <r>
    <d v="2023-05-31T00:00:00"/>
    <s v="Check"/>
    <s v="Book Buzz"/>
    <n v="-3750"/>
    <n v="129231.99000000169"/>
    <x v="1"/>
  </r>
  <r>
    <d v="2021-11-01T00:00:00"/>
    <s v="Check"/>
    <m/>
    <n v="-7350"/>
    <n v="521685.99000000092"/>
    <x v="6"/>
  </r>
  <r>
    <d v="2022-08-15T00:00:00"/>
    <s v="Check"/>
    <s v="ransaction#: 14008876144"/>
    <n v="-7350"/>
    <n v="702439.48000000173"/>
    <x v="6"/>
  </r>
  <r>
    <d v="2023-06-26T00:00:00"/>
    <s v="Check"/>
    <s v="04/19"/>
    <n v="-187.69"/>
    <n v="115774.8300000017"/>
    <x v="1"/>
  </r>
  <r>
    <d v="2023-06-26T00:00:00"/>
    <s v="Check"/>
    <s v="06/14"/>
    <n v="-533"/>
    <n v="115241.8300000017"/>
    <x v="1"/>
  </r>
  <r>
    <d v="2022-09-15T00:00:00"/>
    <s v="Check"/>
    <s v="ransaction#: 14008876144"/>
    <n v="-7350"/>
    <n v="671726.54000000178"/>
    <x v="6"/>
  </r>
  <r>
    <d v="2023-07-03T00:00:00"/>
    <s v="Expense"/>
    <s v="GOOGLE *GSUITE_audio cc@google.c om CA        07/01"/>
    <n v="-52.26"/>
    <n v="106414.1900000017"/>
    <x v="1"/>
  </r>
  <r>
    <d v="2023-07-03T00:00:00"/>
    <s v="Expense"/>
    <s v="EIG*CONSTANTCONTACT.CO 855-22955 06 MA        07/02"/>
    <n v="-157.87"/>
    <n v="106256.3200000017"/>
    <x v="1"/>
  </r>
  <r>
    <d v="2023-07-07T00:00:00"/>
    <s v="Expense"/>
    <s v="Online ACH Payment 11026785689 T o AudioFilePublications (_######"/>
    <n v="-850"/>
    <n v="129211.7300000017"/>
    <x v="1"/>
  </r>
  <r>
    <d v="2023-07-15T00:00:00"/>
    <s v="Check"/>
    <m/>
    <n v="-5000"/>
    <n v="169930.44000000169"/>
    <x v="1"/>
  </r>
  <r>
    <d v="2023-08-01T00:00:00"/>
    <s v="Deposit"/>
    <s v="REMOTE ONLINE DEPOSIT # 1"/>
    <n v="2100"/>
    <n v="191884.91000000169"/>
    <x v="1"/>
  </r>
  <r>
    <d v="2023-08-03T00:00:00"/>
    <s v="Deposit"/>
    <m/>
    <n v="315"/>
    <n v="187617.1700000017"/>
    <x v="1"/>
  </r>
  <r>
    <d v="2023-09-01T00:00:00"/>
    <s v="Deposit"/>
    <m/>
    <n v="982.5"/>
    <n v="159586.62000000171"/>
    <x v="1"/>
  </r>
  <r>
    <d v="2023-09-15T00:00:00"/>
    <s v="Check"/>
    <m/>
    <n v="-200"/>
    <n v="169646.30000000171"/>
    <x v="1"/>
  </r>
  <r>
    <d v="2023-09-15T00:00:00"/>
    <s v="Check"/>
    <m/>
    <n v="-462.02"/>
    <n v="169184.28000000169"/>
    <x v="1"/>
  </r>
  <r>
    <d v="2023-09-26T00:00:00"/>
    <s v="Expense"/>
    <s v="Online ACH Payment 11112530090 T o MicheleCobb (_######6800)"/>
    <n v="-7071.76"/>
    <n v="162863.38000000169"/>
    <x v="1"/>
  </r>
  <r>
    <d v="2022-11-05T00:00:00"/>
    <s v="Check"/>
    <m/>
    <n v="-7350"/>
    <n v="532681.58000000182"/>
    <x v="6"/>
  </r>
  <r>
    <d v="2022-12-01T00:00:00"/>
    <s v="Check"/>
    <m/>
    <n v="-7350"/>
    <n v="567921.26000000176"/>
    <x v="6"/>
  </r>
  <r>
    <d v="2023-10-03T00:00:00"/>
    <s v="Expense"/>
    <s v="ORIG CO NAME:Great American G ORIG ID:F800146791 DESC DATE:240"/>
    <n v="-584"/>
    <n v="169534.3600000017"/>
    <x v="1"/>
  </r>
  <r>
    <d v="2023-02-16T00:00:00"/>
    <s v="Deposit"/>
    <m/>
    <n v="6130"/>
    <n v="1038950.850000002"/>
    <x v="2"/>
  </r>
  <r>
    <d v="2023-10-15T00:00:00"/>
    <s v="Check"/>
    <m/>
    <n v="-200"/>
    <n v="201442.97000000169"/>
    <x v="1"/>
  </r>
  <r>
    <d v="2023-11-15T00:00:00"/>
    <s v="Check"/>
    <m/>
    <n v="-200"/>
    <n v="195816.18000000171"/>
    <x v="1"/>
  </r>
  <r>
    <d v="2019-01-10T00:00:00"/>
    <s v="Deposit"/>
    <m/>
    <n v="6335"/>
    <n v="515322.70000000042"/>
    <x v="2"/>
  </r>
  <r>
    <d v="2023-12-15T00:00:00"/>
    <s v="Check"/>
    <m/>
    <n v="-2000"/>
    <n v="306505.42000000167"/>
    <x v="1"/>
  </r>
  <r>
    <d v="2023-12-15T00:00:00"/>
    <s v="Check"/>
    <m/>
    <n v="-6019.31"/>
    <n v="308505.42000000167"/>
    <x v="1"/>
  </r>
  <r>
    <d v="2018-08-31T00:00:00"/>
    <s v="Deposit"/>
    <m/>
    <n v="6400"/>
    <n v="469406.08000000031"/>
    <x v="2"/>
  </r>
  <r>
    <d v="2019-07-23T00:00:00"/>
    <s v="Deposit"/>
    <m/>
    <n v="6500"/>
    <n v="176744.12000000061"/>
    <x v="2"/>
  </r>
  <r>
    <d v="2023-02-15T00:00:00"/>
    <s v="Deposit"/>
    <m/>
    <n v="6600"/>
    <n v="1053312.350000002"/>
    <x v="2"/>
  </r>
  <r>
    <d v="2023-12-29T00:00:00"/>
    <s v="Deposit"/>
    <m/>
    <n v="930"/>
    <n v="309953.85000000172"/>
    <x v="1"/>
  </r>
  <r>
    <d v="2018-11-27T00:00:00"/>
    <s v="Deposit"/>
    <s v="r Membership"/>
    <n v="6995"/>
    <n v="468879.92000000027"/>
    <x v="2"/>
  </r>
  <r>
    <d v="2023-12-22T00:00:00"/>
    <s v="Deposit"/>
    <m/>
    <n v="7255"/>
    <n v="298439.27000000171"/>
    <x v="2"/>
  </r>
  <r>
    <d v="2024-01-09T00:00:00"/>
    <s v="Deposit"/>
    <m/>
    <n v="1850"/>
    <n v="396809.05000000168"/>
    <x v="1"/>
  </r>
  <r>
    <d v="2024-01-12T00:00:00"/>
    <s v="Deposit"/>
    <m/>
    <n v="2015"/>
    <n v="429046.30000000168"/>
    <x v="1"/>
  </r>
  <r>
    <d v="2024-01-15T00:00:00"/>
    <s v="Deposit"/>
    <m/>
    <n v="2070"/>
    <n v="422378.78000000172"/>
    <x v="1"/>
  </r>
  <r>
    <d v="2024-01-15T00:00:00"/>
    <s v="Check"/>
    <m/>
    <n v="-25"/>
    <n v="420308.78000000172"/>
    <x v="1"/>
  </r>
  <r>
    <d v="2024-01-15T00:00:00"/>
    <s v="Check"/>
    <m/>
    <n v="-41.64"/>
    <n v="420383.78000000172"/>
    <x v="1"/>
  </r>
  <r>
    <d v="2024-01-15T00:00:00"/>
    <s v="Check"/>
    <m/>
    <n v="-50"/>
    <n v="420333.78000000172"/>
    <x v="1"/>
  </r>
  <r>
    <d v="2024-01-30T00:00:00"/>
    <s v="Deposit"/>
    <m/>
    <n v="1520"/>
    <n v="499278.3200000017"/>
    <x v="1"/>
  </r>
  <r>
    <d v="2024-02-01T00:00:00"/>
    <s v="Deposit"/>
    <m/>
    <n v="4775"/>
    <n v="513243.3200000017"/>
    <x v="1"/>
  </r>
  <r>
    <d v="2024-02-07T00:00:00"/>
    <s v="Deposit"/>
    <m/>
    <n v="195"/>
    <n v="541702.80000000168"/>
    <x v="1"/>
  </r>
  <r>
    <d v="2022-01-03T00:00:00"/>
    <s v="Deposit"/>
    <m/>
    <n v="7300"/>
    <n v="670510.83000000124"/>
    <x v="7"/>
  </r>
  <r>
    <d v="2024-02-15T00:00:00"/>
    <s v="Check"/>
    <m/>
    <n v="-10"/>
    <n v="546599.60000000161"/>
    <x v="1"/>
  </r>
  <r>
    <d v="2024-02-15T00:00:00"/>
    <s v="Check"/>
    <m/>
    <n v="-680"/>
    <n v="547309.60000000161"/>
    <x v="1"/>
  </r>
  <r>
    <d v="2024-02-15T00:00:00"/>
    <s v="Check"/>
    <m/>
    <n v="-700"/>
    <n v="546609.60000000161"/>
    <x v="1"/>
  </r>
  <r>
    <d v="2023-01-03T00:00:00"/>
    <s v="Deposit"/>
    <s v="harper"/>
    <n v="7300"/>
    <n v="882583.00000000175"/>
    <x v="7"/>
  </r>
  <r>
    <d v="2024-02-16T00:00:00"/>
    <s v="Deposit"/>
    <m/>
    <n v="2825"/>
    <n v="549424.60000000161"/>
    <x v="1"/>
  </r>
  <r>
    <d v="2024-02-23T00:00:00"/>
    <s v="Deposit"/>
    <m/>
    <n v="1040"/>
    <n v="557996.08000000159"/>
    <x v="1"/>
  </r>
  <r>
    <d v="2024-03-28T00:00:00"/>
    <s v="Deposit"/>
    <m/>
    <n v="165"/>
    <n v="376981.39000000141"/>
    <x v="1"/>
  </r>
  <r>
    <d v="2024-03-30T00:00:00"/>
    <s v="Check"/>
    <s v="teleprompter"/>
    <n v="-1850"/>
    <n v="375131.39000000141"/>
    <x v="1"/>
  </r>
  <r>
    <d v="2023-02-15T00:00:00"/>
    <s v="Deposit"/>
    <m/>
    <n v="7300"/>
    <n v="1046712.350000002"/>
    <x v="7"/>
  </r>
  <r>
    <d v="2023-02-09T00:00:00"/>
    <s v="Deposit"/>
    <m/>
    <n v="7615"/>
    <n v="1021162.230000002"/>
    <x v="2"/>
  </r>
  <r>
    <d v="2024-04-30T00:00:00"/>
    <s v="Check"/>
    <m/>
    <n v="-70.86"/>
    <n v="321641.6300000014"/>
    <x v="1"/>
  </r>
  <r>
    <d v="2024-04-30T00:00:00"/>
    <s v="Check"/>
    <m/>
    <n v="-500"/>
    <n v="275510.76000000141"/>
    <x v="1"/>
  </r>
  <r>
    <d v="2024-04-30T00:00:00"/>
    <s v="Check"/>
    <s v="cars"/>
    <n v="-3201.76"/>
    <n v="312789.87000000139"/>
    <x v="1"/>
  </r>
  <r>
    <d v="2023-01-07T00:00:00"/>
    <s v="Deposit"/>
    <m/>
    <n v="7965"/>
    <n v="929342.54000000178"/>
    <x v="2"/>
  </r>
  <r>
    <d v="2023-02-19T00:00:00"/>
    <s v="Deposit"/>
    <m/>
    <n v="8680"/>
    <n v="1063562.370000002"/>
    <x v="2"/>
  </r>
  <r>
    <d v="2023-10-06T00:00:00"/>
    <s v="Deposit"/>
    <m/>
    <n v="8887.5"/>
    <n v="185685.72000000169"/>
    <x v="2"/>
  </r>
  <r>
    <d v="2024-05-07T00:00:00"/>
    <s v="Deposit"/>
    <s v="ORIG CO NAME:BANKCARD-8566 ORIG ID:1592126793 DESC DATE:240"/>
    <n v="80"/>
    <n v="259216.17000000141"/>
    <x v="1"/>
  </r>
  <r>
    <d v="2024-05-09T00:00:00"/>
    <s v="Deposit"/>
    <s v="ORIG CO NAME:BANKCARD-8566 ORIG ID:1592126793 DESC DATE:240"/>
    <n v="123.75"/>
    <n v="254546.02000000139"/>
    <x v="1"/>
  </r>
  <r>
    <d v="2019-05-31T00:00:00"/>
    <s v="Deposit"/>
    <s v="A: WELLS FARGO NA/121000248 A/C:"/>
    <n v="9504.06"/>
    <n v="148936.27000000069"/>
    <x v="2"/>
  </r>
  <r>
    <d v="2025-01-18T00:00:00"/>
    <s v="Deposit"/>
    <m/>
    <n v="9845"/>
    <n v="377112.28000000131"/>
    <x v="0"/>
  </r>
  <r>
    <d v="2024-05-15T00:00:00"/>
    <s v="Check"/>
    <m/>
    <n v="-3409.84"/>
    <n v="209435.1300000014"/>
    <x v="1"/>
  </r>
  <r>
    <d v="2024-05-15T00:00:00"/>
    <s v="Check"/>
    <m/>
    <n v="-5000"/>
    <n v="212844.9700000014"/>
    <x v="1"/>
  </r>
  <r>
    <d v="2024-05-21T00:00:00"/>
    <s v="Deposit"/>
    <m/>
    <n v="123.75"/>
    <n v="210106.6300000014"/>
    <x v="1"/>
  </r>
  <r>
    <d v="2024-05-31T00:00:00"/>
    <s v="Check"/>
    <s v="Reconcile Adjustment"/>
    <n v="-0.42"/>
    <n v="207203.80000000141"/>
    <x v="1"/>
  </r>
  <r>
    <d v="2024-06-05T00:00:00"/>
    <s v="Deposit"/>
    <m/>
    <n v="1805"/>
    <n v="207474.17000000141"/>
    <x v="1"/>
  </r>
  <r>
    <d v="2024-06-06T00:00:00"/>
    <s v="Deposit"/>
    <m/>
    <n v="795"/>
    <n v="208269.17000000141"/>
    <x v="1"/>
  </r>
  <r>
    <d v="2024-06-07T00:00:00"/>
    <s v="Deposit"/>
    <m/>
    <n v="920"/>
    <n v="209189.17000000141"/>
    <x v="1"/>
  </r>
  <r>
    <d v="2024-06-08T00:00:00"/>
    <s v="Deposit"/>
    <m/>
    <n v="840"/>
    <n v="210029.17000000141"/>
    <x v="1"/>
  </r>
  <r>
    <d v="2024-06-09T00:00:00"/>
    <s v="Deposit"/>
    <m/>
    <n v="270"/>
    <n v="210299.17000000141"/>
    <x v="1"/>
  </r>
  <r>
    <d v="2024-06-10T00:00:00"/>
    <s v="Deposit"/>
    <m/>
    <n v="1365"/>
    <n v="211664.17000000141"/>
    <x v="1"/>
  </r>
  <r>
    <d v="2024-06-11T00:00:00"/>
    <s v="Deposit"/>
    <m/>
    <n v="1290"/>
    <n v="212152.67000000141"/>
    <x v="1"/>
  </r>
  <r>
    <d v="2024-06-12T00:00:00"/>
    <s v="Deposit"/>
    <m/>
    <n v="778.75"/>
    <n v="212931.42000000141"/>
    <x v="1"/>
  </r>
  <r>
    <d v="2024-06-13T00:00:00"/>
    <s v="Deposit"/>
    <m/>
    <n v="487.5"/>
    <n v="213320.5000000014"/>
    <x v="1"/>
  </r>
  <r>
    <d v="2024-06-14T00:00:00"/>
    <s v="Deposit"/>
    <m/>
    <n v="672.5"/>
    <n v="206016.11000000141"/>
    <x v="1"/>
  </r>
  <r>
    <d v="2024-06-15T00:00:00"/>
    <s v="Deposit"/>
    <m/>
    <n v="1450"/>
    <n v="207466.11000000141"/>
    <x v="1"/>
  </r>
  <r>
    <d v="2024-06-15T00:00:00"/>
    <s v="Deposit"/>
    <m/>
    <n v="21"/>
    <n v="207487.11000000141"/>
    <x v="1"/>
  </r>
  <r>
    <d v="2024-06-15T00:00:00"/>
    <s v="Check"/>
    <m/>
    <n v="-21"/>
    <n v="207466.11000000141"/>
    <x v="1"/>
  </r>
  <r>
    <d v="2024-06-16T00:00:00"/>
    <s v="Deposit"/>
    <m/>
    <n v="705"/>
    <n v="194571.11000000141"/>
    <x v="1"/>
  </r>
  <r>
    <d v="2024-06-17T00:00:00"/>
    <s v="Deposit"/>
    <m/>
    <n v="400"/>
    <n v="194971.11000000141"/>
    <x v="1"/>
  </r>
  <r>
    <d v="2024-06-18T00:00:00"/>
    <s v="Deposit"/>
    <m/>
    <n v="3775"/>
    <n v="198729.74000000139"/>
    <x v="1"/>
  </r>
  <r>
    <d v="2024-06-20T00:00:00"/>
    <s v="Deposit"/>
    <m/>
    <n v="1193.75"/>
    <n v="199912.61000000141"/>
    <x v="1"/>
  </r>
  <r>
    <d v="2024-06-21T00:00:00"/>
    <s v="Deposit"/>
    <m/>
    <n v="943.75"/>
    <n v="200856.36000000141"/>
    <x v="1"/>
  </r>
  <r>
    <d v="2024-06-22T00:00:00"/>
    <s v="Deposit"/>
    <m/>
    <n v="130"/>
    <n v="206356.36000000141"/>
    <x v="1"/>
  </r>
  <r>
    <d v="2024-06-23T00:00:00"/>
    <s v="Deposit"/>
    <m/>
    <n v="165"/>
    <n v="206521.36000000141"/>
    <x v="1"/>
  </r>
  <r>
    <d v="2024-06-24T00:00:00"/>
    <s v="Deposit"/>
    <s v="Online Transfer from CHK ...7851 transaction#: 21500225750"/>
    <n v="1508.89"/>
    <n v="208640.2500000014"/>
    <x v="1"/>
  </r>
  <r>
    <d v="2024-06-24T00:00:00"/>
    <s v="Deposit"/>
    <m/>
    <n v="610"/>
    <n v="207131.36000000141"/>
    <x v="1"/>
  </r>
  <r>
    <d v="2024-06-25T00:00:00"/>
    <s v="Deposit"/>
    <m/>
    <n v="440"/>
    <n v="209080.2500000014"/>
    <x v="1"/>
  </r>
  <r>
    <d v="2024-06-28T00:00:00"/>
    <s v="Check"/>
    <s v="Reconcile Adjustment"/>
    <n v="-100.28"/>
    <n v="214437.2200000014"/>
    <x v="1"/>
  </r>
  <r>
    <d v="2023-01-03T00:00:00"/>
    <s v="Deposit"/>
    <m/>
    <n v="10035"/>
    <n v="892618.00000000175"/>
    <x v="0"/>
  </r>
  <r>
    <d v="2024-07-05T00:00:00"/>
    <s v="Deposit"/>
    <m/>
    <n v="16.5"/>
    <n v="207229.30000000141"/>
    <x v="1"/>
  </r>
  <r>
    <d v="2023-01-03T00:00:00"/>
    <s v="Deposit"/>
    <m/>
    <n v="11060"/>
    <n v="863713.00000000175"/>
    <x v="8"/>
  </r>
  <r>
    <d v="2024-07-17T00:00:00"/>
    <s v="Expense"/>
    <s v="ACCESSIBE.COM ACCESSIBE.COM NY 06/14"/>
    <n v="-533.49"/>
    <n v="303635.33000000141"/>
    <x v="1"/>
  </r>
  <r>
    <d v="2023-01-03T00:00:00"/>
    <s v="Deposit"/>
    <m/>
    <n v="11060"/>
    <n v="874773.00000000175"/>
    <x v="8"/>
  </r>
  <r>
    <d v="2024-08-15T00:00:00"/>
    <s v="Expense"/>
    <s v="NOTION LABS, INC. HTTPSWWW.NOTI CA           06/16"/>
    <n v="-839.3"/>
    <n v="322396.47000000143"/>
    <x v="1"/>
  </r>
  <r>
    <d v="2023-01-07T00:00:00"/>
    <s v="Deposit"/>
    <m/>
    <n v="11100"/>
    <n v="921377.54000000178"/>
    <x v="2"/>
  </r>
  <r>
    <d v="2024-08-20T00:00:00"/>
    <s v="Deposit"/>
    <s v="ORIG CO NAME:BANKCARD-8566 ORIG ID:1592126793 DESC DATE:240"/>
    <n v="500"/>
    <n v="295266.48000000138"/>
    <x v="1"/>
  </r>
  <r>
    <d v="2022-11-17T00:00:00"/>
    <s v="Deposit"/>
    <m/>
    <n v="11470"/>
    <n v="554097.62000000174"/>
    <x v="2"/>
  </r>
  <r>
    <d v="2024-08-30T00:00:00"/>
    <s v="Deposit"/>
    <m/>
    <n v="1247.5"/>
    <n v="296161.65000000142"/>
    <x v="1"/>
  </r>
  <r>
    <d v="2024-09-12T00:00:00"/>
    <s v="Deposit"/>
    <s v="Credit Return: Online Payment 20 695568518 To KLS Worldwide Chauf"/>
    <n v="3201.76"/>
    <n v="220366.99000000139"/>
    <x v="1"/>
  </r>
  <r>
    <d v="2024-09-15T00:00:00"/>
    <s v="Check"/>
    <m/>
    <n v="-165"/>
    <n v="207176.99000000139"/>
    <x v="1"/>
  </r>
  <r>
    <d v="2024-09-15T00:00:00"/>
    <s v="Check"/>
    <m/>
    <n v="-5587.79"/>
    <n v="201589.20000000141"/>
    <x v="1"/>
  </r>
  <r>
    <d v="2024-09-15T00:00:00"/>
    <s v="Expense"/>
    <s v="Online Transfer to CHK ...7365 t ransaction#: 21443691410"/>
    <n v="-5591.67"/>
    <n v="207176.99000000139"/>
    <x v="1"/>
  </r>
  <r>
    <d v="2021-09-12T00:00:00"/>
    <s v="Deposit"/>
    <s v="1"/>
    <n v="12525"/>
    <n v="477097.32000000088"/>
    <x v="0"/>
  </r>
  <r>
    <d v="2023-01-03T00:00:00"/>
    <s v="Deposit"/>
    <m/>
    <n v="13970"/>
    <n v="797373.00000000175"/>
    <x v="2"/>
  </r>
  <r>
    <d v="2024-10-11T00:00:00"/>
    <s v="Expense"/>
    <s v="ORIG CO NAME:RAYDIUS CORPORAT ORIG ID:9215986202 DESC DATE:240"/>
    <n v="-6060"/>
    <n v="257616.86000000141"/>
    <x v="1"/>
  </r>
  <r>
    <d v="2023-01-08T00:00:00"/>
    <s v="Deposit"/>
    <m/>
    <n v="14410"/>
    <n v="943752.54000000178"/>
    <x v="2"/>
  </r>
  <r>
    <d v="2024-10-11T00:00:00"/>
    <s v="Deposit"/>
    <m/>
    <n v="15007.5"/>
    <n v="272624.36000000138"/>
    <x v="2"/>
  </r>
  <r>
    <d v="2023-01-06T00:00:00"/>
    <s v="Deposit"/>
    <m/>
    <n v="18015"/>
    <n v="910277.54000000178"/>
    <x v="2"/>
  </r>
  <r>
    <d v="2024-11-08T00:00:00"/>
    <s v="Deposit"/>
    <m/>
    <n v="701.25"/>
    <n v="182960.74000000139"/>
    <x v="1"/>
  </r>
  <r>
    <d v="2024-12-15T00:00:00"/>
    <s v="Check"/>
    <m/>
    <n v="-2000"/>
    <n v="154099.30000000141"/>
    <x v="1"/>
  </r>
  <r>
    <d v="2024-12-15T00:00:00"/>
    <s v="Check"/>
    <m/>
    <n v="-6747.46"/>
    <n v="147351.84000000139"/>
    <x v="1"/>
  </r>
  <r>
    <d v="2024-12-31T00:00:00"/>
    <s v="Check"/>
    <m/>
    <n v="-1858.69"/>
    <n v="152626.09000000139"/>
    <x v="1"/>
  </r>
  <r>
    <d v="2024-12-31T00:00:00"/>
    <s v="Check"/>
    <m/>
    <n v="-1991.76"/>
    <n v="166335.58000000141"/>
    <x v="1"/>
  </r>
  <r>
    <d v="2025-02-05T00:00:00"/>
    <s v="Deposit"/>
    <m/>
    <n v="19055"/>
    <n v="540207.34000000125"/>
    <x v="0"/>
  </r>
  <r>
    <d v="2023-01-03T00:00:00"/>
    <s v="Deposit"/>
    <m/>
    <n v="19145"/>
    <n v="852653.00000000175"/>
    <x v="2"/>
  </r>
  <r>
    <d v="2025-01-15T00:00:00"/>
    <s v="Check"/>
    <m/>
    <n v="-5000"/>
    <n v="361150.63000000129"/>
    <x v="1"/>
  </r>
  <r>
    <d v="2021-09-11T00:00:00"/>
    <s v="Deposit"/>
    <s v="to offset"/>
    <n v="19925"/>
    <n v="464572.32000000088"/>
    <x v="2"/>
  </r>
  <r>
    <d v="2025-01-17T00:00:00"/>
    <s v="Deposit"/>
    <m/>
    <n v="5865"/>
    <n v="370919.26000000129"/>
    <x v="1"/>
  </r>
  <r>
    <d v="2025-01-04T00:00:00"/>
    <s v="Deposit"/>
    <m/>
    <n v="22390"/>
    <n v="299261.35000000132"/>
    <x v="0"/>
  </r>
  <r>
    <d v="2025-01-29T00:00:00"/>
    <s v="Expense"/>
    <s v="SUNSAMA PRO PLAN SUNSAMA.COM CA 11/28"/>
    <n v="-384"/>
    <n v="476361.7100000013"/>
    <x v="1"/>
  </r>
  <r>
    <d v="2022-11-16T00:00:00"/>
    <s v="Deposit"/>
    <m/>
    <n v="29065"/>
    <n v="542627.62000000174"/>
    <x v="2"/>
  </r>
  <r>
    <d v="2023-02-15T00:00:00"/>
    <s v="Deposit"/>
    <m/>
    <n v="33990"/>
    <n v="1097737.350000002"/>
    <x v="2"/>
  </r>
  <r>
    <d v="2023-01-03T00:00:00"/>
    <s v="Deposit"/>
    <m/>
    <n v="36135"/>
    <n v="833508.00000000175"/>
    <x v="2"/>
  </r>
  <r>
    <d v="2025-02-10T00:00:00"/>
    <s v="Expense"/>
    <s v="TST* WESTVILLE - WEST 212-741-79 71 NY        03/08"/>
    <n v="-49.1"/>
    <n v="668347.38000000129"/>
    <x v="1"/>
  </r>
  <r>
    <d v="2025-02-14T00:00:00"/>
    <s v="Deposit"/>
    <m/>
    <n v="2245"/>
    <n v="677307.18000000122"/>
    <x v="1"/>
  </r>
  <r>
    <d v="2025-02-15T00:00:00"/>
    <s v="Check"/>
    <m/>
    <n v="-6591.67"/>
    <n v="656995.63000000117"/>
    <x v="1"/>
  </r>
  <r>
    <d v="2025-02-07T00:00:00"/>
    <s v="Deposit"/>
    <m/>
    <n v="53025"/>
    <n v="606407.34000000125"/>
    <x v="0"/>
  </r>
  <r>
    <d v="2025-02-21T00:00:00"/>
    <s v="Deposit"/>
    <m/>
    <n v="1035"/>
    <n v="655573.60000000114"/>
    <x v="1"/>
  </r>
  <r>
    <d v="2025-02-26T00:00:00"/>
    <s v="Deposit"/>
    <m/>
    <n v="1870"/>
    <n v="662284.5600000011"/>
    <x v="1"/>
  </r>
  <r>
    <d v="2025-02-28T00:00:00"/>
    <s v="Transfer"/>
    <m/>
    <n v="-1124.1300000000001"/>
    <n v="410443.14000000112"/>
    <x v="1"/>
  </r>
  <r>
    <d v="2025-03-28T00:00:00"/>
    <s v="Expense"/>
    <m/>
    <n v="-572"/>
    <n v="244275.80000000109"/>
    <x v="1"/>
  </r>
  <r>
    <d v="2025-03-31T00:00:00"/>
    <s v="Deposit"/>
    <m/>
    <n v="1650"/>
    <n v="248560.80000000109"/>
    <x v="1"/>
  </r>
  <r>
    <d v="2025-03-31T00:00:00"/>
    <s v="Check"/>
    <s v="emma"/>
    <n v="-256"/>
    <n v="246879.50000000111"/>
    <x v="1"/>
  </r>
  <r>
    <d v="2025-03-31T00:00:00"/>
    <s v="Check"/>
    <m/>
    <n v="-1425.3"/>
    <n v="247135.50000000111"/>
    <x v="1"/>
  </r>
  <r>
    <d v="2025-04-15T00:00:00"/>
    <s v="Expense"/>
    <s v="FEDEX485793557 800-4633339 TN 03/27"/>
    <n v="-196.69"/>
    <n v="178987.88000000111"/>
    <x v="1"/>
  </r>
  <r>
    <d v="2025-04-21T00:00:00"/>
    <s v="Expense"/>
    <s v="FEDEX485184746 800-4633339 TN 03/20"/>
    <n v="-29.37"/>
    <n v="147655.13000000111"/>
    <x v="1"/>
  </r>
  <r>
    <d v="2025-04-28T00:00:00"/>
    <s v="Expense"/>
    <s v="FEDEX237041151 800-4633339 TN 03/27"/>
    <n v="-313.79000000000002"/>
    <n v="150068.8400000011"/>
    <x v="1"/>
  </r>
  <r>
    <d v="2025-05-23T00:00:00"/>
    <s v="Deposit"/>
    <m/>
    <n v="1223.75"/>
    <n v="83708.03000000109"/>
    <x v="1"/>
  </r>
  <r>
    <d v="2025-02-08T00:00:00"/>
    <s v="Deposit"/>
    <m/>
    <n v="54755"/>
    <n v="661162.34000000125"/>
    <x v="0"/>
  </r>
  <r>
    <d v="2025-01-03T00:00:00"/>
    <s v="Deposit"/>
    <m/>
    <n v="79070"/>
    <n v="264242.29000000132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2018-06/01"/>
    <s v="06/01 Online Transfer To Chk ...7365 Transaction#: 7195928954"/>
    <n v="2018"/>
    <n v="-6675"/>
    <x v="0"/>
    <x v="0"/>
  </r>
  <r>
    <x v="0"/>
    <s v="2018-07/30"/>
    <s v="07/29 Online Transfer To Chk ...7365 Transaction#: 7353955330"/>
    <n v="2018"/>
    <n v="-6675"/>
    <x v="0"/>
    <x v="1"/>
  </r>
  <r>
    <x v="0"/>
    <s v="2018-09/14"/>
    <s v="09/14 Online Transfer To Chk ...7365 Transaction#: 7490488264"/>
    <n v="2018"/>
    <n v="-6675"/>
    <x v="1"/>
    <x v="2"/>
  </r>
  <r>
    <x v="0"/>
    <s v="2018-11/09"/>
    <s v="11/09 Online Transfer To Chk ...7365 Transaction#: 7650405896"/>
    <n v="2018"/>
    <n v="-6675"/>
    <x v="0"/>
    <x v="1"/>
  </r>
  <r>
    <x v="0"/>
    <s v="2018-12/28"/>
    <s v="12/28 Online Transfer To Chk ...7365 Transaction#: 7794479362"/>
    <n v="2018"/>
    <n v="-6675"/>
    <x v="0"/>
    <x v="1"/>
  </r>
  <r>
    <x v="0"/>
    <s v="2019-04/30"/>
    <s v="04/30 Online Transfer To Chk ...7365 Transaction#: 8180729078"/>
    <n v="2019"/>
    <n v="-6675"/>
    <x v="2"/>
    <x v="1"/>
  </r>
  <r>
    <x v="0"/>
    <s v="2019-08/30"/>
    <s v="08/30 Online Transfer To Chk ...7365 Transaction#: 8588846059"/>
    <n v="2019"/>
    <n v="-6675"/>
    <x v="1"/>
    <x v="2"/>
  </r>
  <r>
    <x v="0"/>
    <s v="2019-08/30"/>
    <s v="08/30 Online Transfer To Chk ...7365 Transaction#: 8588846391"/>
    <n v="2019"/>
    <n v="-6675"/>
    <x v="1"/>
    <x v="2"/>
  </r>
  <r>
    <x v="0"/>
    <s v="2019-08/30"/>
    <s v="08/30 Online Transfer To Chk ...7365 Transaction#: 8588846731"/>
    <n v="2019"/>
    <n v="-6675"/>
    <x v="1"/>
    <x v="2"/>
  </r>
  <r>
    <x v="0"/>
    <s v="2019-11/12"/>
    <s v="11/11 Online Transfer To Chk ...7365 Transaction#: 8848799201"/>
    <n v="2019"/>
    <n v="-6675"/>
    <x v="3"/>
    <x v="1"/>
  </r>
  <r>
    <x v="0"/>
    <s v="2019-11/13"/>
    <s v="11/13 Online Transfer To Chk ...7365 Transaction#: 8854427330"/>
    <n v="2019"/>
    <n v="-6675"/>
    <x v="1"/>
    <x v="2"/>
  </r>
  <r>
    <x v="0"/>
    <s v="2020-02/18"/>
    <s v="02/17 Online Transfer To Chk ...7365 Transaction#: 9200064996"/>
    <n v="2020"/>
    <n v="-6675"/>
    <x v="1"/>
    <x v="2"/>
  </r>
  <r>
    <x v="0"/>
    <s v="2020-03/05"/>
    <s v="03/05 Online Transfer To Chk ...7365 Transaction#: 9266205128"/>
    <n v="2020"/>
    <n v="-6675"/>
    <x v="1"/>
    <x v="2"/>
  </r>
  <r>
    <x v="1"/>
    <s v="06/01/2018"/>
    <s v="ransaction#: 7086377962"/>
    <s v="2018"/>
    <n v="-6675"/>
    <x v="4"/>
    <x v="0"/>
  </r>
  <r>
    <x v="1"/>
    <s v="07/30/2018"/>
    <s v="ransaction#: 7353955330"/>
    <s v="2018"/>
    <n v="-6675"/>
    <x v="4"/>
    <x v="1"/>
  </r>
  <r>
    <x v="1"/>
    <s v="11/09/2018"/>
    <s v="ransaction#: 7650405896"/>
    <s v="2018"/>
    <n v="-6675"/>
    <x v="4"/>
    <x v="1"/>
  </r>
  <r>
    <x v="1"/>
    <s v="12/28/2018"/>
    <s v="ransaction#: 7794479362"/>
    <s v="2018"/>
    <n v="-6675"/>
    <x v="4"/>
    <x v="1"/>
  </r>
  <r>
    <x v="1"/>
    <s v="03/01/2020"/>
    <s v=""/>
    <s v="2020"/>
    <n v="-6675"/>
    <x v="1"/>
    <x v="2"/>
  </r>
  <r>
    <x v="1"/>
    <s v="04/01/2020"/>
    <s v="ransaction#: 8180729078"/>
    <s v="2020"/>
    <n v="-6675"/>
    <x v="4"/>
    <x v="1"/>
  </r>
  <r>
    <x v="1"/>
    <s v="04/01/2020"/>
    <s v="ransaction#: 8848799201"/>
    <s v="2020"/>
    <n v="-6675"/>
    <x v="4"/>
    <x v="1"/>
  </r>
  <r>
    <x v="1"/>
    <s v="03/07/2021"/>
    <s v="BSL"/>
    <s v="2021"/>
    <n v="-6675"/>
    <x v="1"/>
    <x v="2"/>
  </r>
  <r>
    <x v="1"/>
    <s v="06/01/2021"/>
    <s v=""/>
    <s v="2021"/>
    <n v="-6675"/>
    <x v="1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d v="2019-01-23T00:00:00"/>
    <s v="01/23 Online Transfer To Chk ...7365 Transaction#: 7872164571"/>
    <x v="0"/>
    <n v="-7350"/>
    <x v="0"/>
    <x v="0"/>
  </r>
  <r>
    <x v="0"/>
    <d v="2019-01-29T00:00:00"/>
    <s v="01/29 Online Transfer To Chk ...7365 Transaction#: 7887914593"/>
    <x v="0"/>
    <n v="-7350"/>
    <x v="1"/>
    <x v="1"/>
  </r>
  <r>
    <x v="0"/>
    <d v="2019-03-04T00:00:00"/>
    <s v="03/02 Online Transfer To Chk ...7365 Transaction#: 7993253891"/>
    <x v="0"/>
    <n v="-7350"/>
    <x v="2"/>
    <x v="1"/>
  </r>
  <r>
    <x v="0"/>
    <d v="2019-03-20T00:00:00"/>
    <s v="03/20 Online Transfer To Chk ...7365 Transaction#: 8049040246"/>
    <x v="0"/>
    <n v="-7350"/>
    <x v="3"/>
    <x v="1"/>
  </r>
  <r>
    <x v="0"/>
    <d v="2019-03-27T00:00:00"/>
    <s v="03/27 Online Transfer To Chk ...7365 Transaction#: 8071277841"/>
    <x v="0"/>
    <n v="-7350"/>
    <x v="4"/>
    <x v="1"/>
  </r>
  <r>
    <x v="0"/>
    <d v="2019-04-01T00:00:00"/>
    <s v="04/01 Online Transfer To Chk ...7365 Transaction#: 8090496262"/>
    <x v="0"/>
    <n v="-7350"/>
    <x v="5"/>
    <x v="1"/>
  </r>
  <r>
    <x v="0"/>
    <d v="2019-04-15T00:00:00"/>
    <s v="04/13 Online Transfer To Chk ...7365 Transaction#: 8128556593"/>
    <x v="0"/>
    <n v="-7350"/>
    <x v="6"/>
    <x v="1"/>
  </r>
  <r>
    <x v="0"/>
    <d v="2019-04-15T00:00:00"/>
    <s v="04/15 Online Transfer To Chk ...7365 Transaction#: 8133828903"/>
    <x v="0"/>
    <n v="-7350"/>
    <x v="7"/>
    <x v="2"/>
  </r>
  <r>
    <x v="0"/>
    <d v="2019-12-24T00:00:00"/>
    <s v="12/24 Online Transfer To Chk ...7365 Transaction#: 9001840996"/>
    <x v="0"/>
    <n v="-7350"/>
    <x v="6"/>
    <x v="1"/>
  </r>
  <r>
    <x v="0"/>
    <d v="2022-04-01T00:00:00"/>
    <s v="04/01 Online Transfer To Chk ...7365 Transaction#: 14008867191"/>
    <x v="1"/>
    <n v="-7350"/>
    <x v="8"/>
    <x v="1"/>
  </r>
  <r>
    <x v="0"/>
    <s v="11/09/2022"/>
    <s v="11/09 Online Transfer To Chk ...7365 Transaction#: 15755466121"/>
    <x v="1"/>
    <n v="-7350"/>
    <x v="9"/>
    <x v="1"/>
  </r>
  <r>
    <x v="0"/>
    <s v="03/06/2023"/>
    <s v="03/06 Online Transfer To Chk ...7365 Transaction#: 16753932052"/>
    <x v="2"/>
    <n v="-7350"/>
    <x v="7"/>
    <x v="2"/>
  </r>
  <r>
    <x v="1"/>
    <s v="01/23/2019"/>
    <s v="ransaction#: 7872164571"/>
    <x v="3"/>
    <n v="-7350"/>
    <x v="0"/>
    <x v="0"/>
  </r>
  <r>
    <x v="1"/>
    <s v="02/01/2019"/>
    <s v="ransaction#: 7872164571"/>
    <x v="3"/>
    <n v="-7350"/>
    <x v="1"/>
    <x v="1"/>
  </r>
  <r>
    <x v="1"/>
    <s v="03/11/2019"/>
    <s v="ransaction#: 7872164571"/>
    <x v="3"/>
    <n v="-7350"/>
    <x v="2"/>
    <x v="1"/>
  </r>
  <r>
    <x v="1"/>
    <s v="04/15/2019"/>
    <s v="ransaction#: 7872164571"/>
    <x v="3"/>
    <n v="-7350"/>
    <x v="3"/>
    <x v="1"/>
  </r>
  <r>
    <x v="1"/>
    <s v="05/01/2019"/>
    <s v="ransaction#: 7872164571"/>
    <x v="3"/>
    <n v="-7350"/>
    <x v="4"/>
    <x v="1"/>
  </r>
  <r>
    <x v="1"/>
    <s v="11/01/2019"/>
    <s v="ransaction#: 7872164571"/>
    <x v="3"/>
    <n v="-7350"/>
    <x v="5"/>
    <x v="1"/>
  </r>
  <r>
    <x v="1"/>
    <s v="12/01/2019"/>
    <s v="ransaction#: 7872164571"/>
    <x v="3"/>
    <n v="-7350"/>
    <x v="6"/>
    <x v="1"/>
  </r>
  <r>
    <x v="1"/>
    <s v="01/01/2020"/>
    <s v="ransaction#: 7872164571"/>
    <x v="4"/>
    <n v="-7350"/>
    <x v="7"/>
    <x v="2"/>
  </r>
  <r>
    <x v="1"/>
    <s v="02/01/2020"/>
    <s v="ransaction#: 8128556593"/>
    <x v="4"/>
    <n v="-7350"/>
    <x v="7"/>
    <x v="2"/>
  </r>
  <r>
    <x v="1"/>
    <s v="02/01/2021"/>
    <s v=""/>
    <x v="5"/>
    <n v="-7350"/>
    <x v="7"/>
    <x v="2"/>
  </r>
  <r>
    <x v="1"/>
    <s v="05/01/2021"/>
    <s v="ransaction#: 11587814647"/>
    <x v="5"/>
    <n v="-7350"/>
    <x v="7"/>
    <x v="2"/>
  </r>
  <r>
    <x v="1"/>
    <s v="07/01/2021"/>
    <s v=""/>
    <x v="5"/>
    <n v="-7350"/>
    <x v="7"/>
    <x v="2"/>
  </r>
  <r>
    <x v="1"/>
    <s v="08/01/2021"/>
    <s v=""/>
    <x v="5"/>
    <n v="-7350"/>
    <x v="7"/>
    <x v="2"/>
  </r>
  <r>
    <x v="1"/>
    <s v="09/01/2021"/>
    <s v=""/>
    <x v="5"/>
    <n v="-7350"/>
    <x v="7"/>
    <x v="2"/>
  </r>
  <r>
    <x v="1"/>
    <s v="10/01/2021"/>
    <s v=""/>
    <x v="5"/>
    <n v="-7350"/>
    <x v="7"/>
    <x v="2"/>
  </r>
  <r>
    <x v="1"/>
    <s v="11/01/2021"/>
    <s v=""/>
    <x v="5"/>
    <n v="-7350"/>
    <x v="7"/>
    <x v="2"/>
  </r>
  <r>
    <x v="1"/>
    <s v="03/30/2022"/>
    <s v="ransaction#: 14008876144"/>
    <x v="6"/>
    <n v="-7350"/>
    <x v="8"/>
    <x v="1"/>
  </r>
  <r>
    <x v="1"/>
    <s v="08/15/2022"/>
    <s v="ransaction#: 14008876144"/>
    <x v="6"/>
    <n v="-7350"/>
    <x v="7"/>
    <x v="2"/>
  </r>
  <r>
    <x v="1"/>
    <s v="09/15/2022"/>
    <s v="ransaction#: 14008876144"/>
    <x v="6"/>
    <n v="-7350"/>
    <x v="7"/>
    <x v="2"/>
  </r>
  <r>
    <x v="1"/>
    <s v="11/05/2022"/>
    <s v=""/>
    <x v="6"/>
    <n v="-7350"/>
    <x v="9"/>
    <x v="1"/>
  </r>
  <r>
    <x v="1"/>
    <s v="12/01/2022"/>
    <s v=""/>
    <x v="6"/>
    <n v="-7350"/>
    <x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503CD-012D-4590-A090-78BE68271018}" name="PivotTable1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G14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formats count="35">
    <format dxfId="73">
      <pivotArea grandRow="1" outline="0" collapsedLevelsAreSubtotals="1" fieldPosition="0"/>
    </format>
    <format dxfId="72">
      <pivotArea dataOnly="0" labelOnly="1" grandRow="1" outline="0" fieldPosition="0"/>
    </format>
    <format dxfId="71">
      <pivotArea field="1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2">
      <pivotArea type="all" dataOnly="0" outline="0" fieldPosition="0"/>
    </format>
    <format dxfId="61">
      <pivotArea field="1" type="button" dataOnly="0" labelOnly="1" outline="0" axis="axisRow" fieldPosition="0"/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field="1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field="1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">
      <pivotArea grandRow="1" outline="0" collapsedLevelsAreSubtotals="1" fieldPosition="0"/>
    </format>
    <format dxfId="53">
      <pivotArea dataOnly="0" labelOnly="1" grandRow="1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2FD64-0A98-4F44-8315-AD5EA48B3E16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3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numFmtId="2" showAll="0"/>
    <pivotField axis="axisRow" showAll="0">
      <items count="6">
        <item x="4"/>
        <item x="0"/>
        <item x="2"/>
        <item x="3"/>
        <item x="1"/>
        <item t="default"/>
      </items>
    </pivotField>
    <pivotField axis="axisRow" showAll="0">
      <items count="4">
        <item sd="0" x="2"/>
        <item x="0"/>
        <item x="1"/>
        <item t="default"/>
      </items>
    </pivotField>
  </pivotFields>
  <rowFields count="2">
    <field x="6"/>
    <field x="5"/>
  </rowFields>
  <rowItems count="10">
    <i>
      <x/>
    </i>
    <i>
      <x v="1"/>
    </i>
    <i r="1">
      <x/>
    </i>
    <i r="1">
      <x v="1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mount" fld="4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253F0-D277-47E4-B46C-0339E718759D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formats count="35">
    <format dxfId="108">
      <pivotArea field="2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">
      <pivotArea grandRow="1" outline="0" collapsedLevelsAreSubtotals="1" fieldPosition="0"/>
    </format>
    <format dxfId="105">
      <pivotArea dataOnly="0" labelOnly="1" grandRow="1" outline="0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" type="button" dataOnly="0" labelOnly="1" outline="0" axis="axisRow" fieldPosition="0"/>
    </format>
    <format dxfId="101">
      <pivotArea dataOnly="0" labelOnly="1" fieldPosition="0">
        <references count="1">
          <reference field="2" count="0"/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7">
      <pivotArea type="all" dataOnly="0" outline="0" fieldPosition="0"/>
    </format>
    <format dxfId="96">
      <pivotArea field="2" type="button" dataOnly="0" labelOnly="1" outline="0" axis="axisRow" fieldPosition="0"/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field="2" type="button" dataOnly="0" labelOnly="1" outline="0" axis="axisRow" fieldPosition="0"/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">
      <pivotArea field="2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2" type="button" dataOnly="0" labelOnly="1" outline="0" axis="axisRow" fieldPosition="0"/>
    </format>
    <format dxfId="82">
      <pivotArea dataOnly="0" labelOnly="1" fieldPosition="0">
        <references count="1">
          <reference field="2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 axis="axisRow" fieldPosition="0"/>
    </format>
    <format dxfId="76">
      <pivotArea dataOnly="0" labelOnly="1" fieldPosition="0">
        <references count="1">
          <reference field="2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F4CC4-1FFA-4115-9868-654FDA4D921A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7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2" showAll="0"/>
    <pivotField axis="axisRow" showAll="0">
      <items count="11">
        <item x="6"/>
        <item x="5"/>
        <item x="8"/>
        <item x="0"/>
        <item x="3"/>
        <item x="1"/>
        <item x="4"/>
        <item x="9"/>
        <item x="2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2">
    <field x="6"/>
    <field x="5"/>
  </rowFields>
  <rowItems count="14">
    <i>
      <x/>
    </i>
    <i r="1">
      <x v="9"/>
    </i>
    <i>
      <x v="1"/>
    </i>
    <i r="1">
      <x v="3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mount" fld="4" subtotal="count" baseField="6" baseItem="0"/>
  </dataFields>
  <formats count="13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0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6" type="button" dataOnly="0" labelOnly="1" outline="0" axis="axisRow" fieldPosition="0"/>
    </format>
    <format dxfId="9">
      <pivotArea dataOnly="0" labelOnly="1" fieldPosition="0">
        <references count="1">
          <reference field="6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5" count="1">
            <x v="9"/>
          </reference>
          <reference field="6" count="1" selected="0">
            <x v="0"/>
          </reference>
        </references>
      </pivotArea>
    </format>
    <format dxfId="6">
      <pivotArea dataOnly="0" labelOnly="1" fieldPosition="0">
        <references count="2">
          <reference field="5" count="1">
            <x v="3"/>
          </reference>
          <reference field="6" count="1" selected="0">
            <x v="1"/>
          </reference>
        </references>
      </pivotArea>
    </format>
    <format dxfId="5">
      <pivotArea dataOnly="0" labelOnly="1" fieldPosition="0">
        <references count="2">
          <reference field="5" count="8">
            <x v="0"/>
            <x v="1"/>
            <x v="2"/>
            <x v="4"/>
            <x v="5"/>
            <x v="6"/>
            <x v="7"/>
            <x v="8"/>
          </reference>
          <reference field="6" count="1" selected="0">
            <x v="2"/>
          </reference>
        </references>
      </pivotArea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1B113-8050-412B-920C-67AE6242343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G15" firstHeaderRow="0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formats count="12">
    <format dxfId="27">
      <pivotArea field="1" type="button" dataOnly="0" labelOnly="1" outline="0" axis="axisRow" fieldPosition="0"/>
    </format>
    <format dxfId="26">
      <pivotArea dataOnly="0" labelOnly="1" grandRow="1" outline="0" fieldPosition="0"/>
    </format>
    <format dxfId="2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A7DB-1DBF-46BA-A1C4-3B87712AA0F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formats count="11"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5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4">
      <pivotArea dataOnly="0" labelOnly="1" grandRow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A67E9-8900-4241-981B-C06D1E4FF18D}" name="PivotTable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7" firstHeaderRow="0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300DD-8F63-46A2-B3E0-572885EEBABE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79AF-3B9F-4ABA-A994-67C661C08E27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8C875-49AB-4998-86E6-5A86708ACC5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6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/>
    <dataField name="Count of Balance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FFC5A-A3CC-4497-9FD2-C422BC1A739A}" name="PivotTable1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10">
        <item x="2"/>
        <item x="4"/>
        <item x="8"/>
        <item x="5"/>
        <item x="7"/>
        <item x="6"/>
        <item x="3"/>
        <item x="0"/>
        <item n="  " x="1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 numFmtId="43"/>
    <dataField name="Count of Balance" fld="4" subtotal="count" baseField="5" baseItem="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C10" sqref="C10:C11"/>
    </sheetView>
  </sheetViews>
  <sheetFormatPr defaultRowHeight="14.4" x14ac:dyDescent="0.3"/>
  <cols>
    <col min="1" max="1" width="34.6640625" customWidth="1"/>
    <col min="2" max="2" width="39.88671875" customWidth="1"/>
    <col min="3" max="3" width="13.21875" bestFit="1" customWidth="1"/>
    <col min="4" max="4" width="9.109375" bestFit="1" customWidth="1"/>
    <col min="5" max="5" width="11.109375" bestFit="1" customWidth="1"/>
  </cols>
  <sheetData>
    <row r="1" spans="1:6" x14ac:dyDescent="0.3">
      <c r="B1" s="1" t="s">
        <v>0</v>
      </c>
    </row>
    <row r="2" spans="1:6" x14ac:dyDescent="0.3">
      <c r="A2" s="1" t="s">
        <v>1</v>
      </c>
      <c r="B2" t="s">
        <v>2</v>
      </c>
    </row>
    <row r="3" spans="1:6" x14ac:dyDescent="0.3">
      <c r="A3" s="1" t="s">
        <v>3</v>
      </c>
      <c r="B3" s="2">
        <v>45838</v>
      </c>
    </row>
    <row r="4" spans="1:6" x14ac:dyDescent="0.3">
      <c r="A4" s="1" t="s">
        <v>4</v>
      </c>
      <c r="B4">
        <v>235415.24</v>
      </c>
    </row>
    <row r="5" spans="1:6" x14ac:dyDescent="0.3">
      <c r="A5" s="1" t="s">
        <v>5</v>
      </c>
      <c r="B5" s="2">
        <v>45838</v>
      </c>
    </row>
    <row r="6" spans="1:6" x14ac:dyDescent="0.3">
      <c r="A6" s="1" t="s">
        <v>6</v>
      </c>
      <c r="B6">
        <v>79364.28000000109</v>
      </c>
    </row>
    <row r="7" spans="1:6" x14ac:dyDescent="0.3">
      <c r="A7" s="1" t="s">
        <v>7</v>
      </c>
      <c r="B7">
        <v>4662</v>
      </c>
    </row>
    <row r="8" spans="1:6" x14ac:dyDescent="0.3">
      <c r="A8" s="1" t="s">
        <v>8</v>
      </c>
      <c r="B8">
        <v>4617</v>
      </c>
    </row>
    <row r="9" spans="1:6" x14ac:dyDescent="0.3">
      <c r="A9" s="1" t="s">
        <v>9</v>
      </c>
      <c r="B9">
        <v>4162</v>
      </c>
      <c r="C9">
        <v>4155</v>
      </c>
    </row>
    <row r="10" spans="1:6" x14ac:dyDescent="0.3">
      <c r="A10" s="1" t="s">
        <v>10</v>
      </c>
      <c r="B10">
        <v>500</v>
      </c>
      <c r="C10">
        <v>286</v>
      </c>
      <c r="E10">
        <f>B10-C10</f>
        <v>214</v>
      </c>
      <c r="F10" s="108">
        <f>E10/B10</f>
        <v>0.42799999999999999</v>
      </c>
    </row>
    <row r="11" spans="1:6" x14ac:dyDescent="0.3">
      <c r="A11" s="1" t="s">
        <v>11</v>
      </c>
      <c r="B11">
        <v>455</v>
      </c>
      <c r="C11">
        <v>256</v>
      </c>
      <c r="E11">
        <f>B11-C11</f>
        <v>199</v>
      </c>
      <c r="F11" s="108">
        <f>E11/B11</f>
        <v>0.43736263736263736</v>
      </c>
    </row>
    <row r="12" spans="1:6" x14ac:dyDescent="0.3">
      <c r="A12" s="1" t="s">
        <v>12</v>
      </c>
      <c r="B12" s="3">
        <v>-567800.25</v>
      </c>
      <c r="C12" s="3">
        <v>-991512.54</v>
      </c>
      <c r="E12" s="4">
        <f>B12-C12</f>
        <v>423712.29000000004</v>
      </c>
    </row>
    <row r="13" spans="1:6" x14ac:dyDescent="0.3">
      <c r="A13" s="1" t="s">
        <v>13</v>
      </c>
      <c r="B13" s="3">
        <v>-717548.07</v>
      </c>
      <c r="C13" s="4">
        <v>-1224499.33</v>
      </c>
      <c r="D13" s="4"/>
      <c r="E13" s="4">
        <f>B13-C13</f>
        <v>506951.26000000013</v>
      </c>
    </row>
    <row r="14" spans="1:6" x14ac:dyDescent="0.3">
      <c r="A14" s="1" t="s">
        <v>14</v>
      </c>
      <c r="B14">
        <v>203.75</v>
      </c>
      <c r="C14">
        <v>203.75</v>
      </c>
    </row>
    <row r="15" spans="1:6" x14ac:dyDescent="0.3">
      <c r="A15" s="1" t="s">
        <v>15</v>
      </c>
      <c r="B15">
        <v>29000</v>
      </c>
      <c r="C15">
        <v>29000</v>
      </c>
    </row>
    <row r="16" spans="1:6" x14ac:dyDescent="0.3">
      <c r="A16" s="1" t="s">
        <v>16</v>
      </c>
      <c r="B16">
        <v>156050.95999999889</v>
      </c>
    </row>
    <row r="18" spans="2:2" x14ac:dyDescent="0.3">
      <c r="B1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63"/>
  <sheetViews>
    <sheetView workbookViewId="0">
      <selection activeCell="D10" sqref="D10"/>
    </sheetView>
  </sheetViews>
  <sheetFormatPr defaultRowHeight="14.4" x14ac:dyDescent="0.3"/>
  <cols>
    <col min="1" max="1" width="28.44140625" customWidth="1"/>
    <col min="2" max="2" width="27.109375" customWidth="1"/>
    <col min="4" max="4" width="23.6640625" customWidth="1"/>
  </cols>
  <sheetData>
    <row r="1" spans="1: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2">
        <v>43252</v>
      </c>
      <c r="B2" t="s">
        <v>24</v>
      </c>
      <c r="C2">
        <v>371.25</v>
      </c>
      <c r="D2" s="2">
        <v>43252</v>
      </c>
      <c r="E2" t="s">
        <v>25</v>
      </c>
      <c r="F2">
        <v>371.25</v>
      </c>
      <c r="G2">
        <v>0</v>
      </c>
    </row>
    <row r="3" spans="1:7" x14ac:dyDescent="0.3">
      <c r="A3" s="2">
        <v>43252</v>
      </c>
      <c r="B3" t="s">
        <v>26</v>
      </c>
      <c r="C3">
        <v>-6675</v>
      </c>
      <c r="D3" s="2">
        <v>43252</v>
      </c>
      <c r="E3" t="s">
        <v>27</v>
      </c>
      <c r="F3">
        <v>-6675</v>
      </c>
      <c r="G3">
        <v>0</v>
      </c>
    </row>
    <row r="4" spans="1:7" x14ac:dyDescent="0.3">
      <c r="A4" s="2">
        <v>43255</v>
      </c>
      <c r="B4" t="s">
        <v>24</v>
      </c>
      <c r="C4">
        <v>163.75</v>
      </c>
      <c r="D4" s="2">
        <v>43253</v>
      </c>
      <c r="E4" t="s">
        <v>25</v>
      </c>
      <c r="F4">
        <v>163.75</v>
      </c>
      <c r="G4">
        <v>0</v>
      </c>
    </row>
    <row r="5" spans="1:7" x14ac:dyDescent="0.3">
      <c r="A5" s="2">
        <v>43255</v>
      </c>
      <c r="B5" t="s">
        <v>24</v>
      </c>
      <c r="C5">
        <v>123.75</v>
      </c>
      <c r="D5" s="2">
        <v>43252</v>
      </c>
      <c r="E5" t="s">
        <v>25</v>
      </c>
      <c r="F5">
        <v>123.75</v>
      </c>
      <c r="G5">
        <v>0</v>
      </c>
    </row>
    <row r="6" spans="1:7" x14ac:dyDescent="0.3">
      <c r="A6" s="2">
        <v>43256</v>
      </c>
      <c r="B6" t="s">
        <v>28</v>
      </c>
      <c r="C6">
        <v>-39.950000000000003</v>
      </c>
      <c r="D6" s="2">
        <v>43256</v>
      </c>
      <c r="E6" t="s">
        <v>27</v>
      </c>
      <c r="F6">
        <v>-39.950000000000003</v>
      </c>
      <c r="G6">
        <v>0</v>
      </c>
    </row>
    <row r="7" spans="1:7" x14ac:dyDescent="0.3">
      <c r="A7" s="2">
        <v>43256</v>
      </c>
      <c r="B7" t="s">
        <v>24</v>
      </c>
      <c r="C7">
        <v>20</v>
      </c>
      <c r="D7" s="2">
        <v>43255</v>
      </c>
      <c r="E7" t="s">
        <v>25</v>
      </c>
      <c r="F7">
        <v>20</v>
      </c>
      <c r="G7">
        <v>0</v>
      </c>
    </row>
    <row r="8" spans="1:7" x14ac:dyDescent="0.3">
      <c r="A8" s="2">
        <v>43256</v>
      </c>
      <c r="B8" t="s">
        <v>29</v>
      </c>
      <c r="C8">
        <v>-34.950000000000003</v>
      </c>
      <c r="D8" s="2">
        <v>43256</v>
      </c>
      <c r="E8" t="s">
        <v>27</v>
      </c>
      <c r="F8">
        <v>-34.950000000000003</v>
      </c>
      <c r="G8">
        <v>0</v>
      </c>
    </row>
    <row r="9" spans="1:7" x14ac:dyDescent="0.3">
      <c r="A9" s="2">
        <v>43257</v>
      </c>
      <c r="B9" t="s">
        <v>24</v>
      </c>
      <c r="C9">
        <v>220</v>
      </c>
      <c r="D9" s="2">
        <v>43256</v>
      </c>
      <c r="E9" t="s">
        <v>25</v>
      </c>
      <c r="F9">
        <v>220</v>
      </c>
      <c r="G9">
        <v>0</v>
      </c>
    </row>
    <row r="10" spans="1:7" x14ac:dyDescent="0.3">
      <c r="A10" s="2">
        <v>43257</v>
      </c>
      <c r="B10" t="s">
        <v>30</v>
      </c>
      <c r="C10">
        <v>-92.03</v>
      </c>
      <c r="D10" s="2">
        <v>43257</v>
      </c>
      <c r="E10" t="s">
        <v>27</v>
      </c>
      <c r="F10">
        <v>-92.03</v>
      </c>
      <c r="G10">
        <v>0</v>
      </c>
    </row>
    <row r="11" spans="1:7" x14ac:dyDescent="0.3">
      <c r="A11" s="2">
        <v>43258</v>
      </c>
      <c r="B11" t="s">
        <v>31</v>
      </c>
      <c r="C11">
        <v>6500</v>
      </c>
      <c r="D11" s="2">
        <v>43258</v>
      </c>
      <c r="E11" t="s">
        <v>25</v>
      </c>
      <c r="F11">
        <v>6500</v>
      </c>
      <c r="G11">
        <v>0</v>
      </c>
    </row>
    <row r="12" spans="1:7" x14ac:dyDescent="0.3">
      <c r="A12" s="2">
        <v>43258</v>
      </c>
      <c r="B12" t="s">
        <v>31</v>
      </c>
      <c r="C12">
        <v>900</v>
      </c>
      <c r="D12" s="2">
        <v>43258</v>
      </c>
      <c r="E12" t="s">
        <v>25</v>
      </c>
      <c r="F12">
        <v>900</v>
      </c>
      <c r="G12">
        <v>0</v>
      </c>
    </row>
    <row r="13" spans="1:7" x14ac:dyDescent="0.3">
      <c r="A13" s="2">
        <v>43258</v>
      </c>
      <c r="B13" t="s">
        <v>32</v>
      </c>
      <c r="C13">
        <v>-37.619999999999997</v>
      </c>
      <c r="D13" s="2">
        <v>43258</v>
      </c>
      <c r="E13" t="s">
        <v>27</v>
      </c>
      <c r="F13">
        <v>-37.619999999999997</v>
      </c>
      <c r="G13">
        <v>0</v>
      </c>
    </row>
    <row r="14" spans="1:7" x14ac:dyDescent="0.3">
      <c r="A14" s="2">
        <v>43258</v>
      </c>
      <c r="B14" t="s">
        <v>24</v>
      </c>
      <c r="C14">
        <v>505</v>
      </c>
      <c r="D14" s="2">
        <v>43256</v>
      </c>
      <c r="E14" t="s">
        <v>25</v>
      </c>
      <c r="F14">
        <v>505</v>
      </c>
      <c r="G14">
        <v>0</v>
      </c>
    </row>
    <row r="15" spans="1:7" x14ac:dyDescent="0.3">
      <c r="A15" s="2">
        <v>43259</v>
      </c>
      <c r="B15" t="s">
        <v>33</v>
      </c>
      <c r="C15">
        <v>-35.85</v>
      </c>
      <c r="D15" s="2">
        <v>43259</v>
      </c>
      <c r="E15" t="s">
        <v>27</v>
      </c>
      <c r="F15">
        <v>-35.85</v>
      </c>
      <c r="G15">
        <v>0</v>
      </c>
    </row>
    <row r="16" spans="1:7" x14ac:dyDescent="0.3">
      <c r="A16" s="2">
        <v>43259</v>
      </c>
      <c r="B16" t="s">
        <v>24</v>
      </c>
      <c r="C16">
        <v>163.75</v>
      </c>
      <c r="D16" s="2">
        <v>43257</v>
      </c>
      <c r="E16" t="s">
        <v>25</v>
      </c>
      <c r="F16">
        <v>163.75</v>
      </c>
      <c r="G16">
        <v>0</v>
      </c>
    </row>
    <row r="17" spans="1:7" x14ac:dyDescent="0.3">
      <c r="A17" s="2">
        <v>43262</v>
      </c>
      <c r="B17" t="s">
        <v>24</v>
      </c>
      <c r="C17">
        <v>225</v>
      </c>
      <c r="D17" s="2">
        <v>43259</v>
      </c>
      <c r="E17" t="s">
        <v>25</v>
      </c>
      <c r="F17">
        <v>225</v>
      </c>
      <c r="G17">
        <v>0</v>
      </c>
    </row>
    <row r="18" spans="1:7" x14ac:dyDescent="0.3">
      <c r="A18" s="2">
        <v>43262</v>
      </c>
      <c r="B18" t="s">
        <v>24</v>
      </c>
      <c r="C18">
        <v>20</v>
      </c>
      <c r="D18" s="2">
        <v>43260</v>
      </c>
      <c r="E18" t="s">
        <v>25</v>
      </c>
      <c r="F18">
        <v>20</v>
      </c>
      <c r="G18">
        <v>0</v>
      </c>
    </row>
    <row r="19" spans="1:7" x14ac:dyDescent="0.3">
      <c r="A19" s="2">
        <v>43262</v>
      </c>
      <c r="B19" t="s">
        <v>34</v>
      </c>
      <c r="C19">
        <v>-37.92</v>
      </c>
      <c r="D19" s="2">
        <v>43262</v>
      </c>
      <c r="E19" t="s">
        <v>27</v>
      </c>
      <c r="F19">
        <v>-37.92</v>
      </c>
      <c r="G19">
        <v>0</v>
      </c>
    </row>
    <row r="20" spans="1:7" x14ac:dyDescent="0.3">
      <c r="A20" s="2">
        <v>43262</v>
      </c>
      <c r="B20" t="s">
        <v>24</v>
      </c>
      <c r="C20">
        <v>20</v>
      </c>
      <c r="D20" s="2">
        <v>43261</v>
      </c>
      <c r="E20" t="s">
        <v>25</v>
      </c>
      <c r="F20">
        <v>20</v>
      </c>
      <c r="G20">
        <v>0</v>
      </c>
    </row>
    <row r="21" spans="1:7" x14ac:dyDescent="0.3">
      <c r="A21" s="2">
        <v>43262</v>
      </c>
      <c r="B21" t="s">
        <v>35</v>
      </c>
      <c r="C21">
        <v>-27.45</v>
      </c>
      <c r="D21" s="2">
        <v>43262</v>
      </c>
      <c r="E21" t="s">
        <v>27</v>
      </c>
      <c r="F21">
        <v>-27.45</v>
      </c>
      <c r="G21">
        <v>0</v>
      </c>
    </row>
    <row r="22" spans="1:7" x14ac:dyDescent="0.3">
      <c r="A22" s="2">
        <v>43262</v>
      </c>
      <c r="B22" t="s">
        <v>36</v>
      </c>
      <c r="C22">
        <v>-152.5</v>
      </c>
      <c r="D22" s="2">
        <v>43262</v>
      </c>
      <c r="E22" t="s">
        <v>27</v>
      </c>
      <c r="F22">
        <v>-152.5</v>
      </c>
      <c r="G22">
        <v>0</v>
      </c>
    </row>
    <row r="23" spans="1:7" x14ac:dyDescent="0.3">
      <c r="A23" s="2">
        <v>43264</v>
      </c>
      <c r="B23" t="s">
        <v>37</v>
      </c>
      <c r="C23">
        <v>-53.6</v>
      </c>
      <c r="D23" s="2">
        <v>43264</v>
      </c>
      <c r="E23" t="s">
        <v>27</v>
      </c>
      <c r="F23">
        <v>-53.6</v>
      </c>
      <c r="G23">
        <v>0</v>
      </c>
    </row>
    <row r="24" spans="1:7" x14ac:dyDescent="0.3">
      <c r="A24" s="2">
        <v>43264</v>
      </c>
      <c r="B24" t="s">
        <v>24</v>
      </c>
      <c r="C24">
        <v>25</v>
      </c>
      <c r="D24" s="2">
        <v>43262</v>
      </c>
      <c r="E24" t="s">
        <v>25</v>
      </c>
      <c r="F24">
        <v>25</v>
      </c>
      <c r="G24">
        <v>0</v>
      </c>
    </row>
    <row r="25" spans="1:7" x14ac:dyDescent="0.3">
      <c r="A25" s="2">
        <v>43265</v>
      </c>
      <c r="B25" t="s">
        <v>24</v>
      </c>
      <c r="C25">
        <v>143.75</v>
      </c>
      <c r="D25" s="2">
        <v>43263</v>
      </c>
      <c r="E25" t="s">
        <v>25</v>
      </c>
      <c r="F25">
        <v>143.75</v>
      </c>
      <c r="G25">
        <v>0</v>
      </c>
    </row>
    <row r="26" spans="1:7" x14ac:dyDescent="0.3">
      <c r="A26" s="2">
        <v>43265</v>
      </c>
      <c r="B26" t="s">
        <v>38</v>
      </c>
      <c r="C26">
        <v>-10</v>
      </c>
      <c r="D26" s="2">
        <v>43265</v>
      </c>
      <c r="E26" t="s">
        <v>27</v>
      </c>
      <c r="F26">
        <v>-10</v>
      </c>
      <c r="G26">
        <v>0</v>
      </c>
    </row>
    <row r="27" spans="1:7" x14ac:dyDescent="0.3">
      <c r="A27" s="2">
        <v>43265</v>
      </c>
      <c r="B27" t="s">
        <v>39</v>
      </c>
      <c r="C27">
        <v>-78.709999999999994</v>
      </c>
      <c r="D27" s="2">
        <v>43265</v>
      </c>
      <c r="E27" t="s">
        <v>27</v>
      </c>
      <c r="F27">
        <v>-78.709999999999994</v>
      </c>
      <c r="G27">
        <v>0</v>
      </c>
    </row>
    <row r="28" spans="1:7" x14ac:dyDescent="0.3">
      <c r="A28" s="2">
        <v>43265</v>
      </c>
      <c r="B28" t="s">
        <v>40</v>
      </c>
      <c r="C28">
        <v>-88.6</v>
      </c>
      <c r="D28" s="2">
        <v>43265</v>
      </c>
      <c r="E28" t="s">
        <v>27</v>
      </c>
      <c r="F28">
        <v>-88.6</v>
      </c>
      <c r="G28">
        <v>0</v>
      </c>
    </row>
    <row r="29" spans="1:7" x14ac:dyDescent="0.3">
      <c r="A29" s="2">
        <v>43266</v>
      </c>
      <c r="B29" t="s">
        <v>24</v>
      </c>
      <c r="C29">
        <v>223.75</v>
      </c>
      <c r="D29" s="2">
        <v>43264</v>
      </c>
      <c r="E29" t="s">
        <v>25</v>
      </c>
      <c r="F29">
        <v>223.75</v>
      </c>
      <c r="G29">
        <v>0</v>
      </c>
    </row>
    <row r="30" spans="1:7" x14ac:dyDescent="0.3">
      <c r="A30" s="2">
        <v>43266</v>
      </c>
      <c r="B30" t="s">
        <v>41</v>
      </c>
      <c r="C30">
        <v>-78.709999999999994</v>
      </c>
      <c r="D30" s="2">
        <v>43265</v>
      </c>
      <c r="E30" t="s">
        <v>27</v>
      </c>
      <c r="F30">
        <v>-78.709999999999994</v>
      </c>
      <c r="G30">
        <v>0</v>
      </c>
    </row>
    <row r="31" spans="1:7" x14ac:dyDescent="0.3">
      <c r="A31" s="2">
        <v>43269</v>
      </c>
      <c r="B31" t="s">
        <v>42</v>
      </c>
      <c r="C31">
        <v>-68.19</v>
      </c>
      <c r="D31" s="2">
        <v>43269</v>
      </c>
      <c r="E31" t="s">
        <v>27</v>
      </c>
      <c r="F31">
        <v>-68.19</v>
      </c>
      <c r="G31">
        <v>0</v>
      </c>
    </row>
    <row r="32" spans="1:7" x14ac:dyDescent="0.3">
      <c r="A32" s="2">
        <v>43269</v>
      </c>
      <c r="B32" t="s">
        <v>24</v>
      </c>
      <c r="C32">
        <v>278.75</v>
      </c>
      <c r="D32" s="2">
        <v>43266</v>
      </c>
      <c r="E32" t="s">
        <v>25</v>
      </c>
      <c r="F32">
        <v>278.75</v>
      </c>
      <c r="G32">
        <v>0</v>
      </c>
    </row>
    <row r="33" spans="1:7" x14ac:dyDescent="0.3">
      <c r="A33" s="2">
        <v>43269</v>
      </c>
      <c r="B33" t="s">
        <v>24</v>
      </c>
      <c r="C33">
        <v>720</v>
      </c>
      <c r="D33" s="2">
        <v>43267</v>
      </c>
      <c r="E33" t="s">
        <v>25</v>
      </c>
      <c r="F33">
        <v>720</v>
      </c>
      <c r="G33">
        <v>0</v>
      </c>
    </row>
    <row r="34" spans="1:7" x14ac:dyDescent="0.3">
      <c r="A34" s="2">
        <v>43269</v>
      </c>
      <c r="B34" t="s">
        <v>43</v>
      </c>
      <c r="C34">
        <v>-29</v>
      </c>
      <c r="D34" s="2">
        <v>43269</v>
      </c>
      <c r="E34" t="s">
        <v>27</v>
      </c>
      <c r="F34">
        <v>-29</v>
      </c>
      <c r="G34">
        <v>0</v>
      </c>
    </row>
    <row r="35" spans="1:7" x14ac:dyDescent="0.3">
      <c r="A35" s="2">
        <v>43269</v>
      </c>
      <c r="B35" t="s">
        <v>24</v>
      </c>
      <c r="C35">
        <v>20</v>
      </c>
      <c r="D35" s="2">
        <v>43268</v>
      </c>
      <c r="E35" t="s">
        <v>25</v>
      </c>
      <c r="F35">
        <v>20</v>
      </c>
      <c r="G35">
        <v>0</v>
      </c>
    </row>
    <row r="36" spans="1:7" x14ac:dyDescent="0.3">
      <c r="A36" s="2">
        <v>43270</v>
      </c>
      <c r="B36" t="s">
        <v>24</v>
      </c>
      <c r="C36">
        <v>123.75</v>
      </c>
      <c r="D36" s="2">
        <v>43269</v>
      </c>
      <c r="E36" t="s">
        <v>25</v>
      </c>
      <c r="F36">
        <v>123.75</v>
      </c>
      <c r="G36">
        <v>0</v>
      </c>
    </row>
    <row r="37" spans="1:7" x14ac:dyDescent="0.3">
      <c r="A37" s="2">
        <v>43270</v>
      </c>
      <c r="B37" t="s">
        <v>44</v>
      </c>
      <c r="C37">
        <v>-155.4</v>
      </c>
      <c r="D37" s="2">
        <v>43270</v>
      </c>
      <c r="E37" t="s">
        <v>27</v>
      </c>
      <c r="F37">
        <v>-155.4</v>
      </c>
      <c r="G37">
        <v>0</v>
      </c>
    </row>
    <row r="38" spans="1:7" x14ac:dyDescent="0.3">
      <c r="A38" s="2">
        <v>43271</v>
      </c>
      <c r="B38" t="s">
        <v>24</v>
      </c>
      <c r="C38">
        <v>20</v>
      </c>
      <c r="D38" s="2">
        <v>43270</v>
      </c>
      <c r="E38" t="s">
        <v>25</v>
      </c>
      <c r="F38">
        <v>20</v>
      </c>
      <c r="G38">
        <v>0</v>
      </c>
    </row>
    <row r="39" spans="1:7" x14ac:dyDescent="0.3">
      <c r="A39" s="2">
        <v>43272</v>
      </c>
      <c r="B39" t="s">
        <v>24</v>
      </c>
      <c r="C39">
        <v>160</v>
      </c>
      <c r="D39" s="2">
        <v>43271</v>
      </c>
      <c r="E39" t="s">
        <v>25</v>
      </c>
      <c r="F39">
        <v>160</v>
      </c>
      <c r="G39">
        <v>0</v>
      </c>
    </row>
    <row r="40" spans="1:7" x14ac:dyDescent="0.3">
      <c r="A40" s="2">
        <v>43273</v>
      </c>
      <c r="B40" t="s">
        <v>24</v>
      </c>
      <c r="C40">
        <v>20</v>
      </c>
      <c r="D40" s="2">
        <v>43272</v>
      </c>
      <c r="E40" t="s">
        <v>25</v>
      </c>
      <c r="F40">
        <v>20</v>
      </c>
      <c r="G40">
        <v>0</v>
      </c>
    </row>
    <row r="41" spans="1:7" x14ac:dyDescent="0.3">
      <c r="A41" s="2">
        <v>43276</v>
      </c>
      <c r="B41" t="s">
        <v>24</v>
      </c>
      <c r="C41">
        <v>858.75</v>
      </c>
      <c r="D41" s="2">
        <v>43273</v>
      </c>
      <c r="E41" t="s">
        <v>25</v>
      </c>
      <c r="F41">
        <v>858.75</v>
      </c>
      <c r="G41">
        <v>0</v>
      </c>
    </row>
    <row r="42" spans="1:7" x14ac:dyDescent="0.3">
      <c r="A42" s="2">
        <v>43276</v>
      </c>
      <c r="B42" t="s">
        <v>24</v>
      </c>
      <c r="C42">
        <v>20</v>
      </c>
      <c r="D42" s="2">
        <v>43275</v>
      </c>
      <c r="E42" t="s">
        <v>25</v>
      </c>
      <c r="F42">
        <v>20</v>
      </c>
      <c r="G42">
        <v>0</v>
      </c>
    </row>
    <row r="43" spans="1:7" x14ac:dyDescent="0.3">
      <c r="A43" s="2">
        <v>43276</v>
      </c>
      <c r="B43" t="s">
        <v>24</v>
      </c>
      <c r="C43">
        <v>123.75</v>
      </c>
      <c r="D43" s="2">
        <v>43274</v>
      </c>
      <c r="E43" t="s">
        <v>25</v>
      </c>
      <c r="F43">
        <v>123.75</v>
      </c>
      <c r="G43">
        <v>0</v>
      </c>
    </row>
    <row r="44" spans="1:7" x14ac:dyDescent="0.3">
      <c r="A44" s="2">
        <v>43277</v>
      </c>
      <c r="B44" t="s">
        <v>45</v>
      </c>
      <c r="C44">
        <v>-3000</v>
      </c>
      <c r="D44" s="2">
        <v>43280</v>
      </c>
      <c r="E44" t="s">
        <v>27</v>
      </c>
      <c r="F44">
        <v>-3000</v>
      </c>
      <c r="G44">
        <v>0</v>
      </c>
    </row>
    <row r="45" spans="1:7" x14ac:dyDescent="0.3">
      <c r="A45" s="2">
        <v>43277</v>
      </c>
      <c r="B45" t="s">
        <v>46</v>
      </c>
      <c r="C45">
        <v>-30000</v>
      </c>
      <c r="D45" s="2">
        <v>43277</v>
      </c>
      <c r="E45" t="s">
        <v>27</v>
      </c>
      <c r="F45">
        <v>-30000</v>
      </c>
      <c r="G45">
        <v>0</v>
      </c>
    </row>
    <row r="46" spans="1:7" x14ac:dyDescent="0.3">
      <c r="A46" s="2">
        <v>43277</v>
      </c>
      <c r="B46" t="s">
        <v>47</v>
      </c>
      <c r="C46">
        <v>40</v>
      </c>
      <c r="D46" s="2">
        <v>43276</v>
      </c>
      <c r="E46" t="s">
        <v>25</v>
      </c>
      <c r="F46">
        <v>40</v>
      </c>
      <c r="G46">
        <v>0</v>
      </c>
    </row>
    <row r="47" spans="1:7" x14ac:dyDescent="0.3">
      <c r="A47" s="2">
        <v>43277</v>
      </c>
      <c r="B47" t="s">
        <v>48</v>
      </c>
      <c r="C47">
        <v>-59.87</v>
      </c>
      <c r="D47" s="2">
        <v>43277</v>
      </c>
      <c r="E47" t="s">
        <v>27</v>
      </c>
      <c r="F47">
        <v>-59.87</v>
      </c>
      <c r="G47">
        <v>0</v>
      </c>
    </row>
    <row r="48" spans="1:7" x14ac:dyDescent="0.3">
      <c r="A48" s="2">
        <v>43277</v>
      </c>
      <c r="B48" t="s">
        <v>49</v>
      </c>
      <c r="C48">
        <v>-300</v>
      </c>
      <c r="D48" s="2">
        <v>43280</v>
      </c>
      <c r="E48" t="s">
        <v>27</v>
      </c>
      <c r="F48">
        <v>-300</v>
      </c>
      <c r="G48">
        <v>0</v>
      </c>
    </row>
    <row r="49" spans="1:7" x14ac:dyDescent="0.3">
      <c r="A49" s="2">
        <v>43278</v>
      </c>
      <c r="B49" t="s">
        <v>24</v>
      </c>
      <c r="C49">
        <v>40</v>
      </c>
      <c r="D49" s="2">
        <v>43277</v>
      </c>
      <c r="E49" t="s">
        <v>25</v>
      </c>
      <c r="F49">
        <v>40</v>
      </c>
      <c r="G49">
        <v>0</v>
      </c>
    </row>
    <row r="50" spans="1:7" x14ac:dyDescent="0.3">
      <c r="A50" s="2">
        <v>43279</v>
      </c>
      <c r="B50" t="s">
        <v>50</v>
      </c>
      <c r="C50">
        <v>-70.77</v>
      </c>
      <c r="D50" s="2">
        <v>43279</v>
      </c>
      <c r="E50" t="s">
        <v>27</v>
      </c>
      <c r="F50">
        <v>-70.77</v>
      </c>
      <c r="G50">
        <v>0</v>
      </c>
    </row>
    <row r="51" spans="1:7" x14ac:dyDescent="0.3">
      <c r="A51" s="2">
        <v>43279</v>
      </c>
      <c r="B51" t="s">
        <v>24</v>
      </c>
      <c r="C51">
        <v>20</v>
      </c>
      <c r="D51" s="2">
        <v>43278</v>
      </c>
      <c r="E51" t="s">
        <v>25</v>
      </c>
      <c r="F51">
        <v>20</v>
      </c>
      <c r="G51">
        <v>0</v>
      </c>
    </row>
    <row r="52" spans="1:7" x14ac:dyDescent="0.3">
      <c r="A52" s="2">
        <v>43280</v>
      </c>
      <c r="B52" t="s">
        <v>51</v>
      </c>
      <c r="C52">
        <v>-9.99</v>
      </c>
      <c r="D52" s="2">
        <v>43280</v>
      </c>
      <c r="E52" t="s">
        <v>27</v>
      </c>
      <c r="F52">
        <v>-9.99</v>
      </c>
      <c r="G52">
        <v>0</v>
      </c>
    </row>
    <row r="53" spans="1:7" x14ac:dyDescent="0.3">
      <c r="A53" s="2">
        <v>43283</v>
      </c>
      <c r="B53" t="s">
        <v>52</v>
      </c>
      <c r="C53">
        <v>5.94</v>
      </c>
      <c r="D53" s="2">
        <v>43283</v>
      </c>
      <c r="E53" t="s">
        <v>25</v>
      </c>
      <c r="F53">
        <v>5.94</v>
      </c>
      <c r="G53">
        <v>0</v>
      </c>
    </row>
    <row r="54" spans="1:7" x14ac:dyDescent="0.3">
      <c r="A54" s="2">
        <v>43283</v>
      </c>
      <c r="B54" t="s">
        <v>53</v>
      </c>
      <c r="C54">
        <v>-200.9</v>
      </c>
      <c r="D54" s="2">
        <v>43283</v>
      </c>
      <c r="E54" t="s">
        <v>27</v>
      </c>
      <c r="F54">
        <v>-200.9</v>
      </c>
      <c r="G54">
        <v>0</v>
      </c>
    </row>
    <row r="55" spans="1:7" x14ac:dyDescent="0.3">
      <c r="A55" s="2">
        <v>43283</v>
      </c>
      <c r="B55" t="s">
        <v>54</v>
      </c>
      <c r="C55">
        <v>-35</v>
      </c>
      <c r="D55" s="2">
        <v>43283</v>
      </c>
      <c r="E55" t="s">
        <v>27</v>
      </c>
      <c r="F55">
        <v>-35</v>
      </c>
      <c r="G55">
        <v>0</v>
      </c>
    </row>
    <row r="56" spans="1:7" x14ac:dyDescent="0.3">
      <c r="A56" s="2">
        <v>43284</v>
      </c>
      <c r="B56" t="s">
        <v>24</v>
      </c>
      <c r="C56">
        <v>20</v>
      </c>
      <c r="D56" s="2">
        <v>43282</v>
      </c>
      <c r="E56" t="s">
        <v>25</v>
      </c>
      <c r="F56">
        <v>20</v>
      </c>
      <c r="G56">
        <v>0</v>
      </c>
    </row>
    <row r="57" spans="1:7" x14ac:dyDescent="0.3">
      <c r="A57" s="2">
        <v>43284</v>
      </c>
      <c r="B57" t="s">
        <v>24</v>
      </c>
      <c r="C57">
        <v>185</v>
      </c>
      <c r="D57" s="2">
        <v>43284</v>
      </c>
      <c r="E57" t="s">
        <v>25</v>
      </c>
      <c r="F57">
        <v>185</v>
      </c>
      <c r="G57">
        <v>0</v>
      </c>
    </row>
    <row r="58" spans="1:7" x14ac:dyDescent="0.3">
      <c r="A58" s="2">
        <v>43284</v>
      </c>
      <c r="B58" t="s">
        <v>52</v>
      </c>
      <c r="C58">
        <v>-11.88</v>
      </c>
      <c r="D58" s="2">
        <v>43284</v>
      </c>
      <c r="E58" t="s">
        <v>27</v>
      </c>
      <c r="F58">
        <v>-11.88</v>
      </c>
      <c r="G58">
        <v>0</v>
      </c>
    </row>
    <row r="59" spans="1:7" x14ac:dyDescent="0.3">
      <c r="A59" s="2">
        <v>43286</v>
      </c>
      <c r="B59" t="s">
        <v>55</v>
      </c>
      <c r="C59">
        <v>-39.950000000000003</v>
      </c>
      <c r="D59" s="2">
        <v>43286</v>
      </c>
      <c r="E59" t="s">
        <v>27</v>
      </c>
      <c r="F59">
        <v>-39.950000000000003</v>
      </c>
      <c r="G59">
        <v>0</v>
      </c>
    </row>
    <row r="60" spans="1:7" x14ac:dyDescent="0.3">
      <c r="A60" s="2">
        <v>43286</v>
      </c>
      <c r="B60" t="s">
        <v>56</v>
      </c>
      <c r="C60">
        <v>-34.950000000000003</v>
      </c>
      <c r="D60" s="2">
        <v>43286</v>
      </c>
      <c r="E60" t="s">
        <v>27</v>
      </c>
      <c r="F60">
        <v>-34.950000000000003</v>
      </c>
      <c r="G60">
        <v>0</v>
      </c>
    </row>
    <row r="61" spans="1:7" x14ac:dyDescent="0.3">
      <c r="A61" s="2">
        <v>43286</v>
      </c>
      <c r="B61" t="s">
        <v>24</v>
      </c>
      <c r="C61">
        <v>222.5</v>
      </c>
      <c r="D61" s="2">
        <v>43286</v>
      </c>
      <c r="E61" t="s">
        <v>25</v>
      </c>
      <c r="F61">
        <v>222.5</v>
      </c>
      <c r="G61">
        <v>0</v>
      </c>
    </row>
    <row r="62" spans="1:7" x14ac:dyDescent="0.3">
      <c r="A62" s="2">
        <v>43286</v>
      </c>
      <c r="B62" t="s">
        <v>24</v>
      </c>
      <c r="C62">
        <v>40</v>
      </c>
      <c r="D62" s="2">
        <v>43286</v>
      </c>
      <c r="E62" t="s">
        <v>25</v>
      </c>
      <c r="F62">
        <v>40</v>
      </c>
      <c r="G62">
        <v>0</v>
      </c>
    </row>
    <row r="63" spans="1:7" x14ac:dyDescent="0.3">
      <c r="A63" s="2">
        <v>43290</v>
      </c>
      <c r="B63" t="s">
        <v>57</v>
      </c>
      <c r="C63">
        <v>-26.44</v>
      </c>
      <c r="D63" s="2">
        <v>43290</v>
      </c>
      <c r="E63" t="s">
        <v>27</v>
      </c>
      <c r="F63">
        <v>-26.44</v>
      </c>
      <c r="G63">
        <v>0</v>
      </c>
    </row>
    <row r="64" spans="1:7" x14ac:dyDescent="0.3">
      <c r="A64" s="2">
        <v>43290</v>
      </c>
      <c r="B64" t="s">
        <v>24</v>
      </c>
      <c r="C64">
        <v>123.75</v>
      </c>
      <c r="D64" s="2">
        <v>43290</v>
      </c>
      <c r="E64" t="s">
        <v>25</v>
      </c>
      <c r="F64">
        <v>123.75</v>
      </c>
      <c r="G64">
        <v>0</v>
      </c>
    </row>
    <row r="65" spans="1:7" x14ac:dyDescent="0.3">
      <c r="A65" s="2">
        <v>43290</v>
      </c>
      <c r="B65" t="s">
        <v>24</v>
      </c>
      <c r="C65">
        <v>205</v>
      </c>
      <c r="D65" s="2">
        <v>43290</v>
      </c>
      <c r="E65" t="s">
        <v>25</v>
      </c>
      <c r="F65">
        <v>205</v>
      </c>
      <c r="G65">
        <v>0</v>
      </c>
    </row>
    <row r="66" spans="1:7" x14ac:dyDescent="0.3">
      <c r="A66" s="2">
        <v>43292</v>
      </c>
      <c r="B66" t="s">
        <v>24</v>
      </c>
      <c r="C66">
        <v>247.5</v>
      </c>
      <c r="D66" s="2">
        <v>43292</v>
      </c>
      <c r="E66" t="s">
        <v>25</v>
      </c>
      <c r="F66">
        <v>247.5</v>
      </c>
      <c r="G66">
        <v>0</v>
      </c>
    </row>
    <row r="67" spans="1:7" x14ac:dyDescent="0.3">
      <c r="A67" s="2">
        <v>43292</v>
      </c>
      <c r="B67" t="s">
        <v>58</v>
      </c>
      <c r="C67">
        <v>-35.1</v>
      </c>
      <c r="D67" s="2">
        <v>43292</v>
      </c>
      <c r="E67" t="s">
        <v>27</v>
      </c>
      <c r="F67">
        <v>-35.1</v>
      </c>
      <c r="G67">
        <v>0</v>
      </c>
    </row>
    <row r="68" spans="1:7" x14ac:dyDescent="0.3">
      <c r="A68" s="2">
        <v>43293</v>
      </c>
      <c r="B68" t="s">
        <v>59</v>
      </c>
      <c r="C68">
        <v>900</v>
      </c>
      <c r="D68" s="2">
        <v>43293</v>
      </c>
      <c r="E68" t="s">
        <v>60</v>
      </c>
      <c r="F68">
        <v>900</v>
      </c>
      <c r="G68">
        <v>0</v>
      </c>
    </row>
    <row r="69" spans="1:7" x14ac:dyDescent="0.3">
      <c r="A69" s="2">
        <v>43293</v>
      </c>
      <c r="B69" t="s">
        <v>61</v>
      </c>
      <c r="C69">
        <v>-9.75</v>
      </c>
      <c r="D69" s="2">
        <v>43293</v>
      </c>
      <c r="E69" t="s">
        <v>27</v>
      </c>
      <c r="F69">
        <v>-9.75</v>
      </c>
      <c r="G69">
        <v>0</v>
      </c>
    </row>
    <row r="70" spans="1:7" x14ac:dyDescent="0.3">
      <c r="A70" s="2">
        <v>43293</v>
      </c>
      <c r="B70" t="s">
        <v>62</v>
      </c>
      <c r="C70">
        <v>40</v>
      </c>
      <c r="D70" s="2">
        <v>43293</v>
      </c>
      <c r="E70" t="s">
        <v>25</v>
      </c>
      <c r="F70">
        <v>40</v>
      </c>
      <c r="G70">
        <v>0</v>
      </c>
    </row>
    <row r="71" spans="1:7" x14ac:dyDescent="0.3">
      <c r="A71" s="2">
        <v>43293</v>
      </c>
      <c r="B71" t="s">
        <v>63</v>
      </c>
      <c r="C71">
        <v>-8.19</v>
      </c>
      <c r="D71" s="2">
        <v>43293</v>
      </c>
      <c r="E71" t="s">
        <v>27</v>
      </c>
      <c r="F71">
        <v>-8.19</v>
      </c>
      <c r="G71">
        <v>0</v>
      </c>
    </row>
    <row r="72" spans="1:7" x14ac:dyDescent="0.3">
      <c r="A72" s="2">
        <v>43293</v>
      </c>
      <c r="B72" t="s">
        <v>64</v>
      </c>
      <c r="C72">
        <v>-15.3</v>
      </c>
      <c r="D72" s="2">
        <v>43293</v>
      </c>
      <c r="E72" t="s">
        <v>27</v>
      </c>
      <c r="F72">
        <v>-15.3</v>
      </c>
      <c r="G72">
        <v>0</v>
      </c>
    </row>
    <row r="73" spans="1:7" x14ac:dyDescent="0.3">
      <c r="A73" s="2">
        <v>43294</v>
      </c>
      <c r="B73" t="s">
        <v>24</v>
      </c>
      <c r="C73">
        <v>185</v>
      </c>
      <c r="D73" s="2">
        <v>43294</v>
      </c>
      <c r="E73" t="s">
        <v>25</v>
      </c>
      <c r="F73">
        <v>185</v>
      </c>
      <c r="G73">
        <v>0</v>
      </c>
    </row>
    <row r="74" spans="1:7" x14ac:dyDescent="0.3">
      <c r="A74" s="2">
        <v>43294</v>
      </c>
      <c r="B74" t="s">
        <v>65</v>
      </c>
      <c r="C74">
        <v>-11.4</v>
      </c>
      <c r="D74" s="2">
        <v>43294</v>
      </c>
      <c r="E74" t="s">
        <v>27</v>
      </c>
      <c r="F74">
        <v>-11.4</v>
      </c>
      <c r="G74">
        <v>0</v>
      </c>
    </row>
    <row r="75" spans="1:7" x14ac:dyDescent="0.3">
      <c r="A75" s="2">
        <v>43297</v>
      </c>
      <c r="B75" t="s">
        <v>66</v>
      </c>
      <c r="C75">
        <v>-19.989999999999998</v>
      </c>
      <c r="D75" s="2">
        <v>43297</v>
      </c>
      <c r="E75" t="s">
        <v>27</v>
      </c>
      <c r="F75">
        <v>-19.989999999999998</v>
      </c>
      <c r="G75">
        <v>0</v>
      </c>
    </row>
    <row r="76" spans="1:7" x14ac:dyDescent="0.3">
      <c r="A76" s="2">
        <v>43297</v>
      </c>
      <c r="B76" t="s">
        <v>67</v>
      </c>
      <c r="C76">
        <v>-75.98</v>
      </c>
      <c r="D76" s="2">
        <v>43297</v>
      </c>
      <c r="E76" t="s">
        <v>27</v>
      </c>
      <c r="F76">
        <v>-75.98</v>
      </c>
      <c r="G76">
        <v>0</v>
      </c>
    </row>
    <row r="77" spans="1:7" x14ac:dyDescent="0.3">
      <c r="A77" s="2">
        <v>43297</v>
      </c>
      <c r="B77" t="s">
        <v>24</v>
      </c>
      <c r="C77">
        <v>300</v>
      </c>
      <c r="D77" s="2">
        <v>43297</v>
      </c>
      <c r="E77" t="s">
        <v>25</v>
      </c>
      <c r="F77">
        <v>300</v>
      </c>
      <c r="G77">
        <v>0</v>
      </c>
    </row>
    <row r="78" spans="1:7" x14ac:dyDescent="0.3">
      <c r="A78" s="2">
        <v>43297</v>
      </c>
      <c r="B78" t="s">
        <v>68</v>
      </c>
      <c r="C78">
        <v>-29</v>
      </c>
      <c r="D78" s="2">
        <v>43297</v>
      </c>
      <c r="E78" t="s">
        <v>27</v>
      </c>
      <c r="F78">
        <v>-29</v>
      </c>
      <c r="G78">
        <v>0</v>
      </c>
    </row>
    <row r="79" spans="1:7" x14ac:dyDescent="0.3">
      <c r="A79" s="2">
        <v>43297</v>
      </c>
      <c r="B79" t="s">
        <v>69</v>
      </c>
      <c r="C79">
        <v>-50</v>
      </c>
      <c r="D79" s="2">
        <v>43297</v>
      </c>
      <c r="E79" t="s">
        <v>27</v>
      </c>
      <c r="F79">
        <v>-50</v>
      </c>
      <c r="G79">
        <v>0</v>
      </c>
    </row>
    <row r="80" spans="1:7" x14ac:dyDescent="0.3">
      <c r="A80" s="2">
        <v>43297</v>
      </c>
      <c r="B80" t="s">
        <v>70</v>
      </c>
      <c r="C80">
        <v>-10</v>
      </c>
      <c r="D80" s="2">
        <v>43297</v>
      </c>
      <c r="E80" t="s">
        <v>27</v>
      </c>
      <c r="F80">
        <v>-10</v>
      </c>
      <c r="G80">
        <v>0</v>
      </c>
    </row>
    <row r="81" spans="1:7" x14ac:dyDescent="0.3">
      <c r="A81" s="2">
        <v>43297</v>
      </c>
      <c r="B81" t="s">
        <v>71</v>
      </c>
      <c r="C81">
        <v>-84.99</v>
      </c>
      <c r="D81" s="2">
        <v>43297</v>
      </c>
      <c r="E81" t="s">
        <v>27</v>
      </c>
      <c r="F81">
        <v>-84.99</v>
      </c>
      <c r="G81">
        <v>0</v>
      </c>
    </row>
    <row r="82" spans="1:7" x14ac:dyDescent="0.3">
      <c r="A82" s="2">
        <v>43299</v>
      </c>
      <c r="B82" t="s">
        <v>24</v>
      </c>
      <c r="C82">
        <v>865</v>
      </c>
      <c r="D82" s="2">
        <v>43299</v>
      </c>
      <c r="E82" t="s">
        <v>25</v>
      </c>
      <c r="F82">
        <v>865</v>
      </c>
      <c r="G82">
        <v>0</v>
      </c>
    </row>
    <row r="83" spans="1:7" x14ac:dyDescent="0.3">
      <c r="A83" s="2">
        <v>43300</v>
      </c>
      <c r="B83" t="s">
        <v>24</v>
      </c>
      <c r="C83">
        <v>1387.5</v>
      </c>
      <c r="D83" s="2">
        <v>43300</v>
      </c>
      <c r="E83" t="s">
        <v>25</v>
      </c>
      <c r="F83">
        <v>1387.5</v>
      </c>
      <c r="G83">
        <v>0</v>
      </c>
    </row>
    <row r="84" spans="1:7" x14ac:dyDescent="0.3">
      <c r="A84" s="2">
        <v>43300</v>
      </c>
      <c r="B84" t="s">
        <v>72</v>
      </c>
      <c r="C84">
        <v>-181.72</v>
      </c>
      <c r="D84" s="2">
        <v>43300</v>
      </c>
      <c r="E84" t="s">
        <v>27</v>
      </c>
      <c r="F84">
        <v>-181.72</v>
      </c>
      <c r="G84">
        <v>0</v>
      </c>
    </row>
    <row r="85" spans="1:7" x14ac:dyDescent="0.3">
      <c r="A85" s="2">
        <v>43301</v>
      </c>
      <c r="B85" t="s">
        <v>24</v>
      </c>
      <c r="C85">
        <v>1100</v>
      </c>
      <c r="D85" s="2">
        <v>43301</v>
      </c>
      <c r="E85" t="s">
        <v>25</v>
      </c>
      <c r="F85">
        <v>1100</v>
      </c>
      <c r="G85">
        <v>0</v>
      </c>
    </row>
    <row r="86" spans="1:7" x14ac:dyDescent="0.3">
      <c r="A86" s="2">
        <v>43304</v>
      </c>
      <c r="B86" t="s">
        <v>24</v>
      </c>
      <c r="C86">
        <v>400</v>
      </c>
      <c r="D86" s="2">
        <v>43304</v>
      </c>
      <c r="E86" t="s">
        <v>25</v>
      </c>
      <c r="F86">
        <v>400</v>
      </c>
      <c r="G86">
        <v>0</v>
      </c>
    </row>
    <row r="87" spans="1:7" x14ac:dyDescent="0.3">
      <c r="A87" s="2">
        <v>43304</v>
      </c>
      <c r="B87" t="s">
        <v>24</v>
      </c>
      <c r="C87">
        <v>402.5</v>
      </c>
      <c r="D87" s="2">
        <v>43304</v>
      </c>
      <c r="E87" t="s">
        <v>25</v>
      </c>
      <c r="F87">
        <v>402.5</v>
      </c>
      <c r="G87">
        <v>0</v>
      </c>
    </row>
    <row r="88" spans="1:7" x14ac:dyDescent="0.3">
      <c r="A88" s="2">
        <v>43305</v>
      </c>
      <c r="B88" t="s">
        <v>73</v>
      </c>
      <c r="C88">
        <v>-266.32</v>
      </c>
      <c r="D88" s="2">
        <v>43305</v>
      </c>
      <c r="E88" t="s">
        <v>27</v>
      </c>
      <c r="F88">
        <v>-266.32</v>
      </c>
      <c r="G88">
        <v>0</v>
      </c>
    </row>
    <row r="89" spans="1:7" x14ac:dyDescent="0.3">
      <c r="A89" s="2">
        <v>43305</v>
      </c>
      <c r="B89" t="s">
        <v>74</v>
      </c>
      <c r="C89">
        <v>-3750</v>
      </c>
      <c r="D89" s="2">
        <v>43305</v>
      </c>
      <c r="E89" t="s">
        <v>27</v>
      </c>
      <c r="F89">
        <v>-3750</v>
      </c>
      <c r="G89">
        <v>0</v>
      </c>
    </row>
    <row r="90" spans="1:7" x14ac:dyDescent="0.3">
      <c r="A90" s="2">
        <v>43305</v>
      </c>
      <c r="B90" t="s">
        <v>75</v>
      </c>
      <c r="C90">
        <v>-194.89</v>
      </c>
      <c r="D90" s="2">
        <v>43305</v>
      </c>
      <c r="E90" t="s">
        <v>27</v>
      </c>
      <c r="F90">
        <v>-194.89</v>
      </c>
      <c r="G90">
        <v>0</v>
      </c>
    </row>
    <row r="91" spans="1:7" x14ac:dyDescent="0.3">
      <c r="A91" s="2">
        <v>43305</v>
      </c>
      <c r="B91" t="s">
        <v>76</v>
      </c>
      <c r="C91">
        <v>-207.5</v>
      </c>
      <c r="D91" s="2">
        <v>43305</v>
      </c>
      <c r="E91" t="s">
        <v>27</v>
      </c>
      <c r="F91">
        <v>-207.5</v>
      </c>
      <c r="G91">
        <v>0</v>
      </c>
    </row>
    <row r="92" spans="1:7" x14ac:dyDescent="0.3">
      <c r="A92" s="2">
        <v>43305</v>
      </c>
      <c r="B92" t="s">
        <v>24</v>
      </c>
      <c r="C92">
        <v>330</v>
      </c>
      <c r="D92" s="2">
        <v>43305</v>
      </c>
      <c r="E92" t="s">
        <v>25</v>
      </c>
      <c r="F92">
        <v>330</v>
      </c>
      <c r="G92">
        <v>0</v>
      </c>
    </row>
    <row r="93" spans="1:7" x14ac:dyDescent="0.3">
      <c r="A93" s="2">
        <v>43305</v>
      </c>
      <c r="B93" t="s">
        <v>77</v>
      </c>
      <c r="C93">
        <v>-14500</v>
      </c>
      <c r="D93" s="2">
        <v>43305</v>
      </c>
      <c r="E93" t="s">
        <v>27</v>
      </c>
      <c r="F93">
        <v>-14500</v>
      </c>
      <c r="G93">
        <v>0</v>
      </c>
    </row>
    <row r="94" spans="1:7" x14ac:dyDescent="0.3">
      <c r="A94" s="2">
        <v>43305</v>
      </c>
      <c r="B94" t="s">
        <v>78</v>
      </c>
      <c r="C94">
        <v>-35.380000000000003</v>
      </c>
      <c r="D94" s="2">
        <v>43305</v>
      </c>
      <c r="E94" t="s">
        <v>27</v>
      </c>
      <c r="F94">
        <v>-35.380000000000003</v>
      </c>
      <c r="G94">
        <v>0</v>
      </c>
    </row>
    <row r="95" spans="1:7" x14ac:dyDescent="0.3">
      <c r="A95" s="2">
        <v>43306</v>
      </c>
      <c r="B95" t="s">
        <v>24</v>
      </c>
      <c r="C95">
        <v>502.5</v>
      </c>
      <c r="D95" s="2">
        <v>43306</v>
      </c>
      <c r="E95" t="s">
        <v>25</v>
      </c>
      <c r="F95">
        <v>502.5</v>
      </c>
      <c r="G95">
        <v>0</v>
      </c>
    </row>
    <row r="96" spans="1:7" x14ac:dyDescent="0.3">
      <c r="A96" s="2">
        <v>43306</v>
      </c>
      <c r="B96" t="s">
        <v>79</v>
      </c>
      <c r="C96">
        <v>-917</v>
      </c>
      <c r="D96" s="2">
        <v>43306</v>
      </c>
      <c r="E96" t="s">
        <v>27</v>
      </c>
      <c r="F96">
        <v>-917</v>
      </c>
      <c r="G96">
        <v>0</v>
      </c>
    </row>
    <row r="97" spans="1:7" x14ac:dyDescent="0.3">
      <c r="A97" s="2">
        <v>43307</v>
      </c>
      <c r="B97" t="s">
        <v>80</v>
      </c>
      <c r="C97">
        <v>-59.87</v>
      </c>
      <c r="D97" s="2">
        <v>43307</v>
      </c>
      <c r="E97" t="s">
        <v>27</v>
      </c>
      <c r="F97">
        <v>-59.87</v>
      </c>
      <c r="G97">
        <v>0</v>
      </c>
    </row>
    <row r="98" spans="1:7" x14ac:dyDescent="0.3">
      <c r="A98" s="2">
        <v>43307</v>
      </c>
      <c r="B98" t="s">
        <v>24</v>
      </c>
      <c r="C98">
        <v>282.5</v>
      </c>
      <c r="D98" s="2">
        <v>43307</v>
      </c>
      <c r="E98" t="s">
        <v>25</v>
      </c>
      <c r="F98">
        <v>282.5</v>
      </c>
      <c r="G98">
        <v>0</v>
      </c>
    </row>
    <row r="99" spans="1:7" x14ac:dyDescent="0.3">
      <c r="A99" s="2">
        <v>43308</v>
      </c>
      <c r="B99" t="s">
        <v>81</v>
      </c>
      <c r="C99">
        <v>-3000</v>
      </c>
      <c r="D99" s="2">
        <v>43308</v>
      </c>
      <c r="E99" t="s">
        <v>27</v>
      </c>
      <c r="F99">
        <v>-3000</v>
      </c>
      <c r="G99">
        <v>0</v>
      </c>
    </row>
    <row r="100" spans="1:7" x14ac:dyDescent="0.3">
      <c r="A100" s="2">
        <v>43308</v>
      </c>
      <c r="B100" t="s">
        <v>24</v>
      </c>
      <c r="C100">
        <v>882.5</v>
      </c>
      <c r="D100" s="2">
        <v>43308</v>
      </c>
      <c r="E100" t="s">
        <v>25</v>
      </c>
      <c r="F100">
        <v>882.5</v>
      </c>
      <c r="G100">
        <v>0</v>
      </c>
    </row>
    <row r="101" spans="1:7" x14ac:dyDescent="0.3">
      <c r="A101" s="2">
        <v>43311</v>
      </c>
      <c r="B101" t="s">
        <v>24</v>
      </c>
      <c r="C101">
        <v>400</v>
      </c>
      <c r="D101" s="2">
        <v>43311</v>
      </c>
      <c r="E101" t="s">
        <v>25</v>
      </c>
      <c r="F101">
        <v>400</v>
      </c>
      <c r="G101">
        <v>0</v>
      </c>
    </row>
    <row r="102" spans="1:7" x14ac:dyDescent="0.3">
      <c r="A102" s="2">
        <v>43311</v>
      </c>
      <c r="B102" t="s">
        <v>82</v>
      </c>
      <c r="C102">
        <v>-6675</v>
      </c>
      <c r="D102" s="2">
        <v>43311</v>
      </c>
      <c r="E102" t="s">
        <v>27</v>
      </c>
      <c r="F102">
        <v>-6675</v>
      </c>
      <c r="G102">
        <v>0</v>
      </c>
    </row>
    <row r="103" spans="1:7" x14ac:dyDescent="0.3">
      <c r="A103" s="2">
        <v>43311</v>
      </c>
      <c r="B103" t="s">
        <v>24</v>
      </c>
      <c r="C103">
        <v>905</v>
      </c>
      <c r="D103" s="2">
        <v>43311</v>
      </c>
      <c r="E103" t="s">
        <v>25</v>
      </c>
      <c r="F103">
        <v>905</v>
      </c>
      <c r="G103">
        <v>0</v>
      </c>
    </row>
    <row r="104" spans="1:7" x14ac:dyDescent="0.3">
      <c r="A104" s="2">
        <v>43311</v>
      </c>
      <c r="B104" t="s">
        <v>83</v>
      </c>
      <c r="C104">
        <v>-70.77</v>
      </c>
      <c r="D104" s="2">
        <v>43311</v>
      </c>
      <c r="E104" t="s">
        <v>27</v>
      </c>
      <c r="F104">
        <v>-70.77</v>
      </c>
      <c r="G104">
        <v>0</v>
      </c>
    </row>
    <row r="105" spans="1:7" x14ac:dyDescent="0.3">
      <c r="A105" s="2">
        <v>43311</v>
      </c>
      <c r="B105" t="s">
        <v>24</v>
      </c>
      <c r="C105">
        <v>600</v>
      </c>
      <c r="D105" s="2">
        <v>43311</v>
      </c>
      <c r="E105" t="s">
        <v>25</v>
      </c>
      <c r="F105">
        <v>600</v>
      </c>
      <c r="G105">
        <v>0</v>
      </c>
    </row>
    <row r="106" spans="1:7" x14ac:dyDescent="0.3">
      <c r="A106" s="2">
        <v>43313</v>
      </c>
      <c r="B106" t="s">
        <v>24</v>
      </c>
      <c r="C106">
        <v>1022.5</v>
      </c>
      <c r="D106" s="2">
        <v>43313</v>
      </c>
      <c r="E106" t="s">
        <v>25</v>
      </c>
      <c r="F106">
        <v>1022.5</v>
      </c>
      <c r="G106">
        <v>0</v>
      </c>
    </row>
    <row r="107" spans="1:7" x14ac:dyDescent="0.3">
      <c r="A107" s="2">
        <v>43314</v>
      </c>
      <c r="B107" t="s">
        <v>53</v>
      </c>
      <c r="C107">
        <v>-442.64</v>
      </c>
      <c r="D107" s="2">
        <v>43314</v>
      </c>
      <c r="E107" t="s">
        <v>27</v>
      </c>
      <c r="F107">
        <v>-442.64</v>
      </c>
      <c r="G107">
        <v>0</v>
      </c>
    </row>
    <row r="108" spans="1:7" x14ac:dyDescent="0.3">
      <c r="A108" s="2">
        <v>43314</v>
      </c>
      <c r="B108" t="s">
        <v>84</v>
      </c>
      <c r="C108">
        <v>-48.2</v>
      </c>
      <c r="D108" s="2">
        <v>43314</v>
      </c>
      <c r="E108" t="s">
        <v>27</v>
      </c>
      <c r="F108">
        <v>-48.2</v>
      </c>
      <c r="G108">
        <v>0</v>
      </c>
    </row>
    <row r="109" spans="1:7" x14ac:dyDescent="0.3">
      <c r="A109" s="2">
        <v>43314</v>
      </c>
      <c r="B109" t="s">
        <v>24</v>
      </c>
      <c r="C109">
        <v>1002.5</v>
      </c>
      <c r="D109" s="2">
        <v>43314</v>
      </c>
      <c r="E109" t="s">
        <v>25</v>
      </c>
      <c r="F109">
        <v>1002.5</v>
      </c>
      <c r="G109">
        <v>0</v>
      </c>
    </row>
    <row r="110" spans="1:7" x14ac:dyDescent="0.3">
      <c r="A110" s="2">
        <v>43315</v>
      </c>
      <c r="B110" t="s">
        <v>85</v>
      </c>
      <c r="C110">
        <v>-34.950000000000003</v>
      </c>
      <c r="D110" s="2">
        <v>43315</v>
      </c>
      <c r="E110" t="s">
        <v>27</v>
      </c>
      <c r="F110">
        <v>-34.950000000000003</v>
      </c>
      <c r="G110">
        <v>0</v>
      </c>
    </row>
    <row r="111" spans="1:7" x14ac:dyDescent="0.3">
      <c r="A111" s="2">
        <v>43315</v>
      </c>
      <c r="B111" t="s">
        <v>86</v>
      </c>
      <c r="C111">
        <v>-39.950000000000003</v>
      </c>
      <c r="D111" s="2">
        <v>43315</v>
      </c>
      <c r="E111" t="s">
        <v>27</v>
      </c>
      <c r="F111">
        <v>-39.950000000000003</v>
      </c>
      <c r="G111">
        <v>0</v>
      </c>
    </row>
    <row r="112" spans="1:7" x14ac:dyDescent="0.3">
      <c r="A112" s="2">
        <v>43315</v>
      </c>
      <c r="B112" t="s">
        <v>24</v>
      </c>
      <c r="C112">
        <v>2715</v>
      </c>
      <c r="D112" s="2">
        <v>43315</v>
      </c>
      <c r="E112" t="s">
        <v>25</v>
      </c>
      <c r="F112">
        <v>2715</v>
      </c>
      <c r="G112">
        <v>0</v>
      </c>
    </row>
    <row r="113" spans="1:7" x14ac:dyDescent="0.3">
      <c r="A113" s="2">
        <v>43318</v>
      </c>
      <c r="B113" t="s">
        <v>24</v>
      </c>
      <c r="C113">
        <v>100</v>
      </c>
      <c r="D113" s="2">
        <v>43318</v>
      </c>
      <c r="E113" t="s">
        <v>25</v>
      </c>
      <c r="F113">
        <v>100</v>
      </c>
      <c r="G113">
        <v>0</v>
      </c>
    </row>
    <row r="114" spans="1:7" x14ac:dyDescent="0.3">
      <c r="A114" s="2">
        <v>43318</v>
      </c>
      <c r="B114" t="s">
        <v>24</v>
      </c>
      <c r="C114">
        <v>82.5</v>
      </c>
      <c r="D114" s="2">
        <v>43318</v>
      </c>
      <c r="E114" t="s">
        <v>25</v>
      </c>
      <c r="F114">
        <v>82.5</v>
      </c>
      <c r="G114">
        <v>0</v>
      </c>
    </row>
    <row r="115" spans="1:7" x14ac:dyDescent="0.3">
      <c r="A115" s="2">
        <v>43318</v>
      </c>
      <c r="B115" t="s">
        <v>87</v>
      </c>
      <c r="C115">
        <v>-239.47</v>
      </c>
      <c r="D115" s="2">
        <v>43318</v>
      </c>
      <c r="E115" t="s">
        <v>27</v>
      </c>
      <c r="F115">
        <v>-239.47</v>
      </c>
      <c r="G115">
        <v>0</v>
      </c>
    </row>
    <row r="116" spans="1:7" x14ac:dyDescent="0.3">
      <c r="A116" s="2">
        <v>43318</v>
      </c>
      <c r="B116" t="s">
        <v>24</v>
      </c>
      <c r="C116">
        <v>1582.5</v>
      </c>
      <c r="D116" s="2">
        <v>43318</v>
      </c>
      <c r="E116" t="s">
        <v>25</v>
      </c>
      <c r="F116">
        <v>1582.5</v>
      </c>
      <c r="G116">
        <v>0</v>
      </c>
    </row>
    <row r="117" spans="1:7" x14ac:dyDescent="0.3">
      <c r="A117" s="2">
        <v>43319</v>
      </c>
      <c r="B117" t="s">
        <v>24</v>
      </c>
      <c r="C117">
        <v>1000</v>
      </c>
      <c r="D117" s="2">
        <v>43319</v>
      </c>
      <c r="E117" t="s">
        <v>25</v>
      </c>
      <c r="F117">
        <v>1000</v>
      </c>
      <c r="G117">
        <v>0</v>
      </c>
    </row>
    <row r="118" spans="1:7" x14ac:dyDescent="0.3">
      <c r="A118" s="2">
        <v>43320</v>
      </c>
      <c r="B118" t="s">
        <v>24</v>
      </c>
      <c r="C118">
        <v>1467.5</v>
      </c>
      <c r="D118" s="2">
        <v>43320</v>
      </c>
      <c r="E118" t="s">
        <v>25</v>
      </c>
      <c r="F118">
        <v>1467.5</v>
      </c>
      <c r="G118">
        <v>0</v>
      </c>
    </row>
    <row r="119" spans="1:7" x14ac:dyDescent="0.3">
      <c r="A119" s="2">
        <v>43321</v>
      </c>
      <c r="B119" t="s">
        <v>24</v>
      </c>
      <c r="C119">
        <v>15852.5</v>
      </c>
      <c r="D119" s="2">
        <v>43321</v>
      </c>
      <c r="E119" t="s">
        <v>25</v>
      </c>
      <c r="F119">
        <v>15852.5</v>
      </c>
      <c r="G119">
        <v>0</v>
      </c>
    </row>
    <row r="120" spans="1:7" x14ac:dyDescent="0.3">
      <c r="A120" s="2">
        <v>43322</v>
      </c>
      <c r="B120" t="s">
        <v>24</v>
      </c>
      <c r="C120">
        <v>45882.5</v>
      </c>
      <c r="D120" s="2">
        <v>43322</v>
      </c>
      <c r="E120" t="s">
        <v>25</v>
      </c>
      <c r="F120">
        <v>45882.5</v>
      </c>
      <c r="G120">
        <v>0</v>
      </c>
    </row>
    <row r="121" spans="1:7" x14ac:dyDescent="0.3">
      <c r="A121" s="2">
        <v>43325</v>
      </c>
      <c r="B121" t="s">
        <v>24</v>
      </c>
      <c r="C121">
        <v>100</v>
      </c>
      <c r="D121" s="2">
        <v>43325</v>
      </c>
      <c r="E121" t="s">
        <v>25</v>
      </c>
      <c r="F121">
        <v>100</v>
      </c>
      <c r="G121">
        <v>0</v>
      </c>
    </row>
    <row r="122" spans="1:7" x14ac:dyDescent="0.3">
      <c r="A122" s="2">
        <v>43325</v>
      </c>
      <c r="B122" t="s">
        <v>88</v>
      </c>
      <c r="C122">
        <v>-15.99</v>
      </c>
      <c r="D122" s="2">
        <v>43325</v>
      </c>
      <c r="E122" t="s">
        <v>27</v>
      </c>
      <c r="F122">
        <v>-15.99</v>
      </c>
      <c r="G122">
        <v>0</v>
      </c>
    </row>
    <row r="123" spans="1:7" x14ac:dyDescent="0.3">
      <c r="A123" s="2">
        <v>43325</v>
      </c>
      <c r="B123" t="s">
        <v>24</v>
      </c>
      <c r="C123">
        <v>2140</v>
      </c>
      <c r="D123" s="2">
        <v>43325</v>
      </c>
      <c r="E123" t="s">
        <v>25</v>
      </c>
      <c r="F123">
        <v>2140</v>
      </c>
      <c r="G123">
        <v>0</v>
      </c>
    </row>
    <row r="124" spans="1:7" x14ac:dyDescent="0.3">
      <c r="A124" s="2">
        <v>43325</v>
      </c>
      <c r="B124" t="s">
        <v>24</v>
      </c>
      <c r="C124">
        <v>40</v>
      </c>
      <c r="D124" s="2">
        <v>43325</v>
      </c>
      <c r="E124" t="s">
        <v>25</v>
      </c>
      <c r="F124">
        <v>40</v>
      </c>
      <c r="G124">
        <v>0</v>
      </c>
    </row>
    <row r="125" spans="1:7" x14ac:dyDescent="0.3">
      <c r="A125" s="2">
        <v>43326</v>
      </c>
      <c r="B125" t="s">
        <v>89</v>
      </c>
      <c r="C125">
        <v>-10</v>
      </c>
      <c r="D125" s="2">
        <v>43326</v>
      </c>
      <c r="E125" t="s">
        <v>27</v>
      </c>
      <c r="F125">
        <v>-10</v>
      </c>
      <c r="G125">
        <v>0</v>
      </c>
    </row>
    <row r="126" spans="1:7" x14ac:dyDescent="0.3">
      <c r="A126" s="2">
        <v>43326</v>
      </c>
      <c r="B126" t="s">
        <v>24</v>
      </c>
      <c r="C126">
        <v>162.5</v>
      </c>
      <c r="D126" s="2">
        <v>43326</v>
      </c>
      <c r="E126" t="s">
        <v>25</v>
      </c>
      <c r="F126">
        <v>162.5</v>
      </c>
      <c r="G126">
        <v>0</v>
      </c>
    </row>
    <row r="127" spans="1:7" x14ac:dyDescent="0.3">
      <c r="A127" s="2">
        <v>43326</v>
      </c>
      <c r="B127" t="s">
        <v>90</v>
      </c>
      <c r="C127">
        <v>-19.989999999999998</v>
      </c>
      <c r="D127" s="2">
        <v>43326</v>
      </c>
      <c r="E127" t="s">
        <v>27</v>
      </c>
      <c r="F127">
        <v>-19.989999999999998</v>
      </c>
      <c r="G127">
        <v>0</v>
      </c>
    </row>
    <row r="128" spans="1:7" x14ac:dyDescent="0.3">
      <c r="A128" s="2">
        <v>43326</v>
      </c>
      <c r="B128" t="s">
        <v>91</v>
      </c>
      <c r="C128">
        <v>-84.99</v>
      </c>
      <c r="D128" s="2">
        <v>43326</v>
      </c>
      <c r="E128" t="s">
        <v>27</v>
      </c>
      <c r="F128">
        <v>-84.99</v>
      </c>
      <c r="G128">
        <v>0</v>
      </c>
    </row>
    <row r="129" spans="1:7" x14ac:dyDescent="0.3">
      <c r="A129" s="2">
        <v>43327</v>
      </c>
      <c r="B129" t="s">
        <v>24</v>
      </c>
      <c r="C129">
        <v>962.5</v>
      </c>
      <c r="D129" s="2">
        <v>43327</v>
      </c>
      <c r="E129" t="s">
        <v>25</v>
      </c>
      <c r="F129">
        <v>962.5</v>
      </c>
      <c r="G129">
        <v>0</v>
      </c>
    </row>
    <row r="130" spans="1:7" x14ac:dyDescent="0.3">
      <c r="A130" s="2">
        <v>43328</v>
      </c>
      <c r="B130" t="s">
        <v>92</v>
      </c>
      <c r="C130">
        <v>-29</v>
      </c>
      <c r="D130" s="2">
        <v>43328</v>
      </c>
      <c r="E130" t="s">
        <v>27</v>
      </c>
      <c r="F130">
        <v>-29</v>
      </c>
      <c r="G130">
        <v>0</v>
      </c>
    </row>
    <row r="131" spans="1:7" x14ac:dyDescent="0.3">
      <c r="A131" s="2">
        <v>43328</v>
      </c>
      <c r="B131" t="s">
        <v>24</v>
      </c>
      <c r="C131">
        <v>60</v>
      </c>
      <c r="D131" s="2">
        <v>43328</v>
      </c>
      <c r="E131" t="s">
        <v>25</v>
      </c>
      <c r="F131">
        <v>60</v>
      </c>
      <c r="G131">
        <v>0</v>
      </c>
    </row>
    <row r="132" spans="1:7" x14ac:dyDescent="0.3">
      <c r="A132" s="2">
        <v>43329</v>
      </c>
      <c r="B132" t="s">
        <v>24</v>
      </c>
      <c r="C132">
        <v>520</v>
      </c>
      <c r="D132" s="2">
        <v>43329</v>
      </c>
      <c r="E132" t="s">
        <v>25</v>
      </c>
      <c r="F132">
        <v>520</v>
      </c>
      <c r="G132">
        <v>0</v>
      </c>
    </row>
    <row r="133" spans="1:7" x14ac:dyDescent="0.3">
      <c r="A133" s="2">
        <v>43332</v>
      </c>
      <c r="B133" t="s">
        <v>24</v>
      </c>
      <c r="C133">
        <v>60</v>
      </c>
      <c r="D133" s="2">
        <v>43332</v>
      </c>
      <c r="E133" t="s">
        <v>25</v>
      </c>
      <c r="F133">
        <v>60</v>
      </c>
      <c r="G133">
        <v>0</v>
      </c>
    </row>
    <row r="134" spans="1:7" x14ac:dyDescent="0.3">
      <c r="A134" s="2">
        <v>43332</v>
      </c>
      <c r="B134" t="s">
        <v>24</v>
      </c>
      <c r="C134">
        <v>143.75</v>
      </c>
      <c r="D134" s="2">
        <v>43332</v>
      </c>
      <c r="E134" t="s">
        <v>25</v>
      </c>
      <c r="F134">
        <v>143.75</v>
      </c>
      <c r="G134">
        <v>0</v>
      </c>
    </row>
    <row r="135" spans="1:7" x14ac:dyDescent="0.3">
      <c r="A135" s="2">
        <v>43333</v>
      </c>
      <c r="B135" t="s">
        <v>93</v>
      </c>
      <c r="C135">
        <v>-27.64</v>
      </c>
      <c r="D135" s="2">
        <v>43333</v>
      </c>
      <c r="E135" t="s">
        <v>27</v>
      </c>
      <c r="F135">
        <v>-27.64</v>
      </c>
      <c r="G135">
        <v>0</v>
      </c>
    </row>
    <row r="136" spans="1:7" x14ac:dyDescent="0.3">
      <c r="A136" s="2">
        <v>43333</v>
      </c>
      <c r="B136" t="s">
        <v>24</v>
      </c>
      <c r="C136">
        <v>82.5</v>
      </c>
      <c r="D136" s="2">
        <v>43333</v>
      </c>
      <c r="E136" t="s">
        <v>25</v>
      </c>
      <c r="F136">
        <v>82.5</v>
      </c>
      <c r="G136">
        <v>0</v>
      </c>
    </row>
    <row r="137" spans="1:7" x14ac:dyDescent="0.3">
      <c r="A137" s="2">
        <v>43334</v>
      </c>
      <c r="B137" t="s">
        <v>24</v>
      </c>
      <c r="C137">
        <v>572.5</v>
      </c>
      <c r="D137" s="2">
        <v>43334</v>
      </c>
      <c r="E137" t="s">
        <v>25</v>
      </c>
      <c r="F137">
        <v>572.5</v>
      </c>
      <c r="G137">
        <v>0</v>
      </c>
    </row>
    <row r="138" spans="1:7" x14ac:dyDescent="0.3">
      <c r="A138" s="2">
        <v>43335</v>
      </c>
      <c r="B138" t="s">
        <v>24</v>
      </c>
      <c r="C138">
        <v>600</v>
      </c>
      <c r="D138" s="2">
        <v>43335</v>
      </c>
      <c r="E138" t="s">
        <v>25</v>
      </c>
      <c r="F138">
        <v>600</v>
      </c>
      <c r="G138">
        <v>0</v>
      </c>
    </row>
    <row r="139" spans="1:7" x14ac:dyDescent="0.3">
      <c r="A139" s="2">
        <v>43336</v>
      </c>
      <c r="B139" t="s">
        <v>94</v>
      </c>
      <c r="C139">
        <v>-3000</v>
      </c>
      <c r="D139" s="2">
        <v>43336</v>
      </c>
      <c r="E139" t="s">
        <v>27</v>
      </c>
      <c r="F139">
        <v>-3000</v>
      </c>
      <c r="G139">
        <v>0</v>
      </c>
    </row>
    <row r="140" spans="1:7" x14ac:dyDescent="0.3">
      <c r="A140" s="2">
        <v>43336</v>
      </c>
      <c r="B140" t="s">
        <v>24</v>
      </c>
      <c r="C140">
        <v>20</v>
      </c>
      <c r="D140" s="2">
        <v>43336</v>
      </c>
      <c r="E140" t="s">
        <v>25</v>
      </c>
      <c r="F140">
        <v>20</v>
      </c>
      <c r="G140">
        <v>0</v>
      </c>
    </row>
    <row r="141" spans="1:7" x14ac:dyDescent="0.3">
      <c r="A141" s="2">
        <v>43339</v>
      </c>
      <c r="B141" t="s">
        <v>95</v>
      </c>
      <c r="C141">
        <v>-59.87</v>
      </c>
      <c r="D141" s="2">
        <v>43339</v>
      </c>
      <c r="E141" t="s">
        <v>27</v>
      </c>
      <c r="F141">
        <v>-59.87</v>
      </c>
      <c r="G141">
        <v>0</v>
      </c>
    </row>
    <row r="142" spans="1:7" x14ac:dyDescent="0.3">
      <c r="A142" s="2">
        <v>43339</v>
      </c>
      <c r="B142" t="s">
        <v>24</v>
      </c>
      <c r="C142">
        <v>82.5</v>
      </c>
      <c r="D142" s="2">
        <v>43339</v>
      </c>
      <c r="E142" t="s">
        <v>25</v>
      </c>
      <c r="F142">
        <v>82.5</v>
      </c>
      <c r="G142">
        <v>0</v>
      </c>
    </row>
    <row r="143" spans="1:7" x14ac:dyDescent="0.3">
      <c r="A143" s="2">
        <v>43339</v>
      </c>
      <c r="B143" t="s">
        <v>24</v>
      </c>
      <c r="C143">
        <v>832.5</v>
      </c>
      <c r="D143" s="2">
        <v>43339</v>
      </c>
      <c r="E143" t="s">
        <v>25</v>
      </c>
      <c r="F143">
        <v>832.5</v>
      </c>
      <c r="G143">
        <v>0</v>
      </c>
    </row>
    <row r="144" spans="1:7" x14ac:dyDescent="0.3">
      <c r="A144" s="2">
        <v>43339</v>
      </c>
      <c r="B144" t="s">
        <v>96</v>
      </c>
      <c r="C144">
        <v>-220.9</v>
      </c>
      <c r="D144" s="2">
        <v>43339</v>
      </c>
      <c r="E144" t="s">
        <v>27</v>
      </c>
      <c r="F144">
        <v>-220.9</v>
      </c>
      <c r="G144">
        <v>0</v>
      </c>
    </row>
    <row r="145" spans="1:7" x14ac:dyDescent="0.3">
      <c r="A145" s="2">
        <v>43339</v>
      </c>
      <c r="B145" t="s">
        <v>24</v>
      </c>
      <c r="C145">
        <v>592.5</v>
      </c>
      <c r="D145" s="2">
        <v>43339</v>
      </c>
      <c r="E145" t="s">
        <v>25</v>
      </c>
      <c r="F145">
        <v>592.5</v>
      </c>
      <c r="G145">
        <v>0</v>
      </c>
    </row>
    <row r="146" spans="1:7" x14ac:dyDescent="0.3">
      <c r="A146" s="2">
        <v>43341</v>
      </c>
      <c r="B146" t="s">
        <v>24</v>
      </c>
      <c r="C146">
        <v>150</v>
      </c>
      <c r="D146" s="2">
        <v>43341</v>
      </c>
      <c r="E146" t="s">
        <v>25</v>
      </c>
      <c r="F146">
        <v>150</v>
      </c>
      <c r="G146">
        <v>0</v>
      </c>
    </row>
    <row r="147" spans="1:7" x14ac:dyDescent="0.3">
      <c r="A147" s="2">
        <v>43341</v>
      </c>
      <c r="B147" t="s">
        <v>97</v>
      </c>
      <c r="C147">
        <v>-70.77</v>
      </c>
      <c r="D147" s="2">
        <v>43341</v>
      </c>
      <c r="E147" t="s">
        <v>27</v>
      </c>
      <c r="F147">
        <v>-70.77</v>
      </c>
      <c r="G147">
        <v>0</v>
      </c>
    </row>
    <row r="148" spans="1:7" x14ac:dyDescent="0.3">
      <c r="A148" s="2">
        <v>43342</v>
      </c>
      <c r="B148" t="s">
        <v>24</v>
      </c>
      <c r="C148">
        <v>40</v>
      </c>
      <c r="D148" s="2">
        <v>43342</v>
      </c>
      <c r="E148" t="s">
        <v>25</v>
      </c>
      <c r="F148">
        <v>40</v>
      </c>
      <c r="G148">
        <v>0</v>
      </c>
    </row>
    <row r="149" spans="1:7" x14ac:dyDescent="0.3">
      <c r="A149" s="2">
        <v>43343</v>
      </c>
      <c r="B149" t="s">
        <v>98</v>
      </c>
      <c r="C149">
        <v>-718.75</v>
      </c>
      <c r="D149" s="2">
        <v>43343</v>
      </c>
      <c r="E149" t="s">
        <v>27</v>
      </c>
      <c r="F149">
        <v>-718.75</v>
      </c>
      <c r="G149">
        <v>0</v>
      </c>
    </row>
    <row r="150" spans="1:7" x14ac:dyDescent="0.3">
      <c r="A150" s="2">
        <v>43343</v>
      </c>
      <c r="B150" t="s">
        <v>24</v>
      </c>
      <c r="C150">
        <v>-480</v>
      </c>
      <c r="D150" s="2">
        <v>43343</v>
      </c>
      <c r="E150" t="s">
        <v>27</v>
      </c>
      <c r="F150">
        <v>-480</v>
      </c>
      <c r="G150">
        <v>0</v>
      </c>
    </row>
    <row r="151" spans="1:7" x14ac:dyDescent="0.3">
      <c r="A151" s="2">
        <v>43343</v>
      </c>
      <c r="B151" t="s">
        <v>99</v>
      </c>
      <c r="C151">
        <v>-8827.7999999999993</v>
      </c>
      <c r="D151" s="2">
        <v>43343</v>
      </c>
      <c r="E151" t="s">
        <v>27</v>
      </c>
      <c r="F151">
        <v>-8827.7999999999993</v>
      </c>
      <c r="G151">
        <v>0</v>
      </c>
    </row>
    <row r="152" spans="1:7" x14ac:dyDescent="0.3">
      <c r="A152" s="2">
        <v>43347</v>
      </c>
      <c r="B152" t="s">
        <v>53</v>
      </c>
      <c r="C152">
        <v>-3423.52</v>
      </c>
      <c r="D152" s="2">
        <v>43347</v>
      </c>
      <c r="E152" t="s">
        <v>27</v>
      </c>
      <c r="F152">
        <v>-3423.52</v>
      </c>
      <c r="G152">
        <v>0</v>
      </c>
    </row>
    <row r="153" spans="1:7" x14ac:dyDescent="0.3">
      <c r="A153" s="2">
        <v>43347</v>
      </c>
      <c r="B153" t="s">
        <v>100</v>
      </c>
      <c r="C153">
        <v>-55</v>
      </c>
      <c r="D153" s="2">
        <v>43347</v>
      </c>
      <c r="E153" t="s">
        <v>27</v>
      </c>
      <c r="F153">
        <v>-55</v>
      </c>
      <c r="G153">
        <v>0</v>
      </c>
    </row>
    <row r="154" spans="1:7" x14ac:dyDescent="0.3">
      <c r="A154" s="2">
        <v>43347</v>
      </c>
      <c r="B154" t="s">
        <v>24</v>
      </c>
      <c r="C154">
        <v>632.5</v>
      </c>
      <c r="D154" s="2">
        <v>43347</v>
      </c>
      <c r="E154" t="s">
        <v>25</v>
      </c>
      <c r="F154">
        <v>632.5</v>
      </c>
      <c r="G154">
        <v>0</v>
      </c>
    </row>
    <row r="155" spans="1:7" x14ac:dyDescent="0.3">
      <c r="A155" s="2">
        <v>43348</v>
      </c>
      <c r="B155" t="s">
        <v>24</v>
      </c>
      <c r="C155">
        <v>205</v>
      </c>
      <c r="D155" s="2">
        <v>43348</v>
      </c>
      <c r="E155" t="s">
        <v>25</v>
      </c>
      <c r="F155">
        <v>205</v>
      </c>
      <c r="G155">
        <v>0</v>
      </c>
    </row>
    <row r="156" spans="1:7" x14ac:dyDescent="0.3">
      <c r="A156" s="2">
        <v>43349</v>
      </c>
      <c r="B156" t="s">
        <v>101</v>
      </c>
      <c r="C156">
        <v>-39.950000000000003</v>
      </c>
      <c r="D156" s="2">
        <v>43349</v>
      </c>
      <c r="E156" t="s">
        <v>27</v>
      </c>
      <c r="F156">
        <v>-39.950000000000003</v>
      </c>
      <c r="G156">
        <v>0</v>
      </c>
    </row>
    <row r="157" spans="1:7" x14ac:dyDescent="0.3">
      <c r="A157" s="2">
        <v>43349</v>
      </c>
      <c r="B157" t="s">
        <v>24</v>
      </c>
      <c r="C157">
        <v>20</v>
      </c>
      <c r="D157" s="2">
        <v>43349</v>
      </c>
      <c r="E157" t="s">
        <v>25</v>
      </c>
      <c r="F157">
        <v>20</v>
      </c>
      <c r="G157">
        <v>0</v>
      </c>
    </row>
    <row r="158" spans="1:7" x14ac:dyDescent="0.3">
      <c r="A158" s="2">
        <v>43349</v>
      </c>
      <c r="B158" t="s">
        <v>102</v>
      </c>
      <c r="C158">
        <v>-34.950000000000003</v>
      </c>
      <c r="D158" s="2">
        <v>43349</v>
      </c>
      <c r="E158" t="s">
        <v>27</v>
      </c>
      <c r="F158">
        <v>-34.950000000000003</v>
      </c>
      <c r="G158">
        <v>0</v>
      </c>
    </row>
    <row r="159" spans="1:7" x14ac:dyDescent="0.3">
      <c r="A159" s="2">
        <v>43350</v>
      </c>
      <c r="B159" t="s">
        <v>24</v>
      </c>
      <c r="C159">
        <v>572.5</v>
      </c>
      <c r="D159" s="2">
        <v>43350</v>
      </c>
      <c r="E159" t="s">
        <v>25</v>
      </c>
      <c r="F159">
        <v>572.5</v>
      </c>
      <c r="G159">
        <v>0</v>
      </c>
    </row>
    <row r="160" spans="1:7" x14ac:dyDescent="0.3">
      <c r="A160" s="2">
        <v>43353</v>
      </c>
      <c r="B160" t="s">
        <v>24</v>
      </c>
      <c r="C160">
        <v>232.5</v>
      </c>
      <c r="D160" s="2">
        <v>43353</v>
      </c>
      <c r="E160" t="s">
        <v>25</v>
      </c>
      <c r="F160">
        <v>232.5</v>
      </c>
      <c r="G160">
        <v>0</v>
      </c>
    </row>
    <row r="161" spans="1:7" x14ac:dyDescent="0.3">
      <c r="A161" s="2">
        <v>43354</v>
      </c>
      <c r="B161" t="s">
        <v>24</v>
      </c>
      <c r="C161">
        <v>200</v>
      </c>
      <c r="D161" s="2">
        <v>43354</v>
      </c>
      <c r="E161" t="s">
        <v>25</v>
      </c>
      <c r="F161">
        <v>200</v>
      </c>
      <c r="G161">
        <v>0</v>
      </c>
    </row>
    <row r="162" spans="1:7" x14ac:dyDescent="0.3">
      <c r="A162" s="2">
        <v>43355</v>
      </c>
      <c r="B162" t="s">
        <v>24</v>
      </c>
      <c r="C162">
        <v>460</v>
      </c>
      <c r="D162" s="2">
        <v>43355</v>
      </c>
      <c r="E162" t="s">
        <v>25</v>
      </c>
      <c r="F162">
        <v>460</v>
      </c>
      <c r="G162">
        <v>0</v>
      </c>
    </row>
    <row r="163" spans="1:7" x14ac:dyDescent="0.3">
      <c r="A163" s="2">
        <v>43356</v>
      </c>
      <c r="B163" t="s">
        <v>103</v>
      </c>
      <c r="C163">
        <v>-15.99</v>
      </c>
      <c r="D163" s="2">
        <v>43356</v>
      </c>
      <c r="E163" t="s">
        <v>27</v>
      </c>
      <c r="F163">
        <v>-15.99</v>
      </c>
      <c r="G163">
        <v>0</v>
      </c>
    </row>
    <row r="164" spans="1:7" x14ac:dyDescent="0.3">
      <c r="A164" s="2">
        <v>43356</v>
      </c>
      <c r="B164" t="s">
        <v>24</v>
      </c>
      <c r="C164">
        <v>820</v>
      </c>
      <c r="D164" s="2">
        <v>43356</v>
      </c>
      <c r="E164" t="s">
        <v>25</v>
      </c>
      <c r="F164">
        <v>820</v>
      </c>
      <c r="G164">
        <v>0</v>
      </c>
    </row>
    <row r="165" spans="1:7" x14ac:dyDescent="0.3">
      <c r="A165" s="2">
        <v>43357</v>
      </c>
      <c r="B165" t="s">
        <v>104</v>
      </c>
      <c r="C165">
        <v>-84.99</v>
      </c>
      <c r="D165" s="2">
        <v>43357</v>
      </c>
      <c r="E165" t="s">
        <v>27</v>
      </c>
      <c r="F165">
        <v>-84.99</v>
      </c>
      <c r="G165">
        <v>0</v>
      </c>
    </row>
    <row r="166" spans="1:7" x14ac:dyDescent="0.3">
      <c r="A166" s="2">
        <v>43357</v>
      </c>
      <c r="B166" t="s">
        <v>105</v>
      </c>
      <c r="C166">
        <v>-10</v>
      </c>
      <c r="D166" s="2">
        <v>43357</v>
      </c>
      <c r="E166" t="s">
        <v>27</v>
      </c>
      <c r="F166">
        <v>-10</v>
      </c>
      <c r="G166">
        <v>0</v>
      </c>
    </row>
    <row r="167" spans="1:7" x14ac:dyDescent="0.3">
      <c r="A167" s="2">
        <v>43357</v>
      </c>
      <c r="B167" t="s">
        <v>24</v>
      </c>
      <c r="C167">
        <v>252.5</v>
      </c>
      <c r="D167" s="2">
        <v>43357</v>
      </c>
      <c r="E167" t="s">
        <v>25</v>
      </c>
      <c r="F167">
        <v>252.5</v>
      </c>
      <c r="G167">
        <v>0</v>
      </c>
    </row>
    <row r="168" spans="1:7" x14ac:dyDescent="0.3">
      <c r="A168" s="2">
        <v>43360</v>
      </c>
      <c r="B168" t="s">
        <v>106</v>
      </c>
      <c r="C168">
        <v>-29</v>
      </c>
      <c r="D168" s="2">
        <v>43360</v>
      </c>
      <c r="E168" t="s">
        <v>27</v>
      </c>
      <c r="F168">
        <v>-29</v>
      </c>
      <c r="G168">
        <v>0</v>
      </c>
    </row>
    <row r="169" spans="1:7" x14ac:dyDescent="0.3">
      <c r="A169" s="2">
        <v>43360</v>
      </c>
      <c r="B169" t="s">
        <v>24</v>
      </c>
      <c r="C169">
        <v>300</v>
      </c>
      <c r="D169" s="2">
        <v>43360</v>
      </c>
      <c r="E169" t="s">
        <v>25</v>
      </c>
      <c r="F169">
        <v>300</v>
      </c>
      <c r="G169">
        <v>0</v>
      </c>
    </row>
    <row r="170" spans="1:7" x14ac:dyDescent="0.3">
      <c r="A170" s="2">
        <v>43361</v>
      </c>
      <c r="B170" t="s">
        <v>24</v>
      </c>
      <c r="C170">
        <v>205</v>
      </c>
      <c r="D170" s="2">
        <v>43361</v>
      </c>
      <c r="E170" t="s">
        <v>25</v>
      </c>
      <c r="F170">
        <v>205</v>
      </c>
      <c r="G170">
        <v>0</v>
      </c>
    </row>
    <row r="171" spans="1:7" x14ac:dyDescent="0.3">
      <c r="A171" s="2">
        <v>43361</v>
      </c>
      <c r="B171" t="s">
        <v>107</v>
      </c>
      <c r="C171">
        <v>-5738.08</v>
      </c>
      <c r="D171" s="2">
        <v>43361</v>
      </c>
      <c r="E171" t="s">
        <v>27</v>
      </c>
      <c r="F171">
        <v>-5738.08</v>
      </c>
      <c r="G171">
        <v>0</v>
      </c>
    </row>
    <row r="172" spans="1:7" x14ac:dyDescent="0.3">
      <c r="A172" s="2">
        <v>43362</v>
      </c>
      <c r="B172" t="s">
        <v>24</v>
      </c>
      <c r="C172">
        <v>837.5</v>
      </c>
      <c r="D172" s="2">
        <v>43362</v>
      </c>
      <c r="E172" t="s">
        <v>25</v>
      </c>
      <c r="F172">
        <v>837.5</v>
      </c>
      <c r="G172">
        <v>0</v>
      </c>
    </row>
    <row r="173" spans="1:7" x14ac:dyDescent="0.3">
      <c r="A173" s="2">
        <v>43363</v>
      </c>
      <c r="B173" t="s">
        <v>24</v>
      </c>
      <c r="C173">
        <v>570</v>
      </c>
      <c r="D173" s="2">
        <v>43363</v>
      </c>
      <c r="E173" t="s">
        <v>25</v>
      </c>
      <c r="F173">
        <v>570</v>
      </c>
      <c r="G173">
        <v>0</v>
      </c>
    </row>
    <row r="174" spans="1:7" x14ac:dyDescent="0.3">
      <c r="A174" s="2">
        <v>43364</v>
      </c>
      <c r="B174" t="s">
        <v>24</v>
      </c>
      <c r="C174">
        <v>560</v>
      </c>
      <c r="D174" s="2">
        <v>43364</v>
      </c>
      <c r="E174" t="s">
        <v>25</v>
      </c>
      <c r="F174">
        <v>560</v>
      </c>
      <c r="G174">
        <v>0</v>
      </c>
    </row>
    <row r="175" spans="1:7" x14ac:dyDescent="0.3">
      <c r="A175" s="2">
        <v>43367</v>
      </c>
      <c r="B175" t="s">
        <v>24</v>
      </c>
      <c r="C175">
        <v>122.5</v>
      </c>
      <c r="D175" s="2">
        <v>43367</v>
      </c>
      <c r="E175" t="s">
        <v>25</v>
      </c>
      <c r="F175">
        <v>122.5</v>
      </c>
      <c r="G175">
        <v>0</v>
      </c>
    </row>
    <row r="176" spans="1:7" x14ac:dyDescent="0.3">
      <c r="A176" s="2">
        <v>43367</v>
      </c>
      <c r="B176" t="s">
        <v>24</v>
      </c>
      <c r="C176">
        <v>200</v>
      </c>
      <c r="D176" s="2">
        <v>43367</v>
      </c>
      <c r="E176" t="s">
        <v>25</v>
      </c>
      <c r="F176">
        <v>200</v>
      </c>
      <c r="G176">
        <v>0</v>
      </c>
    </row>
    <row r="177" spans="1:7" x14ac:dyDescent="0.3">
      <c r="A177" s="2">
        <v>43367</v>
      </c>
      <c r="B177" t="s">
        <v>24</v>
      </c>
      <c r="C177">
        <v>240</v>
      </c>
      <c r="D177" s="2">
        <v>43367</v>
      </c>
      <c r="E177" t="s">
        <v>25</v>
      </c>
      <c r="F177">
        <v>240</v>
      </c>
      <c r="G177">
        <v>0</v>
      </c>
    </row>
    <row r="178" spans="1:7" x14ac:dyDescent="0.3">
      <c r="A178" s="2">
        <v>43368</v>
      </c>
      <c r="B178" t="s">
        <v>24</v>
      </c>
      <c r="C178">
        <v>240</v>
      </c>
      <c r="D178" s="2">
        <v>43368</v>
      </c>
      <c r="E178" t="s">
        <v>25</v>
      </c>
      <c r="F178">
        <v>240</v>
      </c>
      <c r="G178">
        <v>0</v>
      </c>
    </row>
    <row r="179" spans="1:7" x14ac:dyDescent="0.3">
      <c r="A179" s="2">
        <v>43369</v>
      </c>
      <c r="B179" t="s">
        <v>108</v>
      </c>
      <c r="C179">
        <v>-3000</v>
      </c>
      <c r="D179" s="2">
        <v>43369</v>
      </c>
      <c r="E179" t="s">
        <v>27</v>
      </c>
      <c r="F179">
        <v>-3000</v>
      </c>
      <c r="G179">
        <v>0</v>
      </c>
    </row>
    <row r="180" spans="1:7" x14ac:dyDescent="0.3">
      <c r="A180" s="2">
        <v>43369</v>
      </c>
      <c r="B180" t="s">
        <v>109</v>
      </c>
      <c r="C180">
        <v>-58.24</v>
      </c>
      <c r="D180" s="2">
        <v>43369</v>
      </c>
      <c r="E180" t="s">
        <v>27</v>
      </c>
      <c r="F180">
        <v>-58.24</v>
      </c>
      <c r="G180">
        <v>0</v>
      </c>
    </row>
    <row r="181" spans="1:7" x14ac:dyDescent="0.3">
      <c r="A181" s="2">
        <v>43369</v>
      </c>
      <c r="B181" t="s">
        <v>110</v>
      </c>
      <c r="C181">
        <v>-59.87</v>
      </c>
      <c r="D181" s="2">
        <v>43369</v>
      </c>
      <c r="E181" t="s">
        <v>27</v>
      </c>
      <c r="F181">
        <v>-59.87</v>
      </c>
      <c r="G181">
        <v>0</v>
      </c>
    </row>
    <row r="182" spans="1:7" x14ac:dyDescent="0.3">
      <c r="A182" s="2">
        <v>43369</v>
      </c>
      <c r="B182" t="s">
        <v>24</v>
      </c>
      <c r="C182">
        <v>632.5</v>
      </c>
      <c r="D182" s="2">
        <v>43369</v>
      </c>
      <c r="E182" t="s">
        <v>25</v>
      </c>
      <c r="F182">
        <v>632.5</v>
      </c>
      <c r="G182">
        <v>0</v>
      </c>
    </row>
    <row r="183" spans="1:7" x14ac:dyDescent="0.3">
      <c r="A183" s="2">
        <v>43370</v>
      </c>
      <c r="B183" t="s">
        <v>24</v>
      </c>
      <c r="C183">
        <v>947.5</v>
      </c>
      <c r="D183" s="2">
        <v>43370</v>
      </c>
      <c r="E183" t="s">
        <v>25</v>
      </c>
      <c r="F183">
        <v>947.5</v>
      </c>
      <c r="G183">
        <v>0</v>
      </c>
    </row>
    <row r="184" spans="1:7" x14ac:dyDescent="0.3">
      <c r="A184" s="2">
        <v>43371</v>
      </c>
      <c r="B184" t="s">
        <v>111</v>
      </c>
      <c r="C184">
        <v>-70.77</v>
      </c>
      <c r="D184" s="2">
        <v>43371</v>
      </c>
      <c r="E184" t="s">
        <v>27</v>
      </c>
      <c r="F184">
        <v>-70.77</v>
      </c>
      <c r="G184">
        <v>0</v>
      </c>
    </row>
    <row r="185" spans="1:7" x14ac:dyDescent="0.3">
      <c r="A185" s="2">
        <v>43371</v>
      </c>
      <c r="B185" t="s">
        <v>24</v>
      </c>
      <c r="C185">
        <v>1120</v>
      </c>
      <c r="D185" s="2">
        <v>43371</v>
      </c>
      <c r="E185" t="s">
        <v>25</v>
      </c>
      <c r="F185">
        <v>1120</v>
      </c>
      <c r="G185">
        <v>0</v>
      </c>
    </row>
    <row r="186" spans="1:7" x14ac:dyDescent="0.3">
      <c r="A186" s="2">
        <v>43374</v>
      </c>
      <c r="B186" t="s">
        <v>24</v>
      </c>
      <c r="C186">
        <v>570</v>
      </c>
      <c r="D186" s="2">
        <v>43374</v>
      </c>
      <c r="E186" t="s">
        <v>25</v>
      </c>
      <c r="F186">
        <v>570</v>
      </c>
      <c r="G186">
        <v>0</v>
      </c>
    </row>
    <row r="187" spans="1:7" x14ac:dyDescent="0.3">
      <c r="A187" s="2">
        <v>43374</v>
      </c>
      <c r="B187" t="s">
        <v>24</v>
      </c>
      <c r="C187">
        <v>1562.5</v>
      </c>
      <c r="D187" s="2">
        <v>43374</v>
      </c>
      <c r="E187" t="s">
        <v>25</v>
      </c>
      <c r="F187">
        <v>1562.5</v>
      </c>
      <c r="G187">
        <v>0</v>
      </c>
    </row>
    <row r="188" spans="1:7" x14ac:dyDescent="0.3">
      <c r="A188" s="2">
        <v>43374</v>
      </c>
      <c r="B188" t="s">
        <v>24</v>
      </c>
      <c r="C188">
        <v>4820</v>
      </c>
      <c r="D188" s="2">
        <v>43374</v>
      </c>
      <c r="E188" t="s">
        <v>25</v>
      </c>
      <c r="F188">
        <v>4820</v>
      </c>
      <c r="G188">
        <v>0</v>
      </c>
    </row>
    <row r="189" spans="1:7" x14ac:dyDescent="0.3">
      <c r="A189" s="2">
        <v>43375</v>
      </c>
      <c r="B189" t="s">
        <v>53</v>
      </c>
      <c r="C189">
        <v>-720.79</v>
      </c>
      <c r="D189" s="2">
        <v>43375</v>
      </c>
      <c r="E189" t="s">
        <v>27</v>
      </c>
      <c r="F189">
        <v>-720.79</v>
      </c>
      <c r="G189">
        <v>0</v>
      </c>
    </row>
    <row r="190" spans="1:7" x14ac:dyDescent="0.3">
      <c r="A190" s="2">
        <v>43375</v>
      </c>
      <c r="B190" t="s">
        <v>112</v>
      </c>
      <c r="C190">
        <v>-55</v>
      </c>
      <c r="D190" s="2">
        <v>43375</v>
      </c>
      <c r="E190" t="s">
        <v>27</v>
      </c>
      <c r="F190">
        <v>-55</v>
      </c>
      <c r="G190">
        <v>0</v>
      </c>
    </row>
    <row r="191" spans="1:7" x14ac:dyDescent="0.3">
      <c r="A191" s="2">
        <v>43375</v>
      </c>
      <c r="B191" t="s">
        <v>24</v>
      </c>
      <c r="C191">
        <v>850</v>
      </c>
      <c r="D191" s="2">
        <v>43375</v>
      </c>
      <c r="E191" t="s">
        <v>25</v>
      </c>
      <c r="F191">
        <v>850</v>
      </c>
      <c r="G191">
        <v>0</v>
      </c>
    </row>
    <row r="192" spans="1:7" x14ac:dyDescent="0.3">
      <c r="A192" s="2">
        <v>43376</v>
      </c>
      <c r="B192" t="s">
        <v>24</v>
      </c>
      <c r="C192">
        <v>4336.25</v>
      </c>
      <c r="D192" s="2">
        <v>43376</v>
      </c>
      <c r="E192" t="s">
        <v>25</v>
      </c>
      <c r="F192">
        <v>4336.25</v>
      </c>
      <c r="G192">
        <v>0</v>
      </c>
    </row>
    <row r="193" spans="1:7" x14ac:dyDescent="0.3">
      <c r="A193" s="2">
        <v>43376</v>
      </c>
      <c r="B193" t="s">
        <v>113</v>
      </c>
      <c r="C193">
        <v>-34.950000000000003</v>
      </c>
      <c r="D193" s="2">
        <v>43376</v>
      </c>
      <c r="E193" t="s">
        <v>27</v>
      </c>
      <c r="F193">
        <v>-34.950000000000003</v>
      </c>
      <c r="G193">
        <v>0</v>
      </c>
    </row>
    <row r="194" spans="1:7" x14ac:dyDescent="0.3">
      <c r="A194" s="2">
        <v>43377</v>
      </c>
      <c r="B194" t="s">
        <v>24</v>
      </c>
      <c r="C194">
        <v>456.25</v>
      </c>
      <c r="D194" s="2">
        <v>43377</v>
      </c>
      <c r="E194" t="s">
        <v>25</v>
      </c>
      <c r="F194">
        <v>456.25</v>
      </c>
      <c r="G194">
        <v>0</v>
      </c>
    </row>
    <row r="195" spans="1:7" x14ac:dyDescent="0.3">
      <c r="A195" s="2">
        <v>43377</v>
      </c>
      <c r="B195" t="s">
        <v>114</v>
      </c>
      <c r="C195">
        <v>-39.950000000000003</v>
      </c>
      <c r="D195" s="2">
        <v>43377</v>
      </c>
      <c r="E195" t="s">
        <v>27</v>
      </c>
      <c r="F195">
        <v>-39.950000000000003</v>
      </c>
      <c r="G195">
        <v>0</v>
      </c>
    </row>
    <row r="196" spans="1:7" x14ac:dyDescent="0.3">
      <c r="A196" s="2">
        <v>43378</v>
      </c>
      <c r="B196" t="s">
        <v>115</v>
      </c>
      <c r="C196">
        <v>-69.97</v>
      </c>
      <c r="D196" s="2">
        <v>43378</v>
      </c>
      <c r="E196" t="s">
        <v>27</v>
      </c>
      <c r="F196">
        <v>-69.97</v>
      </c>
      <c r="G196">
        <v>0</v>
      </c>
    </row>
    <row r="197" spans="1:7" x14ac:dyDescent="0.3">
      <c r="A197" s="2">
        <v>43378</v>
      </c>
      <c r="B197" t="s">
        <v>24</v>
      </c>
      <c r="C197">
        <v>1540</v>
      </c>
      <c r="D197" s="2">
        <v>43378</v>
      </c>
      <c r="E197" t="s">
        <v>25</v>
      </c>
      <c r="F197">
        <v>1540</v>
      </c>
      <c r="G197">
        <v>0</v>
      </c>
    </row>
    <row r="198" spans="1:7" x14ac:dyDescent="0.3">
      <c r="A198" s="2">
        <v>43382</v>
      </c>
      <c r="B198" t="s">
        <v>24</v>
      </c>
      <c r="C198">
        <v>246.25</v>
      </c>
      <c r="D198" s="2">
        <v>43382</v>
      </c>
      <c r="E198" t="s">
        <v>25</v>
      </c>
      <c r="F198">
        <v>246.25</v>
      </c>
      <c r="G198">
        <v>0</v>
      </c>
    </row>
    <row r="199" spans="1:7" x14ac:dyDescent="0.3">
      <c r="A199" s="2">
        <v>43382</v>
      </c>
      <c r="B199" t="s">
        <v>24</v>
      </c>
      <c r="C199">
        <v>20</v>
      </c>
      <c r="D199" s="2">
        <v>43382</v>
      </c>
      <c r="E199" t="s">
        <v>25</v>
      </c>
      <c r="F199">
        <v>20</v>
      </c>
      <c r="G199">
        <v>0</v>
      </c>
    </row>
    <row r="200" spans="1:7" x14ac:dyDescent="0.3">
      <c r="A200" s="2">
        <v>43382</v>
      </c>
      <c r="B200" t="s">
        <v>116</v>
      </c>
      <c r="C200">
        <v>-644.52</v>
      </c>
      <c r="D200" s="2">
        <v>43382</v>
      </c>
      <c r="E200" t="s">
        <v>27</v>
      </c>
      <c r="F200">
        <v>-644.52</v>
      </c>
      <c r="G200">
        <v>0</v>
      </c>
    </row>
    <row r="201" spans="1:7" x14ac:dyDescent="0.3">
      <c r="A201" s="2">
        <v>43382</v>
      </c>
      <c r="B201" t="s">
        <v>24</v>
      </c>
      <c r="C201">
        <v>962.5</v>
      </c>
      <c r="D201" s="2">
        <v>43382</v>
      </c>
      <c r="E201" t="s">
        <v>25</v>
      </c>
      <c r="F201">
        <v>962.5</v>
      </c>
      <c r="G201">
        <v>0</v>
      </c>
    </row>
    <row r="202" spans="1:7" x14ac:dyDescent="0.3">
      <c r="A202" s="2">
        <v>43382</v>
      </c>
      <c r="B202" t="s">
        <v>117</v>
      </c>
      <c r="C202">
        <v>-3750</v>
      </c>
      <c r="D202" s="2">
        <v>43382</v>
      </c>
      <c r="E202" t="s">
        <v>27</v>
      </c>
      <c r="F202">
        <v>-3750</v>
      </c>
      <c r="G202">
        <v>0</v>
      </c>
    </row>
    <row r="203" spans="1:7" x14ac:dyDescent="0.3">
      <c r="A203" s="2">
        <v>43382</v>
      </c>
      <c r="B203" t="s">
        <v>118</v>
      </c>
      <c r="C203">
        <v>-1614.69</v>
      </c>
      <c r="D203" s="2">
        <v>43382</v>
      </c>
      <c r="E203" t="s">
        <v>27</v>
      </c>
      <c r="F203">
        <v>-1614.69</v>
      </c>
      <c r="G203">
        <v>0</v>
      </c>
    </row>
    <row r="204" spans="1:7" x14ac:dyDescent="0.3">
      <c r="A204" s="2">
        <v>43383</v>
      </c>
      <c r="B204" t="s">
        <v>31</v>
      </c>
      <c r="C204">
        <v>1350</v>
      </c>
      <c r="D204" s="2">
        <v>43383</v>
      </c>
      <c r="E204" t="s">
        <v>25</v>
      </c>
      <c r="F204">
        <v>1350</v>
      </c>
      <c r="G204">
        <v>0</v>
      </c>
    </row>
    <row r="205" spans="1:7" x14ac:dyDescent="0.3">
      <c r="A205" s="2">
        <v>43383</v>
      </c>
      <c r="B205" t="s">
        <v>24</v>
      </c>
      <c r="C205">
        <v>595</v>
      </c>
      <c r="D205" s="2">
        <v>43383</v>
      </c>
      <c r="E205" t="s">
        <v>25</v>
      </c>
      <c r="F205">
        <v>595</v>
      </c>
      <c r="G205">
        <v>0</v>
      </c>
    </row>
    <row r="206" spans="1:7" x14ac:dyDescent="0.3">
      <c r="A206" s="2">
        <v>43383</v>
      </c>
      <c r="B206" t="s">
        <v>119</v>
      </c>
      <c r="C206">
        <v>-9.99</v>
      </c>
      <c r="D206" s="2">
        <v>43383</v>
      </c>
      <c r="E206" t="s">
        <v>27</v>
      </c>
      <c r="F206">
        <v>-9.99</v>
      </c>
      <c r="G206">
        <v>0</v>
      </c>
    </row>
    <row r="207" spans="1:7" x14ac:dyDescent="0.3">
      <c r="A207" s="2">
        <v>43383</v>
      </c>
      <c r="B207" t="s">
        <v>120</v>
      </c>
      <c r="C207">
        <v>-35.94</v>
      </c>
      <c r="D207" s="2">
        <v>43383</v>
      </c>
      <c r="E207" t="s">
        <v>27</v>
      </c>
      <c r="F207">
        <v>-35.94</v>
      </c>
      <c r="G207">
        <v>0</v>
      </c>
    </row>
    <row r="208" spans="1:7" x14ac:dyDescent="0.3">
      <c r="A208" s="2">
        <v>43383</v>
      </c>
      <c r="B208" t="s">
        <v>31</v>
      </c>
      <c r="C208">
        <v>300</v>
      </c>
      <c r="D208" s="2">
        <v>43383</v>
      </c>
      <c r="E208" t="s">
        <v>25</v>
      </c>
      <c r="F208">
        <v>300</v>
      </c>
      <c r="G208">
        <v>0</v>
      </c>
    </row>
    <row r="209" spans="1:7" x14ac:dyDescent="0.3">
      <c r="A209" s="2">
        <v>43384</v>
      </c>
      <c r="B209" t="s">
        <v>24</v>
      </c>
      <c r="C209">
        <v>1040</v>
      </c>
      <c r="D209" s="2">
        <v>43384</v>
      </c>
      <c r="E209" t="s">
        <v>25</v>
      </c>
      <c r="F209">
        <v>1040</v>
      </c>
      <c r="G209">
        <v>0</v>
      </c>
    </row>
    <row r="210" spans="1:7" x14ac:dyDescent="0.3">
      <c r="A210" s="2">
        <v>43385</v>
      </c>
      <c r="B210" t="s">
        <v>24</v>
      </c>
      <c r="C210">
        <v>226.25</v>
      </c>
      <c r="D210" s="2">
        <v>43385</v>
      </c>
      <c r="E210" t="s">
        <v>25</v>
      </c>
      <c r="F210">
        <v>226.25</v>
      </c>
      <c r="G210">
        <v>0</v>
      </c>
    </row>
    <row r="211" spans="1:7" x14ac:dyDescent="0.3">
      <c r="A211" s="2">
        <v>43388</v>
      </c>
      <c r="B211" t="s">
        <v>121</v>
      </c>
      <c r="C211">
        <v>-87.85</v>
      </c>
      <c r="D211" s="2">
        <v>43388</v>
      </c>
      <c r="E211" t="s">
        <v>27</v>
      </c>
      <c r="F211">
        <v>-87.85</v>
      </c>
      <c r="G211">
        <v>0</v>
      </c>
    </row>
    <row r="212" spans="1:7" x14ac:dyDescent="0.3">
      <c r="A212" s="2">
        <v>43388</v>
      </c>
      <c r="B212" t="s">
        <v>122</v>
      </c>
      <c r="C212">
        <v>-1638.13</v>
      </c>
      <c r="D212" s="2">
        <v>43388</v>
      </c>
      <c r="E212" t="s">
        <v>27</v>
      </c>
      <c r="F212">
        <v>-1638.13</v>
      </c>
      <c r="G212">
        <v>0</v>
      </c>
    </row>
    <row r="213" spans="1:7" x14ac:dyDescent="0.3">
      <c r="A213" s="2">
        <v>43388</v>
      </c>
      <c r="B213" t="s">
        <v>24</v>
      </c>
      <c r="C213">
        <v>226.25</v>
      </c>
      <c r="D213" s="2">
        <v>43388</v>
      </c>
      <c r="E213" t="s">
        <v>25</v>
      </c>
      <c r="F213">
        <v>226.25</v>
      </c>
      <c r="G213">
        <v>0</v>
      </c>
    </row>
    <row r="214" spans="1:7" x14ac:dyDescent="0.3">
      <c r="A214" s="2">
        <v>43388</v>
      </c>
      <c r="B214" t="s">
        <v>123</v>
      </c>
      <c r="C214">
        <v>-15.99</v>
      </c>
      <c r="D214" s="2">
        <v>43388</v>
      </c>
      <c r="E214" t="s">
        <v>27</v>
      </c>
      <c r="F214">
        <v>-15.99</v>
      </c>
      <c r="G214">
        <v>0</v>
      </c>
    </row>
    <row r="215" spans="1:7" x14ac:dyDescent="0.3">
      <c r="A215" s="2">
        <v>43388</v>
      </c>
      <c r="B215" t="s">
        <v>24</v>
      </c>
      <c r="C215">
        <v>826.25</v>
      </c>
      <c r="D215" s="2">
        <v>43388</v>
      </c>
      <c r="E215" t="s">
        <v>25</v>
      </c>
      <c r="F215">
        <v>826.25</v>
      </c>
      <c r="G215">
        <v>0</v>
      </c>
    </row>
    <row r="216" spans="1:7" x14ac:dyDescent="0.3">
      <c r="A216" s="2">
        <v>43388</v>
      </c>
      <c r="B216" t="s">
        <v>24</v>
      </c>
      <c r="C216">
        <v>432.5</v>
      </c>
      <c r="D216" s="2">
        <v>43388</v>
      </c>
      <c r="E216" t="s">
        <v>25</v>
      </c>
      <c r="F216">
        <v>432.5</v>
      </c>
      <c r="G216">
        <v>0</v>
      </c>
    </row>
    <row r="217" spans="1:7" x14ac:dyDescent="0.3">
      <c r="A217" s="2">
        <v>43388</v>
      </c>
      <c r="B217" t="s">
        <v>124</v>
      </c>
      <c r="C217">
        <v>-13.46</v>
      </c>
      <c r="D217" s="2">
        <v>43388</v>
      </c>
      <c r="E217" t="s">
        <v>27</v>
      </c>
      <c r="F217">
        <v>-13.46</v>
      </c>
      <c r="G217">
        <v>0</v>
      </c>
    </row>
    <row r="218" spans="1:7" x14ac:dyDescent="0.3">
      <c r="A218" s="2">
        <v>43389</v>
      </c>
      <c r="B218" t="s">
        <v>125</v>
      </c>
      <c r="C218">
        <v>-26.56</v>
      </c>
      <c r="D218" s="2">
        <v>43389</v>
      </c>
      <c r="E218" t="s">
        <v>27</v>
      </c>
      <c r="F218">
        <v>-26.56</v>
      </c>
      <c r="G218">
        <v>0</v>
      </c>
    </row>
    <row r="219" spans="1:7" x14ac:dyDescent="0.3">
      <c r="A219" s="2">
        <v>43389</v>
      </c>
      <c r="B219" t="s">
        <v>125</v>
      </c>
      <c r="C219">
        <v>-43.65</v>
      </c>
      <c r="D219" s="2">
        <v>43389</v>
      </c>
      <c r="E219" t="s">
        <v>27</v>
      </c>
      <c r="F219">
        <v>-43.65</v>
      </c>
      <c r="G219">
        <v>0</v>
      </c>
    </row>
    <row r="220" spans="1:7" x14ac:dyDescent="0.3">
      <c r="A220" s="2">
        <v>43389</v>
      </c>
      <c r="B220" t="s">
        <v>126</v>
      </c>
      <c r="C220">
        <v>-29</v>
      </c>
      <c r="D220" s="2">
        <v>43389</v>
      </c>
      <c r="E220" t="s">
        <v>27</v>
      </c>
      <c r="F220">
        <v>-29</v>
      </c>
      <c r="G220">
        <v>0</v>
      </c>
    </row>
    <row r="221" spans="1:7" x14ac:dyDescent="0.3">
      <c r="A221" s="2">
        <v>43390</v>
      </c>
      <c r="B221" t="s">
        <v>24</v>
      </c>
      <c r="C221">
        <v>200</v>
      </c>
      <c r="D221" s="2">
        <v>43390</v>
      </c>
      <c r="E221" t="s">
        <v>25</v>
      </c>
      <c r="F221">
        <v>200</v>
      </c>
      <c r="G221">
        <v>0</v>
      </c>
    </row>
    <row r="222" spans="1:7" x14ac:dyDescent="0.3">
      <c r="A222" s="2">
        <v>43391</v>
      </c>
      <c r="B222" t="s">
        <v>127</v>
      </c>
      <c r="C222">
        <v>-25.88</v>
      </c>
      <c r="D222" s="2">
        <v>43391</v>
      </c>
      <c r="E222" t="s">
        <v>27</v>
      </c>
      <c r="F222">
        <v>-25.88</v>
      </c>
      <c r="G222">
        <v>0</v>
      </c>
    </row>
    <row r="223" spans="1:7" x14ac:dyDescent="0.3">
      <c r="A223" s="2">
        <v>43392</v>
      </c>
      <c r="B223" t="s">
        <v>24</v>
      </c>
      <c r="C223">
        <v>206.25</v>
      </c>
      <c r="D223" s="2">
        <v>43392</v>
      </c>
      <c r="E223" t="s">
        <v>25</v>
      </c>
      <c r="F223">
        <v>206.25</v>
      </c>
      <c r="G223">
        <v>0</v>
      </c>
    </row>
    <row r="224" spans="1:7" x14ac:dyDescent="0.3">
      <c r="A224" s="2">
        <v>43395</v>
      </c>
      <c r="B224" t="s">
        <v>128</v>
      </c>
      <c r="C224">
        <v>-69.989999999999995</v>
      </c>
      <c r="D224" s="2">
        <v>43395</v>
      </c>
      <c r="E224" t="s">
        <v>27</v>
      </c>
      <c r="F224">
        <v>-69.989999999999995</v>
      </c>
      <c r="G224">
        <v>0</v>
      </c>
    </row>
    <row r="225" spans="1:7" x14ac:dyDescent="0.3">
      <c r="A225" s="2">
        <v>43395</v>
      </c>
      <c r="B225" t="s">
        <v>24</v>
      </c>
      <c r="C225">
        <v>165</v>
      </c>
      <c r="D225" s="2">
        <v>43395</v>
      </c>
      <c r="E225" t="s">
        <v>25</v>
      </c>
      <c r="F225">
        <v>165</v>
      </c>
      <c r="G225">
        <v>0</v>
      </c>
    </row>
    <row r="226" spans="1:7" x14ac:dyDescent="0.3">
      <c r="A226" s="2">
        <v>43395</v>
      </c>
      <c r="B226" t="s">
        <v>24</v>
      </c>
      <c r="C226">
        <v>412.5</v>
      </c>
      <c r="D226" s="2">
        <v>43395</v>
      </c>
      <c r="E226" t="s">
        <v>25</v>
      </c>
      <c r="F226">
        <v>412.5</v>
      </c>
      <c r="G226">
        <v>0</v>
      </c>
    </row>
    <row r="227" spans="1:7" x14ac:dyDescent="0.3">
      <c r="A227" s="2">
        <v>43397</v>
      </c>
      <c r="B227" t="s">
        <v>129</v>
      </c>
      <c r="C227">
        <v>-6000</v>
      </c>
      <c r="D227" s="2">
        <v>43397</v>
      </c>
      <c r="E227" t="s">
        <v>27</v>
      </c>
      <c r="F227">
        <v>-6000</v>
      </c>
      <c r="G227">
        <v>0</v>
      </c>
    </row>
    <row r="228" spans="1:7" x14ac:dyDescent="0.3">
      <c r="A228" s="2">
        <v>43397</v>
      </c>
      <c r="B228" t="s">
        <v>24</v>
      </c>
      <c r="C228">
        <v>30</v>
      </c>
      <c r="D228" s="2">
        <v>43397</v>
      </c>
      <c r="E228" t="s">
        <v>25</v>
      </c>
      <c r="F228">
        <v>30</v>
      </c>
      <c r="G228">
        <v>0</v>
      </c>
    </row>
    <row r="229" spans="1:7" x14ac:dyDescent="0.3">
      <c r="A229" s="2">
        <v>43398</v>
      </c>
      <c r="B229" t="s">
        <v>24</v>
      </c>
      <c r="C229">
        <v>435</v>
      </c>
      <c r="D229" s="2">
        <v>43398</v>
      </c>
      <c r="E229" t="s">
        <v>25</v>
      </c>
      <c r="F229">
        <v>435</v>
      </c>
      <c r="G229">
        <v>0</v>
      </c>
    </row>
    <row r="230" spans="1:7" x14ac:dyDescent="0.3">
      <c r="A230" s="2">
        <v>43399</v>
      </c>
      <c r="B230" t="s">
        <v>130</v>
      </c>
      <c r="C230">
        <v>-59.87</v>
      </c>
      <c r="D230" s="2">
        <v>43399</v>
      </c>
      <c r="E230" t="s">
        <v>27</v>
      </c>
      <c r="F230">
        <v>-59.87</v>
      </c>
      <c r="G230">
        <v>0</v>
      </c>
    </row>
    <row r="231" spans="1:7" x14ac:dyDescent="0.3">
      <c r="A231" s="2">
        <v>43399</v>
      </c>
      <c r="B231" t="s">
        <v>24</v>
      </c>
      <c r="C231">
        <v>266.25</v>
      </c>
      <c r="D231" s="2">
        <v>43399</v>
      </c>
      <c r="E231" t="s">
        <v>25</v>
      </c>
      <c r="F231">
        <v>266.25</v>
      </c>
      <c r="G231">
        <v>0</v>
      </c>
    </row>
    <row r="232" spans="1:7" x14ac:dyDescent="0.3">
      <c r="A232" s="2">
        <v>43402</v>
      </c>
      <c r="B232" t="s">
        <v>24</v>
      </c>
      <c r="C232">
        <v>375</v>
      </c>
      <c r="D232" s="2">
        <v>43402</v>
      </c>
      <c r="E232" t="s">
        <v>25</v>
      </c>
      <c r="F232">
        <v>375</v>
      </c>
      <c r="G232">
        <v>0</v>
      </c>
    </row>
    <row r="233" spans="1:7" x14ac:dyDescent="0.3">
      <c r="A233" s="2">
        <v>43402</v>
      </c>
      <c r="B233" t="s">
        <v>131</v>
      </c>
      <c r="C233">
        <v>-70.77</v>
      </c>
      <c r="D233" s="2">
        <v>43402</v>
      </c>
      <c r="E233" t="s">
        <v>27</v>
      </c>
      <c r="F233">
        <v>-70.77</v>
      </c>
      <c r="G233">
        <v>0</v>
      </c>
    </row>
    <row r="234" spans="1:7" x14ac:dyDescent="0.3">
      <c r="A234" s="2">
        <v>43402</v>
      </c>
      <c r="B234" t="s">
        <v>132</v>
      </c>
      <c r="C234">
        <v>-91.46</v>
      </c>
      <c r="D234" s="2">
        <v>43402</v>
      </c>
      <c r="E234" t="s">
        <v>27</v>
      </c>
      <c r="F234">
        <v>-91.46</v>
      </c>
      <c r="G234">
        <v>0</v>
      </c>
    </row>
    <row r="235" spans="1:7" x14ac:dyDescent="0.3">
      <c r="A235" s="2">
        <v>43402</v>
      </c>
      <c r="B235" t="s">
        <v>133</v>
      </c>
      <c r="C235">
        <v>-39.99</v>
      </c>
      <c r="D235" s="2">
        <v>43402</v>
      </c>
      <c r="E235" t="s">
        <v>27</v>
      </c>
      <c r="F235">
        <v>-39.99</v>
      </c>
      <c r="G235">
        <v>0</v>
      </c>
    </row>
    <row r="236" spans="1:7" x14ac:dyDescent="0.3">
      <c r="A236" s="2">
        <v>43404</v>
      </c>
      <c r="B236" t="s">
        <v>134</v>
      </c>
      <c r="C236">
        <v>-23389.62</v>
      </c>
      <c r="D236" s="2">
        <v>43404</v>
      </c>
      <c r="E236" t="s">
        <v>27</v>
      </c>
      <c r="F236">
        <v>-23389.62</v>
      </c>
      <c r="G236">
        <v>0</v>
      </c>
    </row>
    <row r="237" spans="1:7" x14ac:dyDescent="0.3">
      <c r="A237" s="2">
        <v>43404</v>
      </c>
      <c r="B237" t="s">
        <v>24</v>
      </c>
      <c r="C237">
        <v>30</v>
      </c>
      <c r="D237" s="2">
        <v>43406</v>
      </c>
      <c r="E237" t="s">
        <v>25</v>
      </c>
      <c r="F237">
        <v>30</v>
      </c>
      <c r="G237">
        <v>0</v>
      </c>
    </row>
    <row r="238" spans="1:7" x14ac:dyDescent="0.3">
      <c r="A238" s="2">
        <v>43404</v>
      </c>
      <c r="B238" t="s">
        <v>135</v>
      </c>
      <c r="C238">
        <v>-16000</v>
      </c>
      <c r="D238" s="2">
        <v>43404</v>
      </c>
      <c r="E238" t="s">
        <v>27</v>
      </c>
      <c r="F238">
        <v>-16000</v>
      </c>
      <c r="G238">
        <v>0</v>
      </c>
    </row>
    <row r="239" spans="1:7" x14ac:dyDescent="0.3">
      <c r="A239" s="2">
        <v>43405</v>
      </c>
      <c r="B239" t="s">
        <v>24</v>
      </c>
      <c r="C239">
        <v>170</v>
      </c>
      <c r="D239" s="2">
        <v>43405</v>
      </c>
      <c r="E239" t="s">
        <v>25</v>
      </c>
      <c r="F239">
        <v>170</v>
      </c>
      <c r="G239">
        <v>0</v>
      </c>
    </row>
    <row r="240" spans="1:7" x14ac:dyDescent="0.3">
      <c r="A240" s="2">
        <v>43405</v>
      </c>
      <c r="B240" t="s">
        <v>136</v>
      </c>
      <c r="C240">
        <v>-175.38</v>
      </c>
      <c r="D240" s="2">
        <v>43405</v>
      </c>
      <c r="E240" t="s">
        <v>27</v>
      </c>
      <c r="F240">
        <v>-175.38</v>
      </c>
      <c r="G240">
        <v>0</v>
      </c>
    </row>
    <row r="241" spans="1:7" x14ac:dyDescent="0.3">
      <c r="A241" s="2">
        <v>43406</v>
      </c>
      <c r="B241" t="s">
        <v>137</v>
      </c>
      <c r="C241">
        <v>-55</v>
      </c>
      <c r="D241" s="2">
        <v>43406</v>
      </c>
      <c r="E241" t="s">
        <v>27</v>
      </c>
      <c r="F241">
        <v>-55</v>
      </c>
      <c r="G241">
        <v>0</v>
      </c>
    </row>
    <row r="242" spans="1:7" x14ac:dyDescent="0.3">
      <c r="A242" s="2">
        <v>43406</v>
      </c>
      <c r="B242" t="s">
        <v>53</v>
      </c>
      <c r="C242">
        <v>-613.51</v>
      </c>
      <c r="D242" s="2">
        <v>43406</v>
      </c>
      <c r="E242" t="s">
        <v>27</v>
      </c>
      <c r="F242">
        <v>-613.51</v>
      </c>
      <c r="G242">
        <v>0</v>
      </c>
    </row>
    <row r="243" spans="1:7" x14ac:dyDescent="0.3">
      <c r="A243" s="2">
        <v>43409</v>
      </c>
      <c r="B243" t="s">
        <v>31</v>
      </c>
      <c r="C243">
        <v>3900</v>
      </c>
      <c r="D243" s="2">
        <v>43409</v>
      </c>
      <c r="E243" t="s">
        <v>25</v>
      </c>
      <c r="F243">
        <v>3900</v>
      </c>
      <c r="G243">
        <v>0</v>
      </c>
    </row>
    <row r="244" spans="1:7" x14ac:dyDescent="0.3">
      <c r="A244" s="2">
        <v>43409</v>
      </c>
      <c r="B244" t="s">
        <v>138</v>
      </c>
      <c r="C244">
        <v>-34.950000000000003</v>
      </c>
      <c r="D244" s="2">
        <v>43409</v>
      </c>
      <c r="E244" t="s">
        <v>27</v>
      </c>
      <c r="F244">
        <v>-34.950000000000003</v>
      </c>
      <c r="G244">
        <v>0</v>
      </c>
    </row>
    <row r="245" spans="1:7" x14ac:dyDescent="0.3">
      <c r="A245" s="2">
        <v>43409</v>
      </c>
      <c r="B245" t="s">
        <v>24</v>
      </c>
      <c r="C245">
        <v>281.25</v>
      </c>
      <c r="D245" s="2">
        <v>43407</v>
      </c>
      <c r="E245" t="s">
        <v>25</v>
      </c>
      <c r="F245">
        <v>281.25</v>
      </c>
      <c r="G245">
        <v>0</v>
      </c>
    </row>
    <row r="246" spans="1:7" x14ac:dyDescent="0.3">
      <c r="A246" s="2">
        <v>43409</v>
      </c>
      <c r="B246" t="s">
        <v>31</v>
      </c>
      <c r="C246">
        <v>2700</v>
      </c>
      <c r="D246" s="2">
        <v>43409</v>
      </c>
      <c r="E246" t="s">
        <v>25</v>
      </c>
      <c r="F246">
        <v>2700</v>
      </c>
      <c r="G246">
        <v>0</v>
      </c>
    </row>
    <row r="247" spans="1:7" x14ac:dyDescent="0.3">
      <c r="A247" s="2">
        <v>43409</v>
      </c>
      <c r="B247" t="s">
        <v>24</v>
      </c>
      <c r="C247">
        <v>618.75</v>
      </c>
      <c r="D247" s="2">
        <v>43408</v>
      </c>
      <c r="E247" t="s">
        <v>25</v>
      </c>
      <c r="F247">
        <v>618.75</v>
      </c>
      <c r="G247">
        <v>0</v>
      </c>
    </row>
    <row r="248" spans="1:7" x14ac:dyDescent="0.3">
      <c r="A248" s="2">
        <v>43412</v>
      </c>
      <c r="B248" t="s">
        <v>24</v>
      </c>
      <c r="C248">
        <v>165</v>
      </c>
      <c r="D248" s="2">
        <v>43410</v>
      </c>
      <c r="E248" t="s">
        <v>25</v>
      </c>
      <c r="F248">
        <v>165</v>
      </c>
      <c r="G248">
        <v>0</v>
      </c>
    </row>
    <row r="249" spans="1:7" x14ac:dyDescent="0.3">
      <c r="A249" s="2">
        <v>43413</v>
      </c>
      <c r="B249" t="s">
        <v>24</v>
      </c>
      <c r="C249">
        <v>236.25</v>
      </c>
      <c r="D249" s="2">
        <v>43412</v>
      </c>
      <c r="E249" t="s">
        <v>25</v>
      </c>
      <c r="F249">
        <v>236.25</v>
      </c>
      <c r="G249">
        <v>0</v>
      </c>
    </row>
    <row r="250" spans="1:7" x14ac:dyDescent="0.3">
      <c r="A250" s="2">
        <v>43413</v>
      </c>
      <c r="B250" t="s">
        <v>139</v>
      </c>
      <c r="C250">
        <v>-6675</v>
      </c>
      <c r="D250" s="2">
        <v>43413</v>
      </c>
      <c r="E250" t="s">
        <v>27</v>
      </c>
      <c r="F250">
        <v>-6675</v>
      </c>
      <c r="G250">
        <v>0</v>
      </c>
    </row>
    <row r="251" spans="1:7" x14ac:dyDescent="0.3">
      <c r="A251" s="2">
        <v>43413</v>
      </c>
      <c r="B251" t="s">
        <v>140</v>
      </c>
      <c r="C251">
        <v>-7455.91</v>
      </c>
      <c r="D251" s="2">
        <v>43414</v>
      </c>
      <c r="E251" t="s">
        <v>27</v>
      </c>
      <c r="F251">
        <v>-7455.91</v>
      </c>
      <c r="G251">
        <v>0</v>
      </c>
    </row>
    <row r="252" spans="1:7" x14ac:dyDescent="0.3">
      <c r="A252" s="2">
        <v>43417</v>
      </c>
      <c r="B252" t="s">
        <v>24</v>
      </c>
      <c r="C252">
        <v>330</v>
      </c>
      <c r="D252" s="2">
        <v>43416</v>
      </c>
      <c r="E252" t="s">
        <v>25</v>
      </c>
      <c r="F252">
        <v>330</v>
      </c>
      <c r="G252">
        <v>0</v>
      </c>
    </row>
    <row r="253" spans="1:7" x14ac:dyDescent="0.3">
      <c r="A253" s="2">
        <v>43417</v>
      </c>
      <c r="B253" t="s">
        <v>141</v>
      </c>
      <c r="C253">
        <v>-9.99</v>
      </c>
      <c r="D253" s="2">
        <v>43417</v>
      </c>
      <c r="E253" t="s">
        <v>27</v>
      </c>
      <c r="F253">
        <v>-9.99</v>
      </c>
      <c r="G253">
        <v>0</v>
      </c>
    </row>
    <row r="254" spans="1:7" x14ac:dyDescent="0.3">
      <c r="A254" s="2">
        <v>43417</v>
      </c>
      <c r="B254" t="s">
        <v>142</v>
      </c>
      <c r="C254">
        <v>-15.99</v>
      </c>
      <c r="D254" s="2">
        <v>43417</v>
      </c>
      <c r="E254" t="s">
        <v>27</v>
      </c>
      <c r="F254">
        <v>-15.99</v>
      </c>
      <c r="G254">
        <v>0</v>
      </c>
    </row>
    <row r="255" spans="1:7" x14ac:dyDescent="0.3">
      <c r="A255" s="2">
        <v>43417</v>
      </c>
      <c r="B255" t="s">
        <v>24</v>
      </c>
      <c r="C255">
        <v>206.25</v>
      </c>
      <c r="D255" s="2">
        <v>43414</v>
      </c>
      <c r="E255" t="s">
        <v>25</v>
      </c>
      <c r="F255">
        <v>206.25</v>
      </c>
      <c r="G255">
        <v>0</v>
      </c>
    </row>
    <row r="256" spans="1:7" x14ac:dyDescent="0.3">
      <c r="A256" s="2">
        <v>43418</v>
      </c>
      <c r="B256" t="s">
        <v>143</v>
      </c>
      <c r="C256">
        <v>-88.39</v>
      </c>
      <c r="D256" s="2">
        <v>43418</v>
      </c>
      <c r="E256" t="s">
        <v>27</v>
      </c>
      <c r="F256">
        <v>-88.39</v>
      </c>
      <c r="G256">
        <v>0</v>
      </c>
    </row>
    <row r="257" spans="1:7" x14ac:dyDescent="0.3">
      <c r="A257" s="2">
        <v>43418</v>
      </c>
      <c r="B257" t="s">
        <v>144</v>
      </c>
      <c r="C257">
        <v>-12</v>
      </c>
      <c r="D257" s="2">
        <v>43418</v>
      </c>
      <c r="E257" t="s">
        <v>27</v>
      </c>
      <c r="F257">
        <v>-12</v>
      </c>
      <c r="G257">
        <v>0</v>
      </c>
    </row>
    <row r="258" spans="1:7" x14ac:dyDescent="0.3">
      <c r="A258" s="2">
        <v>43418</v>
      </c>
      <c r="B258" t="s">
        <v>24</v>
      </c>
      <c r="C258">
        <v>25340</v>
      </c>
      <c r="D258" s="2">
        <v>43417</v>
      </c>
      <c r="E258" t="s">
        <v>25</v>
      </c>
      <c r="F258">
        <v>25340</v>
      </c>
      <c r="G258">
        <v>0</v>
      </c>
    </row>
    <row r="259" spans="1:7" x14ac:dyDescent="0.3">
      <c r="A259" s="2">
        <v>43419</v>
      </c>
      <c r="B259" t="s">
        <v>24</v>
      </c>
      <c r="C259">
        <v>3135</v>
      </c>
      <c r="D259" s="2">
        <v>43418</v>
      </c>
      <c r="E259" t="s">
        <v>25</v>
      </c>
      <c r="F259">
        <v>3135</v>
      </c>
      <c r="G259">
        <v>0</v>
      </c>
    </row>
    <row r="260" spans="1:7" x14ac:dyDescent="0.3">
      <c r="A260" s="2">
        <v>43420</v>
      </c>
      <c r="B260" t="s">
        <v>24</v>
      </c>
      <c r="C260">
        <v>6716.25</v>
      </c>
      <c r="D260" s="2">
        <v>43419</v>
      </c>
      <c r="E260" t="s">
        <v>25</v>
      </c>
      <c r="F260">
        <v>6716.25</v>
      </c>
      <c r="G260">
        <v>0</v>
      </c>
    </row>
    <row r="261" spans="1:7" x14ac:dyDescent="0.3">
      <c r="A261" s="2">
        <v>43420</v>
      </c>
      <c r="B261" t="s">
        <v>145</v>
      </c>
      <c r="C261">
        <v>-33</v>
      </c>
      <c r="D261" s="2">
        <v>43420</v>
      </c>
      <c r="E261" t="s">
        <v>27</v>
      </c>
      <c r="F261">
        <v>-33</v>
      </c>
      <c r="G261">
        <v>0</v>
      </c>
    </row>
    <row r="262" spans="1:7" x14ac:dyDescent="0.3">
      <c r="A262" s="2">
        <v>43423</v>
      </c>
      <c r="B262" t="s">
        <v>24</v>
      </c>
      <c r="C262">
        <v>2550</v>
      </c>
      <c r="D262" s="2">
        <v>43420</v>
      </c>
      <c r="E262" t="s">
        <v>25</v>
      </c>
      <c r="F262">
        <v>2550</v>
      </c>
      <c r="G262">
        <v>0</v>
      </c>
    </row>
    <row r="263" spans="1:7" x14ac:dyDescent="0.3">
      <c r="A263" s="2">
        <v>43423</v>
      </c>
      <c r="B263" t="s">
        <v>24</v>
      </c>
      <c r="C263">
        <v>165</v>
      </c>
      <c r="D263" s="2">
        <v>43422</v>
      </c>
      <c r="E263" t="s">
        <v>25</v>
      </c>
      <c r="F263">
        <v>165</v>
      </c>
      <c r="G263">
        <v>0</v>
      </c>
    </row>
    <row r="264" spans="1:7" x14ac:dyDescent="0.3">
      <c r="A264" s="2">
        <v>43423</v>
      </c>
      <c r="B264" t="s">
        <v>24</v>
      </c>
      <c r="C264">
        <v>1530</v>
      </c>
      <c r="D264" s="2">
        <v>43421</v>
      </c>
      <c r="E264" t="s">
        <v>25</v>
      </c>
      <c r="F264">
        <v>1530</v>
      </c>
      <c r="G264">
        <v>0</v>
      </c>
    </row>
    <row r="265" spans="1:7" x14ac:dyDescent="0.3">
      <c r="A265" s="2">
        <v>43424</v>
      </c>
      <c r="B265" t="s">
        <v>24</v>
      </c>
      <c r="C265">
        <v>495</v>
      </c>
      <c r="D265" s="2">
        <v>43423</v>
      </c>
      <c r="E265" t="s">
        <v>25</v>
      </c>
      <c r="F265">
        <v>495</v>
      </c>
      <c r="G265">
        <v>0</v>
      </c>
    </row>
    <row r="266" spans="1:7" x14ac:dyDescent="0.3">
      <c r="A266" s="2">
        <v>43425</v>
      </c>
      <c r="B266" t="s">
        <v>24</v>
      </c>
      <c r="C266">
        <v>1125</v>
      </c>
      <c r="D266" s="2">
        <v>43424</v>
      </c>
      <c r="E266" t="s">
        <v>25</v>
      </c>
      <c r="F266">
        <v>1125</v>
      </c>
      <c r="G266">
        <v>0</v>
      </c>
    </row>
    <row r="267" spans="1:7" x14ac:dyDescent="0.3">
      <c r="A267" s="2">
        <v>43425</v>
      </c>
      <c r="B267" t="s">
        <v>146</v>
      </c>
      <c r="C267">
        <v>-6995</v>
      </c>
      <c r="D267" s="2">
        <v>43425</v>
      </c>
      <c r="E267" t="s">
        <v>27</v>
      </c>
      <c r="F267">
        <v>-6995</v>
      </c>
      <c r="G267">
        <v>0</v>
      </c>
    </row>
    <row r="268" spans="1:7" x14ac:dyDescent="0.3">
      <c r="A268" s="2">
        <v>43427</v>
      </c>
      <c r="B268" t="s">
        <v>24</v>
      </c>
      <c r="C268">
        <v>1470</v>
      </c>
      <c r="D268" s="2">
        <v>43425</v>
      </c>
      <c r="E268" t="s">
        <v>25</v>
      </c>
      <c r="F268">
        <v>1470</v>
      </c>
      <c r="G268">
        <v>0</v>
      </c>
    </row>
    <row r="269" spans="1:7" x14ac:dyDescent="0.3">
      <c r="A269" s="2">
        <v>43427</v>
      </c>
      <c r="B269" t="s">
        <v>24</v>
      </c>
      <c r="C269">
        <v>1031.25</v>
      </c>
      <c r="D269" s="2">
        <v>43426</v>
      </c>
      <c r="E269" t="s">
        <v>25</v>
      </c>
      <c r="F269">
        <v>1031.25</v>
      </c>
      <c r="G269">
        <v>0</v>
      </c>
    </row>
    <row r="270" spans="1:7" x14ac:dyDescent="0.3">
      <c r="A270" s="2">
        <v>43427</v>
      </c>
      <c r="B270" t="s">
        <v>147</v>
      </c>
      <c r="C270">
        <v>-195.49</v>
      </c>
      <c r="D270" s="2">
        <v>43427</v>
      </c>
      <c r="E270" t="s">
        <v>27</v>
      </c>
      <c r="F270">
        <v>-195.49</v>
      </c>
      <c r="G270">
        <v>0</v>
      </c>
    </row>
    <row r="271" spans="1:7" x14ac:dyDescent="0.3">
      <c r="A271" s="2">
        <v>43430</v>
      </c>
      <c r="B271" t="s">
        <v>24</v>
      </c>
      <c r="C271">
        <v>165</v>
      </c>
      <c r="D271" s="2">
        <v>43429</v>
      </c>
      <c r="E271" t="s">
        <v>25</v>
      </c>
      <c r="F271">
        <v>165</v>
      </c>
      <c r="G271">
        <v>0</v>
      </c>
    </row>
    <row r="272" spans="1:7" x14ac:dyDescent="0.3">
      <c r="A272" s="2">
        <v>43430</v>
      </c>
      <c r="B272" t="s">
        <v>148</v>
      </c>
      <c r="C272">
        <v>-3000</v>
      </c>
      <c r="D272" s="2">
        <v>43430</v>
      </c>
      <c r="E272" t="s">
        <v>27</v>
      </c>
      <c r="F272">
        <v>-3000</v>
      </c>
      <c r="G272">
        <v>0</v>
      </c>
    </row>
    <row r="273" spans="1:7" x14ac:dyDescent="0.3">
      <c r="A273" s="2">
        <v>43430</v>
      </c>
      <c r="B273" t="s">
        <v>31</v>
      </c>
      <c r="C273">
        <v>2300</v>
      </c>
      <c r="D273" s="2">
        <v>43430</v>
      </c>
      <c r="E273" t="s">
        <v>25</v>
      </c>
      <c r="F273">
        <v>2300</v>
      </c>
      <c r="G273">
        <v>0</v>
      </c>
    </row>
    <row r="274" spans="1:7" x14ac:dyDescent="0.3">
      <c r="A274" s="2">
        <v>43430</v>
      </c>
      <c r="B274" t="s">
        <v>24</v>
      </c>
      <c r="C274">
        <v>630</v>
      </c>
      <c r="D274" s="2">
        <v>43427</v>
      </c>
      <c r="E274" t="s">
        <v>25</v>
      </c>
      <c r="F274">
        <v>630</v>
      </c>
      <c r="G274">
        <v>0</v>
      </c>
    </row>
    <row r="275" spans="1:7" x14ac:dyDescent="0.3">
      <c r="A275" s="2">
        <v>43430</v>
      </c>
      <c r="B275" t="s">
        <v>149</v>
      </c>
      <c r="C275">
        <v>-59.87</v>
      </c>
      <c r="D275" s="2">
        <v>43430</v>
      </c>
      <c r="E275" t="s">
        <v>27</v>
      </c>
      <c r="F275">
        <v>-59.87</v>
      </c>
      <c r="G275">
        <v>0</v>
      </c>
    </row>
    <row r="276" spans="1:7" x14ac:dyDescent="0.3">
      <c r="A276" s="2">
        <v>43431</v>
      </c>
      <c r="B276" t="s">
        <v>150</v>
      </c>
      <c r="C276">
        <v>-6995</v>
      </c>
      <c r="D276" s="2">
        <v>43431</v>
      </c>
      <c r="E276" t="s">
        <v>27</v>
      </c>
      <c r="F276">
        <v>-6995</v>
      </c>
      <c r="G276">
        <v>0</v>
      </c>
    </row>
    <row r="277" spans="1:7" x14ac:dyDescent="0.3">
      <c r="A277" s="2">
        <v>43431</v>
      </c>
      <c r="B277" t="s">
        <v>24</v>
      </c>
      <c r="C277">
        <v>495</v>
      </c>
      <c r="D277" s="2">
        <v>43430</v>
      </c>
      <c r="E277" t="s">
        <v>25</v>
      </c>
      <c r="F277">
        <v>495</v>
      </c>
      <c r="G277">
        <v>0</v>
      </c>
    </row>
    <row r="278" spans="1:7" x14ac:dyDescent="0.3">
      <c r="A278" s="2">
        <v>43431</v>
      </c>
      <c r="B278" t="s">
        <v>151</v>
      </c>
      <c r="C278">
        <v>-20000</v>
      </c>
      <c r="D278" s="2">
        <v>43431</v>
      </c>
      <c r="E278" t="s">
        <v>27</v>
      </c>
      <c r="F278">
        <v>-20000</v>
      </c>
      <c r="G278">
        <v>0</v>
      </c>
    </row>
    <row r="279" spans="1:7" x14ac:dyDescent="0.3">
      <c r="A279" s="2">
        <v>43431</v>
      </c>
      <c r="B279" t="s">
        <v>152</v>
      </c>
      <c r="C279">
        <v>-1956.52</v>
      </c>
      <c r="D279" s="2">
        <v>43431</v>
      </c>
      <c r="E279" t="s">
        <v>27</v>
      </c>
      <c r="F279">
        <v>-1956.52</v>
      </c>
      <c r="G279">
        <v>0</v>
      </c>
    </row>
    <row r="280" spans="1:7" x14ac:dyDescent="0.3">
      <c r="A280" s="2">
        <v>43432</v>
      </c>
      <c r="B280" t="s">
        <v>153</v>
      </c>
      <c r="C280">
        <v>-1250</v>
      </c>
      <c r="D280" s="2">
        <v>43432</v>
      </c>
      <c r="E280" t="s">
        <v>27</v>
      </c>
      <c r="F280">
        <v>-1250</v>
      </c>
      <c r="G280">
        <v>0</v>
      </c>
    </row>
    <row r="281" spans="1:7" x14ac:dyDescent="0.3">
      <c r="A281" s="2">
        <v>43432</v>
      </c>
      <c r="B281" t="s">
        <v>154</v>
      </c>
      <c r="C281">
        <v>-750</v>
      </c>
      <c r="D281" s="2">
        <v>43432</v>
      </c>
      <c r="E281" t="s">
        <v>27</v>
      </c>
      <c r="F281">
        <v>-750</v>
      </c>
      <c r="G281">
        <v>0</v>
      </c>
    </row>
    <row r="282" spans="1:7" x14ac:dyDescent="0.3">
      <c r="A282" s="2">
        <v>43432</v>
      </c>
      <c r="B282" t="s">
        <v>155</v>
      </c>
      <c r="C282">
        <v>-6000</v>
      </c>
      <c r="D282" s="2">
        <v>43432</v>
      </c>
      <c r="E282" t="s">
        <v>27</v>
      </c>
      <c r="F282">
        <v>-6000</v>
      </c>
      <c r="G282">
        <v>0</v>
      </c>
    </row>
    <row r="283" spans="1:7" x14ac:dyDescent="0.3">
      <c r="A283" s="2">
        <v>43432</v>
      </c>
      <c r="B283" t="s">
        <v>156</v>
      </c>
      <c r="C283">
        <v>-70.77</v>
      </c>
      <c r="D283" s="2">
        <v>43432</v>
      </c>
      <c r="E283" t="s">
        <v>27</v>
      </c>
      <c r="F283">
        <v>-70.77</v>
      </c>
      <c r="G283">
        <v>0</v>
      </c>
    </row>
    <row r="284" spans="1:7" x14ac:dyDescent="0.3">
      <c r="A284" s="2">
        <v>43432</v>
      </c>
      <c r="B284" t="s">
        <v>24</v>
      </c>
      <c r="C284">
        <v>825</v>
      </c>
      <c r="D284" s="2">
        <v>43431</v>
      </c>
      <c r="E284" t="s">
        <v>25</v>
      </c>
      <c r="F284">
        <v>825</v>
      </c>
      <c r="G284">
        <v>0</v>
      </c>
    </row>
    <row r="285" spans="1:7" x14ac:dyDescent="0.3">
      <c r="A285" s="2">
        <v>43432</v>
      </c>
      <c r="B285" t="s">
        <v>157</v>
      </c>
      <c r="C285">
        <v>-443.6</v>
      </c>
      <c r="D285" s="2">
        <v>43432</v>
      </c>
      <c r="E285" t="s">
        <v>27</v>
      </c>
      <c r="F285">
        <v>-443.6</v>
      </c>
      <c r="G285">
        <v>0</v>
      </c>
    </row>
    <row r="286" spans="1:7" x14ac:dyDescent="0.3">
      <c r="A286" s="2">
        <v>43432</v>
      </c>
      <c r="B286" t="s">
        <v>158</v>
      </c>
      <c r="C286">
        <v>-5110</v>
      </c>
      <c r="D286" s="2">
        <v>43432</v>
      </c>
      <c r="E286" t="s">
        <v>27</v>
      </c>
      <c r="F286">
        <v>-5110</v>
      </c>
      <c r="G286">
        <v>0</v>
      </c>
    </row>
    <row r="287" spans="1:7" x14ac:dyDescent="0.3">
      <c r="A287" s="2">
        <v>43433</v>
      </c>
      <c r="B287" t="s">
        <v>24</v>
      </c>
      <c r="C287">
        <v>3071.25</v>
      </c>
      <c r="D287" s="2">
        <v>43432</v>
      </c>
      <c r="E287" t="s">
        <v>25</v>
      </c>
      <c r="F287">
        <v>3071.25</v>
      </c>
      <c r="G287">
        <v>0</v>
      </c>
    </row>
    <row r="288" spans="1:7" x14ac:dyDescent="0.3">
      <c r="A288" s="2">
        <v>43433</v>
      </c>
      <c r="B288" t="s">
        <v>159</v>
      </c>
      <c r="C288">
        <v>-13043.47</v>
      </c>
      <c r="D288" s="2">
        <v>43435</v>
      </c>
      <c r="E288" t="s">
        <v>27</v>
      </c>
      <c r="F288">
        <v>-13043.47</v>
      </c>
      <c r="G288">
        <v>0</v>
      </c>
    </row>
    <row r="289" spans="1:7" x14ac:dyDescent="0.3">
      <c r="A289" s="2">
        <v>43434</v>
      </c>
      <c r="B289" t="s">
        <v>160</v>
      </c>
      <c r="C289">
        <v>-10</v>
      </c>
      <c r="D289" s="2">
        <v>43434</v>
      </c>
      <c r="E289" t="s">
        <v>27</v>
      </c>
      <c r="F289">
        <v>-10</v>
      </c>
      <c r="G289">
        <v>0</v>
      </c>
    </row>
    <row r="290" spans="1:7" x14ac:dyDescent="0.3">
      <c r="A290" s="2">
        <v>43434</v>
      </c>
      <c r="B290" t="s">
        <v>24</v>
      </c>
      <c r="C290">
        <v>3495</v>
      </c>
      <c r="D290" s="2">
        <v>43433</v>
      </c>
      <c r="E290" t="s">
        <v>25</v>
      </c>
      <c r="F290">
        <v>3495</v>
      </c>
      <c r="G290">
        <v>0</v>
      </c>
    </row>
    <row r="291" spans="1:7" x14ac:dyDescent="0.3">
      <c r="A291" s="2">
        <v>43434</v>
      </c>
      <c r="B291" t="s">
        <v>160</v>
      </c>
      <c r="C291">
        <v>-10</v>
      </c>
      <c r="D291" s="2">
        <v>43434</v>
      </c>
      <c r="E291" t="s">
        <v>27</v>
      </c>
      <c r="F291">
        <v>-10</v>
      </c>
      <c r="G291">
        <v>0</v>
      </c>
    </row>
    <row r="292" spans="1:7" x14ac:dyDescent="0.3">
      <c r="A292" s="2">
        <v>43437</v>
      </c>
      <c r="B292" t="s">
        <v>53</v>
      </c>
      <c r="C292">
        <v>-2436.11</v>
      </c>
      <c r="D292" s="2">
        <v>43437</v>
      </c>
      <c r="E292" t="s">
        <v>27</v>
      </c>
      <c r="F292">
        <v>-2436.11</v>
      </c>
      <c r="G292">
        <v>0</v>
      </c>
    </row>
    <row r="293" spans="1:7" x14ac:dyDescent="0.3">
      <c r="A293" s="2">
        <v>43437</v>
      </c>
      <c r="B293" t="s">
        <v>161</v>
      </c>
      <c r="C293">
        <v>-55</v>
      </c>
      <c r="D293" s="2">
        <v>43437</v>
      </c>
      <c r="E293" t="s">
        <v>27</v>
      </c>
      <c r="F293">
        <v>-55</v>
      </c>
      <c r="G293">
        <v>0</v>
      </c>
    </row>
    <row r="294" spans="1:7" x14ac:dyDescent="0.3">
      <c r="A294" s="2">
        <v>43437</v>
      </c>
      <c r="B294" t="s">
        <v>24</v>
      </c>
      <c r="C294">
        <v>2561.25</v>
      </c>
      <c r="D294" s="2">
        <v>43435</v>
      </c>
      <c r="E294" t="s">
        <v>25</v>
      </c>
      <c r="F294">
        <v>2561.25</v>
      </c>
      <c r="G294">
        <v>0</v>
      </c>
    </row>
    <row r="295" spans="1:7" x14ac:dyDescent="0.3">
      <c r="A295" s="2">
        <v>43437</v>
      </c>
      <c r="B295" t="s">
        <v>24</v>
      </c>
      <c r="C295">
        <v>1571.25</v>
      </c>
      <c r="D295" s="2">
        <v>43434</v>
      </c>
      <c r="E295" t="s">
        <v>25</v>
      </c>
      <c r="F295">
        <v>1571.25</v>
      </c>
      <c r="G295">
        <v>0</v>
      </c>
    </row>
    <row r="296" spans="1:7" x14ac:dyDescent="0.3">
      <c r="A296" s="2">
        <v>43437</v>
      </c>
      <c r="B296" t="s">
        <v>24</v>
      </c>
      <c r="C296">
        <v>195</v>
      </c>
      <c r="D296" s="2">
        <v>43436</v>
      </c>
      <c r="E296" t="s">
        <v>25</v>
      </c>
      <c r="F296">
        <v>195</v>
      </c>
      <c r="G296">
        <v>0</v>
      </c>
    </row>
    <row r="297" spans="1:7" x14ac:dyDescent="0.3">
      <c r="A297" s="2">
        <v>43438</v>
      </c>
      <c r="B297" t="s">
        <v>24</v>
      </c>
      <c r="C297">
        <v>60</v>
      </c>
      <c r="D297" s="2">
        <v>43437</v>
      </c>
      <c r="E297" t="s">
        <v>25</v>
      </c>
      <c r="F297">
        <v>60</v>
      </c>
      <c r="G297">
        <v>0</v>
      </c>
    </row>
    <row r="298" spans="1:7" x14ac:dyDescent="0.3">
      <c r="A298" s="2">
        <v>43439</v>
      </c>
      <c r="B298" t="s">
        <v>162</v>
      </c>
      <c r="C298">
        <v>-34.950000000000003</v>
      </c>
      <c r="D298" s="2">
        <v>43439</v>
      </c>
      <c r="E298" t="s">
        <v>27</v>
      </c>
      <c r="F298">
        <v>-34.950000000000003</v>
      </c>
      <c r="G298">
        <v>0</v>
      </c>
    </row>
    <row r="299" spans="1:7" x14ac:dyDescent="0.3">
      <c r="A299" s="2">
        <v>43439</v>
      </c>
      <c r="B299" t="s">
        <v>24</v>
      </c>
      <c r="C299">
        <v>630</v>
      </c>
      <c r="D299" s="2">
        <v>43438</v>
      </c>
      <c r="E299" t="s">
        <v>25</v>
      </c>
      <c r="F299">
        <v>630</v>
      </c>
      <c r="G299">
        <v>0</v>
      </c>
    </row>
    <row r="300" spans="1:7" x14ac:dyDescent="0.3">
      <c r="A300" s="2">
        <v>43439</v>
      </c>
      <c r="B300" t="s">
        <v>163</v>
      </c>
      <c r="C300">
        <v>-6.99</v>
      </c>
      <c r="D300" s="2">
        <v>43439</v>
      </c>
      <c r="E300" t="s">
        <v>27</v>
      </c>
      <c r="F300">
        <v>-6.99</v>
      </c>
      <c r="G300">
        <v>0</v>
      </c>
    </row>
    <row r="301" spans="1:7" x14ac:dyDescent="0.3">
      <c r="A301" s="2">
        <v>43440</v>
      </c>
      <c r="B301" t="s">
        <v>24</v>
      </c>
      <c r="C301">
        <v>1001.25</v>
      </c>
      <c r="D301" s="2">
        <v>43439</v>
      </c>
      <c r="E301" t="s">
        <v>25</v>
      </c>
      <c r="F301">
        <v>1001.25</v>
      </c>
      <c r="G301">
        <v>0</v>
      </c>
    </row>
    <row r="302" spans="1:7" x14ac:dyDescent="0.3">
      <c r="A302" s="2">
        <v>43440</v>
      </c>
      <c r="B302" t="s">
        <v>164</v>
      </c>
      <c r="C302">
        <v>-92.22</v>
      </c>
      <c r="D302" s="2">
        <v>43440</v>
      </c>
      <c r="E302" t="s">
        <v>27</v>
      </c>
      <c r="F302">
        <v>-92.22</v>
      </c>
      <c r="G302">
        <v>0</v>
      </c>
    </row>
    <row r="303" spans="1:7" x14ac:dyDescent="0.3">
      <c r="A303" s="2">
        <v>43440</v>
      </c>
      <c r="B303" t="s">
        <v>165</v>
      </c>
      <c r="C303">
        <v>-25.47</v>
      </c>
      <c r="D303" s="2">
        <v>43440</v>
      </c>
      <c r="E303" t="s">
        <v>27</v>
      </c>
      <c r="F303">
        <v>-25.47</v>
      </c>
      <c r="G303">
        <v>0</v>
      </c>
    </row>
    <row r="304" spans="1:7" x14ac:dyDescent="0.3">
      <c r="A304" s="2">
        <v>43441</v>
      </c>
      <c r="B304" t="s">
        <v>24</v>
      </c>
      <c r="C304">
        <v>1005</v>
      </c>
      <c r="D304" s="2">
        <v>43440</v>
      </c>
      <c r="E304" t="s">
        <v>25</v>
      </c>
      <c r="F304">
        <v>1005</v>
      </c>
      <c r="G304">
        <v>0</v>
      </c>
    </row>
    <row r="305" spans="1:7" x14ac:dyDescent="0.3">
      <c r="A305" s="2">
        <v>43444</v>
      </c>
      <c r="B305" t="s">
        <v>24</v>
      </c>
      <c r="C305">
        <v>495</v>
      </c>
      <c r="D305" s="2">
        <v>43442</v>
      </c>
      <c r="E305" t="s">
        <v>25</v>
      </c>
      <c r="F305">
        <v>495</v>
      </c>
      <c r="G305">
        <v>0</v>
      </c>
    </row>
    <row r="306" spans="1:7" x14ac:dyDescent="0.3">
      <c r="A306" s="2">
        <v>43444</v>
      </c>
      <c r="B306" t="s">
        <v>24</v>
      </c>
      <c r="C306">
        <v>390</v>
      </c>
      <c r="D306" s="2">
        <v>43441</v>
      </c>
      <c r="E306" t="s">
        <v>25</v>
      </c>
      <c r="F306">
        <v>390</v>
      </c>
      <c r="G306">
        <v>0</v>
      </c>
    </row>
    <row r="307" spans="1:7" x14ac:dyDescent="0.3">
      <c r="A307" s="2">
        <v>43444</v>
      </c>
      <c r="B307" t="s">
        <v>24</v>
      </c>
      <c r="C307">
        <v>330</v>
      </c>
      <c r="D307" s="2">
        <v>43443</v>
      </c>
      <c r="E307" t="s">
        <v>25</v>
      </c>
      <c r="F307">
        <v>330</v>
      </c>
      <c r="G307">
        <v>0</v>
      </c>
    </row>
    <row r="308" spans="1:7" x14ac:dyDescent="0.3">
      <c r="A308" s="2">
        <v>43444</v>
      </c>
      <c r="B308" t="s">
        <v>166</v>
      </c>
      <c r="C308">
        <v>-9.99</v>
      </c>
      <c r="D308" s="2">
        <v>43444</v>
      </c>
      <c r="E308" t="s">
        <v>27</v>
      </c>
      <c r="F308">
        <v>-9.99</v>
      </c>
      <c r="G308">
        <v>0</v>
      </c>
    </row>
    <row r="309" spans="1:7" x14ac:dyDescent="0.3">
      <c r="A309" s="2">
        <v>43445</v>
      </c>
      <c r="B309" t="s">
        <v>24</v>
      </c>
      <c r="C309">
        <v>330</v>
      </c>
      <c r="D309" s="2">
        <v>43444</v>
      </c>
      <c r="E309" t="s">
        <v>25</v>
      </c>
      <c r="F309">
        <v>330</v>
      </c>
      <c r="G309">
        <v>0</v>
      </c>
    </row>
    <row r="310" spans="1:7" x14ac:dyDescent="0.3">
      <c r="A310" s="2">
        <v>43445</v>
      </c>
      <c r="B310" t="s">
        <v>167</v>
      </c>
      <c r="C310">
        <v>300</v>
      </c>
      <c r="D310" s="2">
        <v>43445</v>
      </c>
      <c r="E310" t="s">
        <v>25</v>
      </c>
      <c r="F310">
        <v>300</v>
      </c>
      <c r="G310">
        <v>0</v>
      </c>
    </row>
    <row r="311" spans="1:7" x14ac:dyDescent="0.3">
      <c r="A311" s="2">
        <v>43446</v>
      </c>
      <c r="B311" t="s">
        <v>168</v>
      </c>
      <c r="C311">
        <v>671.72</v>
      </c>
      <c r="D311" s="2">
        <v>43446</v>
      </c>
      <c r="E311" t="s">
        <v>25</v>
      </c>
      <c r="F311">
        <v>671.72</v>
      </c>
      <c r="G311">
        <v>0</v>
      </c>
    </row>
    <row r="312" spans="1:7" x14ac:dyDescent="0.3">
      <c r="A312" s="2">
        <v>43446</v>
      </c>
      <c r="B312" t="s">
        <v>24</v>
      </c>
      <c r="C312">
        <v>3165</v>
      </c>
      <c r="D312" s="2">
        <v>43445</v>
      </c>
      <c r="E312" t="s">
        <v>25</v>
      </c>
      <c r="F312">
        <v>3165</v>
      </c>
      <c r="G312">
        <v>0</v>
      </c>
    </row>
    <row r="313" spans="1:7" x14ac:dyDescent="0.3">
      <c r="A313" s="2">
        <v>43447</v>
      </c>
      <c r="B313" t="s">
        <v>169</v>
      </c>
      <c r="C313">
        <v>-113.74</v>
      </c>
      <c r="D313" s="2">
        <v>43447</v>
      </c>
      <c r="E313" t="s">
        <v>27</v>
      </c>
      <c r="F313">
        <v>-113.74</v>
      </c>
      <c r="G313">
        <v>0</v>
      </c>
    </row>
    <row r="314" spans="1:7" x14ac:dyDescent="0.3">
      <c r="A314" s="2">
        <v>43447</v>
      </c>
      <c r="B314" t="s">
        <v>170</v>
      </c>
      <c r="C314">
        <v>-671.72</v>
      </c>
      <c r="D314" s="2">
        <v>43447</v>
      </c>
      <c r="E314" t="s">
        <v>27</v>
      </c>
      <c r="F314">
        <v>-671.72</v>
      </c>
      <c r="G314">
        <v>0</v>
      </c>
    </row>
    <row r="315" spans="1:7" x14ac:dyDescent="0.3">
      <c r="A315" s="2">
        <v>43447</v>
      </c>
      <c r="B315" t="s">
        <v>171</v>
      </c>
      <c r="C315">
        <v>-15.99</v>
      </c>
      <c r="D315" s="2">
        <v>43447</v>
      </c>
      <c r="E315" t="s">
        <v>27</v>
      </c>
      <c r="F315">
        <v>-15.99</v>
      </c>
      <c r="G315">
        <v>0</v>
      </c>
    </row>
    <row r="316" spans="1:7" x14ac:dyDescent="0.3">
      <c r="A316" s="2">
        <v>43447</v>
      </c>
      <c r="B316" t="s">
        <v>24</v>
      </c>
      <c r="C316">
        <v>15347.5</v>
      </c>
      <c r="D316" s="2">
        <v>43446</v>
      </c>
      <c r="E316" t="s">
        <v>25</v>
      </c>
      <c r="F316">
        <v>15347.5</v>
      </c>
      <c r="G316">
        <v>0</v>
      </c>
    </row>
    <row r="317" spans="1:7" x14ac:dyDescent="0.3">
      <c r="A317" s="2">
        <v>43448</v>
      </c>
      <c r="B317" t="s">
        <v>172</v>
      </c>
      <c r="C317">
        <v>-88.39</v>
      </c>
      <c r="D317" s="2">
        <v>43448</v>
      </c>
      <c r="E317" t="s">
        <v>27</v>
      </c>
      <c r="F317">
        <v>-88.39</v>
      </c>
      <c r="G317">
        <v>0</v>
      </c>
    </row>
    <row r="318" spans="1:7" x14ac:dyDescent="0.3">
      <c r="A318" s="2">
        <v>43448</v>
      </c>
      <c r="B318" t="s">
        <v>24</v>
      </c>
      <c r="C318">
        <v>1215</v>
      </c>
      <c r="D318" s="2">
        <v>43447</v>
      </c>
      <c r="E318" t="s">
        <v>25</v>
      </c>
      <c r="F318">
        <v>1215</v>
      </c>
      <c r="G318">
        <v>0</v>
      </c>
    </row>
    <row r="319" spans="1:7" x14ac:dyDescent="0.3">
      <c r="A319" s="2">
        <v>43448</v>
      </c>
      <c r="B319" t="s">
        <v>173</v>
      </c>
      <c r="C319">
        <v>-12</v>
      </c>
      <c r="D319" s="2">
        <v>43448</v>
      </c>
      <c r="E319" t="s">
        <v>27</v>
      </c>
      <c r="F319">
        <v>-12</v>
      </c>
      <c r="G319">
        <v>0</v>
      </c>
    </row>
    <row r="320" spans="1:7" x14ac:dyDescent="0.3">
      <c r="A320" s="2">
        <v>43451</v>
      </c>
      <c r="B320" t="s">
        <v>174</v>
      </c>
      <c r="C320">
        <v>-33</v>
      </c>
      <c r="D320" s="2">
        <v>43451</v>
      </c>
      <c r="E320" t="s">
        <v>27</v>
      </c>
      <c r="F320">
        <v>-33</v>
      </c>
      <c r="G320">
        <v>0</v>
      </c>
    </row>
    <row r="321" spans="1:7" x14ac:dyDescent="0.3">
      <c r="A321" s="2">
        <v>43451</v>
      </c>
      <c r="B321" t="s">
        <v>175</v>
      </c>
      <c r="C321">
        <v>-400</v>
      </c>
      <c r="D321" s="2">
        <v>43451</v>
      </c>
      <c r="E321" t="s">
        <v>27</v>
      </c>
      <c r="F321">
        <v>-400</v>
      </c>
      <c r="G321">
        <v>0</v>
      </c>
    </row>
    <row r="322" spans="1:7" x14ac:dyDescent="0.3">
      <c r="A322" s="2">
        <v>43451</v>
      </c>
      <c r="B322" t="s">
        <v>24</v>
      </c>
      <c r="C322">
        <v>12660</v>
      </c>
      <c r="D322" s="2">
        <v>43449</v>
      </c>
      <c r="E322" t="s">
        <v>25</v>
      </c>
      <c r="F322">
        <v>12660</v>
      </c>
      <c r="G322">
        <v>0</v>
      </c>
    </row>
    <row r="323" spans="1:7" x14ac:dyDescent="0.3">
      <c r="A323" s="2">
        <v>43451</v>
      </c>
      <c r="B323" t="s">
        <v>24</v>
      </c>
      <c r="C323">
        <v>2490</v>
      </c>
      <c r="D323" s="2">
        <v>43448</v>
      </c>
      <c r="E323" t="s">
        <v>25</v>
      </c>
      <c r="F323">
        <v>2490</v>
      </c>
      <c r="G323">
        <v>0</v>
      </c>
    </row>
    <row r="324" spans="1:7" x14ac:dyDescent="0.3">
      <c r="A324" s="2">
        <v>43451</v>
      </c>
      <c r="B324" t="s">
        <v>24</v>
      </c>
      <c r="C324">
        <v>165</v>
      </c>
      <c r="D324" s="2">
        <v>43450</v>
      </c>
      <c r="E324" t="s">
        <v>25</v>
      </c>
      <c r="F324">
        <v>165</v>
      </c>
      <c r="G324">
        <v>0</v>
      </c>
    </row>
    <row r="325" spans="1:7" x14ac:dyDescent="0.3">
      <c r="A325" s="2">
        <v>43451</v>
      </c>
      <c r="B325" t="s">
        <v>175</v>
      </c>
      <c r="C325">
        <v>-4000</v>
      </c>
      <c r="D325" s="2">
        <v>43451</v>
      </c>
      <c r="E325" t="s">
        <v>27</v>
      </c>
      <c r="F325">
        <v>-4000</v>
      </c>
      <c r="G325">
        <v>0</v>
      </c>
    </row>
    <row r="326" spans="1:7" x14ac:dyDescent="0.3">
      <c r="A326" s="2">
        <v>43452</v>
      </c>
      <c r="B326" t="s">
        <v>24</v>
      </c>
      <c r="C326">
        <v>1072.5</v>
      </c>
      <c r="D326" s="2">
        <v>43451</v>
      </c>
      <c r="E326" t="s">
        <v>25</v>
      </c>
      <c r="F326">
        <v>1072.5</v>
      </c>
      <c r="G326">
        <v>0</v>
      </c>
    </row>
    <row r="327" spans="1:7" x14ac:dyDescent="0.3">
      <c r="A327" s="2">
        <v>43453</v>
      </c>
      <c r="B327" t="s">
        <v>24</v>
      </c>
      <c r="C327">
        <v>990</v>
      </c>
      <c r="D327" s="2">
        <v>43452</v>
      </c>
      <c r="E327" t="s">
        <v>25</v>
      </c>
      <c r="F327">
        <v>990</v>
      </c>
      <c r="G327">
        <v>0</v>
      </c>
    </row>
    <row r="328" spans="1:7" x14ac:dyDescent="0.3">
      <c r="A328" s="2">
        <v>43454</v>
      </c>
      <c r="B328" t="s">
        <v>24</v>
      </c>
      <c r="C328">
        <v>330</v>
      </c>
      <c r="D328" s="2">
        <v>43453</v>
      </c>
      <c r="E328" t="s">
        <v>25</v>
      </c>
      <c r="F328">
        <v>330</v>
      </c>
      <c r="G328">
        <v>0</v>
      </c>
    </row>
    <row r="329" spans="1:7" x14ac:dyDescent="0.3">
      <c r="A329" s="2">
        <v>43455</v>
      </c>
      <c r="B329" t="s">
        <v>24</v>
      </c>
      <c r="C329">
        <v>10931.25</v>
      </c>
      <c r="D329" s="2">
        <v>43454</v>
      </c>
      <c r="E329" t="s">
        <v>25</v>
      </c>
      <c r="F329">
        <v>10931.25</v>
      </c>
      <c r="G329">
        <v>0</v>
      </c>
    </row>
    <row r="330" spans="1:7" x14ac:dyDescent="0.3">
      <c r="A330" s="2">
        <v>43458</v>
      </c>
      <c r="B330" t="s">
        <v>24</v>
      </c>
      <c r="C330">
        <v>14870</v>
      </c>
      <c r="D330" s="2">
        <v>43455</v>
      </c>
      <c r="E330" t="s">
        <v>25</v>
      </c>
      <c r="F330">
        <v>14870</v>
      </c>
      <c r="G330">
        <v>0</v>
      </c>
    </row>
    <row r="331" spans="1:7" x14ac:dyDescent="0.3">
      <c r="A331" s="2">
        <v>43458</v>
      </c>
      <c r="B331" t="s">
        <v>24</v>
      </c>
      <c r="C331">
        <v>2525</v>
      </c>
      <c r="D331" s="2">
        <v>43456</v>
      </c>
      <c r="E331" t="s">
        <v>25</v>
      </c>
      <c r="F331">
        <v>2525</v>
      </c>
      <c r="G331">
        <v>0</v>
      </c>
    </row>
    <row r="332" spans="1:7" x14ac:dyDescent="0.3">
      <c r="A332" s="2">
        <v>43458</v>
      </c>
      <c r="B332" t="s">
        <v>24</v>
      </c>
      <c r="C332">
        <v>330</v>
      </c>
      <c r="D332" s="2">
        <v>43457</v>
      </c>
      <c r="E332" t="s">
        <v>25</v>
      </c>
      <c r="F332">
        <v>330</v>
      </c>
      <c r="G332">
        <v>0</v>
      </c>
    </row>
    <row r="333" spans="1:7" x14ac:dyDescent="0.3">
      <c r="A333" s="2">
        <v>43460</v>
      </c>
      <c r="B333" t="s">
        <v>176</v>
      </c>
      <c r="C333">
        <v>-3000</v>
      </c>
      <c r="D333" s="2">
        <v>43460</v>
      </c>
      <c r="E333" t="s">
        <v>27</v>
      </c>
      <c r="F333">
        <v>-3000</v>
      </c>
      <c r="G333">
        <v>0</v>
      </c>
    </row>
    <row r="334" spans="1:7" x14ac:dyDescent="0.3">
      <c r="A334" s="2">
        <v>43460</v>
      </c>
      <c r="B334" t="s">
        <v>177</v>
      </c>
      <c r="C334">
        <v>-59.87</v>
      </c>
      <c r="D334" s="2">
        <v>43460</v>
      </c>
      <c r="E334" t="s">
        <v>27</v>
      </c>
      <c r="F334">
        <v>-59.87</v>
      </c>
      <c r="G334">
        <v>0</v>
      </c>
    </row>
    <row r="335" spans="1:7" x14ac:dyDescent="0.3">
      <c r="A335" s="2">
        <v>43460</v>
      </c>
      <c r="B335" t="s">
        <v>24</v>
      </c>
      <c r="C335">
        <v>330</v>
      </c>
      <c r="D335" s="2">
        <v>43458</v>
      </c>
      <c r="E335" t="s">
        <v>25</v>
      </c>
      <c r="F335">
        <v>330</v>
      </c>
      <c r="G335">
        <v>0</v>
      </c>
    </row>
    <row r="336" spans="1:7" x14ac:dyDescent="0.3">
      <c r="A336" s="2">
        <v>43460</v>
      </c>
      <c r="B336" t="s">
        <v>24</v>
      </c>
      <c r="C336">
        <v>795</v>
      </c>
      <c r="D336" s="2">
        <v>43459</v>
      </c>
      <c r="E336" t="s">
        <v>25</v>
      </c>
      <c r="F336">
        <v>795</v>
      </c>
      <c r="G336">
        <v>0</v>
      </c>
    </row>
    <row r="337" spans="1:7" x14ac:dyDescent="0.3">
      <c r="A337" s="2">
        <v>43460</v>
      </c>
      <c r="B337" t="s">
        <v>178</v>
      </c>
      <c r="C337">
        <v>-28.75</v>
      </c>
      <c r="D337" s="2">
        <v>43460</v>
      </c>
      <c r="E337" t="s">
        <v>27</v>
      </c>
      <c r="F337">
        <v>-28.75</v>
      </c>
      <c r="G337">
        <v>0</v>
      </c>
    </row>
    <row r="338" spans="1:7" x14ac:dyDescent="0.3">
      <c r="A338" s="2">
        <v>43462</v>
      </c>
      <c r="B338" t="s">
        <v>179</v>
      </c>
      <c r="C338">
        <v>-500</v>
      </c>
      <c r="D338" s="2">
        <v>43462</v>
      </c>
      <c r="E338" t="s">
        <v>27</v>
      </c>
      <c r="F338">
        <v>-500</v>
      </c>
      <c r="G338">
        <v>0</v>
      </c>
    </row>
    <row r="339" spans="1:7" x14ac:dyDescent="0.3">
      <c r="A339" s="2">
        <v>43462</v>
      </c>
      <c r="B339" t="s">
        <v>180</v>
      </c>
      <c r="C339">
        <v>-500</v>
      </c>
      <c r="D339" s="2">
        <v>43462</v>
      </c>
      <c r="E339" t="s">
        <v>27</v>
      </c>
      <c r="F339">
        <v>-500</v>
      </c>
      <c r="G339">
        <v>0</v>
      </c>
    </row>
    <row r="340" spans="1:7" x14ac:dyDescent="0.3">
      <c r="A340" s="2">
        <v>43462</v>
      </c>
      <c r="B340" t="s">
        <v>181</v>
      </c>
      <c r="C340">
        <v>-18471</v>
      </c>
      <c r="D340" s="2">
        <v>43462</v>
      </c>
      <c r="E340" t="s">
        <v>27</v>
      </c>
      <c r="F340">
        <v>-18471</v>
      </c>
      <c r="G340">
        <v>0</v>
      </c>
    </row>
    <row r="341" spans="1:7" x14ac:dyDescent="0.3">
      <c r="A341" s="2">
        <v>43462</v>
      </c>
      <c r="B341" t="s">
        <v>182</v>
      </c>
      <c r="C341">
        <v>-1956.52</v>
      </c>
      <c r="D341" s="2">
        <v>43462</v>
      </c>
      <c r="E341" t="s">
        <v>27</v>
      </c>
      <c r="F341">
        <v>-1956.52</v>
      </c>
      <c r="G341">
        <v>0</v>
      </c>
    </row>
    <row r="342" spans="1:7" x14ac:dyDescent="0.3">
      <c r="A342" s="2">
        <v>43462</v>
      </c>
      <c r="B342" t="s">
        <v>183</v>
      </c>
      <c r="C342">
        <v>-6675</v>
      </c>
      <c r="D342" s="2">
        <v>43462</v>
      </c>
      <c r="E342" t="s">
        <v>27</v>
      </c>
      <c r="F342">
        <v>-6675</v>
      </c>
      <c r="G342">
        <v>0</v>
      </c>
    </row>
    <row r="343" spans="1:7" x14ac:dyDescent="0.3">
      <c r="A343" s="2">
        <v>43462</v>
      </c>
      <c r="B343" t="s">
        <v>184</v>
      </c>
      <c r="C343">
        <v>-103.62</v>
      </c>
      <c r="D343" s="2">
        <v>43462</v>
      </c>
      <c r="E343" t="s">
        <v>27</v>
      </c>
      <c r="F343">
        <v>-103.62</v>
      </c>
      <c r="G343">
        <v>0</v>
      </c>
    </row>
    <row r="344" spans="1:7" x14ac:dyDescent="0.3">
      <c r="A344" s="2">
        <v>43462</v>
      </c>
      <c r="B344" t="s">
        <v>24</v>
      </c>
      <c r="C344">
        <v>330</v>
      </c>
      <c r="D344" s="2">
        <v>43461</v>
      </c>
      <c r="E344" t="s">
        <v>25</v>
      </c>
      <c r="F344">
        <v>330</v>
      </c>
      <c r="G344">
        <v>0</v>
      </c>
    </row>
    <row r="345" spans="1:7" x14ac:dyDescent="0.3">
      <c r="A345" s="2">
        <v>43462</v>
      </c>
      <c r="B345" t="s">
        <v>185</v>
      </c>
      <c r="C345">
        <v>-30000</v>
      </c>
      <c r="D345" s="2">
        <v>43462</v>
      </c>
      <c r="E345" t="s">
        <v>27</v>
      </c>
      <c r="F345">
        <v>-30000</v>
      </c>
      <c r="G345">
        <v>0</v>
      </c>
    </row>
    <row r="346" spans="1:7" x14ac:dyDescent="0.3">
      <c r="A346" s="2">
        <v>43465</v>
      </c>
      <c r="B346" t="s">
        <v>24</v>
      </c>
      <c r="C346">
        <v>3661.25</v>
      </c>
      <c r="D346" s="2">
        <v>43462</v>
      </c>
      <c r="E346" t="s">
        <v>25</v>
      </c>
      <c r="F346">
        <v>3661.25</v>
      </c>
      <c r="G346">
        <v>0</v>
      </c>
    </row>
    <row r="347" spans="1:7" x14ac:dyDescent="0.3">
      <c r="A347" s="2">
        <v>43465</v>
      </c>
      <c r="B347" t="s">
        <v>186</v>
      </c>
      <c r="C347">
        <v>-70.77</v>
      </c>
      <c r="D347" s="2">
        <v>43465</v>
      </c>
      <c r="E347" t="s">
        <v>27</v>
      </c>
      <c r="F347">
        <v>-70.77</v>
      </c>
      <c r="G347">
        <v>0</v>
      </c>
    </row>
    <row r="348" spans="1:7" x14ac:dyDescent="0.3">
      <c r="A348" s="2">
        <v>43465</v>
      </c>
      <c r="B348" t="s">
        <v>24</v>
      </c>
      <c r="C348">
        <v>960</v>
      </c>
      <c r="D348" s="2">
        <v>43463</v>
      </c>
      <c r="E348" t="s">
        <v>25</v>
      </c>
      <c r="F348">
        <v>960</v>
      </c>
      <c r="G348">
        <v>0</v>
      </c>
    </row>
    <row r="349" spans="1:7" x14ac:dyDescent="0.3">
      <c r="A349" s="2">
        <v>43465</v>
      </c>
      <c r="B349" t="s">
        <v>31</v>
      </c>
      <c r="C349">
        <v>165</v>
      </c>
      <c r="D349" s="2">
        <v>43465</v>
      </c>
      <c r="E349" t="s">
        <v>25</v>
      </c>
      <c r="F349">
        <v>165</v>
      </c>
      <c r="G349">
        <v>0</v>
      </c>
    </row>
    <row r="350" spans="1:7" x14ac:dyDescent="0.3">
      <c r="A350" s="2">
        <v>43465</v>
      </c>
      <c r="B350" t="s">
        <v>187</v>
      </c>
      <c r="C350">
        <v>-100.27</v>
      </c>
      <c r="D350" s="2">
        <v>43465</v>
      </c>
      <c r="E350" t="s">
        <v>27</v>
      </c>
      <c r="F350">
        <v>-100.27</v>
      </c>
      <c r="G350">
        <v>0</v>
      </c>
    </row>
    <row r="351" spans="1:7" x14ac:dyDescent="0.3">
      <c r="A351" s="2">
        <v>43465</v>
      </c>
      <c r="B351" t="s">
        <v>24</v>
      </c>
      <c r="C351">
        <v>30</v>
      </c>
      <c r="D351" s="2">
        <v>43464</v>
      </c>
      <c r="E351" t="s">
        <v>25</v>
      </c>
      <c r="F351">
        <v>30</v>
      </c>
      <c r="G351">
        <v>0</v>
      </c>
    </row>
    <row r="352" spans="1:7" x14ac:dyDescent="0.3">
      <c r="A352" s="2">
        <v>43467</v>
      </c>
      <c r="B352" t="s">
        <v>24</v>
      </c>
      <c r="C352">
        <v>1085</v>
      </c>
      <c r="D352" s="2">
        <v>43465</v>
      </c>
      <c r="E352" t="s">
        <v>25</v>
      </c>
      <c r="F352">
        <v>1085</v>
      </c>
      <c r="G352">
        <v>0</v>
      </c>
    </row>
    <row r="353" spans="1:7" x14ac:dyDescent="0.3">
      <c r="A353" s="2">
        <v>43467</v>
      </c>
      <c r="B353" t="s">
        <v>188</v>
      </c>
      <c r="C353">
        <v>-55</v>
      </c>
      <c r="D353" s="2">
        <v>43467</v>
      </c>
      <c r="E353" t="s">
        <v>27</v>
      </c>
      <c r="F353">
        <v>-55</v>
      </c>
      <c r="G353">
        <v>0</v>
      </c>
    </row>
    <row r="354" spans="1:7" x14ac:dyDescent="0.3">
      <c r="A354" s="2">
        <v>43467</v>
      </c>
      <c r="B354" t="s">
        <v>53</v>
      </c>
      <c r="C354">
        <v>-3486.45</v>
      </c>
      <c r="D354" s="2">
        <v>43467</v>
      </c>
      <c r="E354" t="s">
        <v>27</v>
      </c>
      <c r="F354">
        <v>-3486.45</v>
      </c>
      <c r="G354">
        <v>0</v>
      </c>
    </row>
    <row r="355" spans="1:7" x14ac:dyDescent="0.3">
      <c r="A355" s="2">
        <v>43467</v>
      </c>
      <c r="B355" t="s">
        <v>24</v>
      </c>
      <c r="C355">
        <v>2565</v>
      </c>
      <c r="D355" s="2">
        <v>43466</v>
      </c>
      <c r="E355" t="s">
        <v>25</v>
      </c>
      <c r="F355">
        <v>2565</v>
      </c>
      <c r="G355">
        <v>0</v>
      </c>
    </row>
    <row r="356" spans="1:7" x14ac:dyDescent="0.3">
      <c r="A356" s="2">
        <v>43468</v>
      </c>
      <c r="B356" t="s">
        <v>24</v>
      </c>
      <c r="C356">
        <v>1390</v>
      </c>
      <c r="D356" s="2">
        <v>43467</v>
      </c>
      <c r="E356" t="s">
        <v>25</v>
      </c>
      <c r="F356">
        <v>1390</v>
      </c>
      <c r="G356">
        <v>0</v>
      </c>
    </row>
    <row r="357" spans="1:7" x14ac:dyDescent="0.3">
      <c r="A357" s="2">
        <v>43469</v>
      </c>
      <c r="B357" t="s">
        <v>189</v>
      </c>
      <c r="C357">
        <v>-34.950000000000003</v>
      </c>
      <c r="D357" s="2">
        <v>43469</v>
      </c>
      <c r="E357" t="s">
        <v>27</v>
      </c>
      <c r="F357">
        <v>-34.950000000000003</v>
      </c>
      <c r="G357">
        <v>0</v>
      </c>
    </row>
    <row r="358" spans="1:7" x14ac:dyDescent="0.3">
      <c r="A358" s="2">
        <v>43469</v>
      </c>
      <c r="B358" t="s">
        <v>190</v>
      </c>
      <c r="C358">
        <v>-33.79</v>
      </c>
      <c r="D358" s="2">
        <v>43469</v>
      </c>
      <c r="E358" t="s">
        <v>27</v>
      </c>
      <c r="F358">
        <v>-33.79</v>
      </c>
      <c r="G358">
        <v>0</v>
      </c>
    </row>
    <row r="359" spans="1:7" x14ac:dyDescent="0.3">
      <c r="A359" s="2">
        <v>43469</v>
      </c>
      <c r="B359" t="s">
        <v>24</v>
      </c>
      <c r="C359">
        <v>8710</v>
      </c>
      <c r="D359" s="2">
        <v>43468</v>
      </c>
      <c r="E359" t="s">
        <v>25</v>
      </c>
      <c r="F359">
        <v>8710</v>
      </c>
      <c r="G359">
        <v>0</v>
      </c>
    </row>
    <row r="360" spans="1:7" x14ac:dyDescent="0.3">
      <c r="A360" s="2">
        <v>43472</v>
      </c>
      <c r="B360" t="s">
        <v>24</v>
      </c>
      <c r="C360">
        <v>25380</v>
      </c>
      <c r="D360" s="2">
        <v>43469</v>
      </c>
      <c r="E360" t="s">
        <v>25</v>
      </c>
      <c r="F360">
        <v>25380</v>
      </c>
      <c r="G360">
        <v>0</v>
      </c>
    </row>
    <row r="361" spans="1:7" x14ac:dyDescent="0.3">
      <c r="A361" s="2">
        <v>43472</v>
      </c>
      <c r="B361" t="s">
        <v>24</v>
      </c>
      <c r="C361">
        <v>12335</v>
      </c>
      <c r="D361" s="2">
        <v>43470</v>
      </c>
      <c r="E361" t="s">
        <v>25</v>
      </c>
      <c r="F361">
        <v>12335</v>
      </c>
      <c r="G361">
        <v>0</v>
      </c>
    </row>
    <row r="362" spans="1:7" x14ac:dyDescent="0.3">
      <c r="A362" s="2">
        <v>43472</v>
      </c>
      <c r="B362" t="s">
        <v>24</v>
      </c>
      <c r="C362">
        <v>4045</v>
      </c>
      <c r="D362" s="2">
        <v>43471</v>
      </c>
      <c r="E362" t="s">
        <v>25</v>
      </c>
      <c r="F362">
        <v>4045</v>
      </c>
      <c r="G362">
        <v>0</v>
      </c>
    </row>
    <row r="363" spans="1:7" x14ac:dyDescent="0.3">
      <c r="A363" s="2">
        <v>43473</v>
      </c>
      <c r="B363" t="s">
        <v>24</v>
      </c>
      <c r="C363">
        <v>2015</v>
      </c>
      <c r="D363" s="2">
        <v>43472</v>
      </c>
      <c r="E363" t="s">
        <v>25</v>
      </c>
      <c r="F363">
        <v>2015</v>
      </c>
      <c r="G363">
        <v>0</v>
      </c>
    </row>
    <row r="364" spans="1:7" x14ac:dyDescent="0.3">
      <c r="A364" s="2">
        <v>43474</v>
      </c>
      <c r="B364" t="s">
        <v>24</v>
      </c>
      <c r="C364">
        <v>7480</v>
      </c>
      <c r="D364" s="2">
        <v>43473</v>
      </c>
      <c r="E364" t="s">
        <v>25</v>
      </c>
      <c r="F364">
        <v>7480</v>
      </c>
      <c r="G364">
        <v>0</v>
      </c>
    </row>
    <row r="365" spans="1:7" x14ac:dyDescent="0.3">
      <c r="A365" s="2">
        <v>43475</v>
      </c>
      <c r="B365" t="s">
        <v>191</v>
      </c>
      <c r="C365">
        <v>-9.99</v>
      </c>
      <c r="D365" s="2">
        <v>43475</v>
      </c>
      <c r="E365" t="s">
        <v>27</v>
      </c>
      <c r="F365">
        <v>-9.99</v>
      </c>
      <c r="G365">
        <v>0</v>
      </c>
    </row>
    <row r="366" spans="1:7" x14ac:dyDescent="0.3">
      <c r="A366" s="2">
        <v>43475</v>
      </c>
      <c r="B366" t="s">
        <v>192</v>
      </c>
      <c r="C366">
        <v>9800</v>
      </c>
      <c r="D366" s="2">
        <v>43475</v>
      </c>
      <c r="E366" t="s">
        <v>25</v>
      </c>
      <c r="F366">
        <v>9800</v>
      </c>
      <c r="G366">
        <v>0</v>
      </c>
    </row>
    <row r="367" spans="1:7" x14ac:dyDescent="0.3">
      <c r="A367" s="2">
        <v>43475</v>
      </c>
      <c r="B367" t="s">
        <v>24</v>
      </c>
      <c r="C367">
        <v>10145</v>
      </c>
      <c r="D367" s="2">
        <v>43474</v>
      </c>
      <c r="E367" t="s">
        <v>25</v>
      </c>
      <c r="F367">
        <v>10145</v>
      </c>
      <c r="G367">
        <v>0</v>
      </c>
    </row>
    <row r="368" spans="1:7" x14ac:dyDescent="0.3">
      <c r="A368" s="2">
        <v>43476</v>
      </c>
      <c r="B368" t="s">
        <v>193</v>
      </c>
      <c r="C368">
        <v>-6.77</v>
      </c>
      <c r="D368" s="2">
        <v>43476</v>
      </c>
      <c r="E368" t="s">
        <v>27</v>
      </c>
      <c r="F368">
        <v>-6.77</v>
      </c>
      <c r="G368">
        <v>0</v>
      </c>
    </row>
    <row r="369" spans="1:7" x14ac:dyDescent="0.3">
      <c r="A369" s="2">
        <v>43476</v>
      </c>
      <c r="B369" t="s">
        <v>194</v>
      </c>
      <c r="C369">
        <v>327.63</v>
      </c>
      <c r="D369" s="2">
        <v>43476</v>
      </c>
      <c r="E369" t="s">
        <v>25</v>
      </c>
      <c r="F369">
        <v>327.63</v>
      </c>
      <c r="G369">
        <v>0</v>
      </c>
    </row>
    <row r="370" spans="1:7" x14ac:dyDescent="0.3">
      <c r="A370" s="2">
        <v>43476</v>
      </c>
      <c r="B370" t="s">
        <v>24</v>
      </c>
      <c r="C370">
        <v>13150</v>
      </c>
      <c r="D370" s="2">
        <v>43475</v>
      </c>
      <c r="E370" t="s">
        <v>25</v>
      </c>
      <c r="F370">
        <v>13150</v>
      </c>
      <c r="G370">
        <v>0</v>
      </c>
    </row>
    <row r="371" spans="1:7" x14ac:dyDescent="0.3">
      <c r="A371" s="2">
        <v>43479</v>
      </c>
      <c r="B371" t="s">
        <v>24</v>
      </c>
      <c r="C371">
        <v>6760</v>
      </c>
      <c r="D371" s="2">
        <v>43476</v>
      </c>
      <c r="E371" t="s">
        <v>25</v>
      </c>
      <c r="F371">
        <v>6760</v>
      </c>
      <c r="G371">
        <v>0</v>
      </c>
    </row>
    <row r="372" spans="1:7" x14ac:dyDescent="0.3">
      <c r="A372" s="2">
        <v>43479</v>
      </c>
      <c r="B372" t="s">
        <v>195</v>
      </c>
      <c r="C372">
        <v>-12</v>
      </c>
      <c r="D372" s="2">
        <v>43479</v>
      </c>
      <c r="E372" t="s">
        <v>27</v>
      </c>
      <c r="F372">
        <v>-12</v>
      </c>
      <c r="G372">
        <v>0</v>
      </c>
    </row>
    <row r="373" spans="1:7" x14ac:dyDescent="0.3">
      <c r="A373" s="2">
        <v>43479</v>
      </c>
      <c r="B373" t="s">
        <v>24</v>
      </c>
      <c r="C373">
        <v>1395</v>
      </c>
      <c r="D373" s="2">
        <v>43477</v>
      </c>
      <c r="E373" t="s">
        <v>25</v>
      </c>
      <c r="F373">
        <v>1395</v>
      </c>
      <c r="G373">
        <v>0</v>
      </c>
    </row>
    <row r="374" spans="1:7" x14ac:dyDescent="0.3">
      <c r="A374" s="2">
        <v>43479</v>
      </c>
      <c r="B374" t="s">
        <v>196</v>
      </c>
      <c r="C374">
        <v>-88.39</v>
      </c>
      <c r="D374" s="2">
        <v>43479</v>
      </c>
      <c r="E374" t="s">
        <v>27</v>
      </c>
      <c r="F374">
        <v>-88.39</v>
      </c>
      <c r="G374">
        <v>0</v>
      </c>
    </row>
    <row r="375" spans="1:7" x14ac:dyDescent="0.3">
      <c r="A375" s="2">
        <v>43479</v>
      </c>
      <c r="B375" t="s">
        <v>197</v>
      </c>
      <c r="C375">
        <v>-15.99</v>
      </c>
      <c r="D375" s="2">
        <v>43479</v>
      </c>
      <c r="E375" t="s">
        <v>27</v>
      </c>
      <c r="F375">
        <v>-15.99</v>
      </c>
      <c r="G375">
        <v>0</v>
      </c>
    </row>
    <row r="376" spans="1:7" x14ac:dyDescent="0.3">
      <c r="A376" s="2">
        <v>43480</v>
      </c>
      <c r="B376" t="s">
        <v>24</v>
      </c>
      <c r="C376">
        <v>8010</v>
      </c>
      <c r="D376" s="2">
        <v>43478</v>
      </c>
      <c r="E376" t="s">
        <v>25</v>
      </c>
      <c r="F376">
        <v>8010</v>
      </c>
      <c r="G376">
        <v>0</v>
      </c>
    </row>
    <row r="377" spans="1:7" x14ac:dyDescent="0.3">
      <c r="A377" s="2">
        <v>43480</v>
      </c>
      <c r="B377" t="s">
        <v>198</v>
      </c>
      <c r="C377">
        <v>-19.309999999999999</v>
      </c>
      <c r="D377" s="2">
        <v>43480</v>
      </c>
      <c r="E377" t="s">
        <v>27</v>
      </c>
      <c r="F377">
        <v>-19.309999999999999</v>
      </c>
      <c r="G377">
        <v>0</v>
      </c>
    </row>
    <row r="378" spans="1:7" x14ac:dyDescent="0.3">
      <c r="A378" s="2">
        <v>43481</v>
      </c>
      <c r="B378" t="s">
        <v>24</v>
      </c>
      <c r="C378">
        <v>4765</v>
      </c>
      <c r="D378" s="2">
        <v>43479</v>
      </c>
      <c r="E378" t="s">
        <v>25</v>
      </c>
      <c r="F378">
        <v>4765</v>
      </c>
      <c r="G378">
        <v>0</v>
      </c>
    </row>
    <row r="379" spans="1:7" x14ac:dyDescent="0.3">
      <c r="A379" s="2">
        <v>43481</v>
      </c>
      <c r="B379" t="s">
        <v>199</v>
      </c>
      <c r="C379">
        <v>-25.99</v>
      </c>
      <c r="D379" s="2">
        <v>43481</v>
      </c>
      <c r="E379" t="s">
        <v>27</v>
      </c>
      <c r="F379">
        <v>-25.99</v>
      </c>
      <c r="G379">
        <v>0</v>
      </c>
    </row>
    <row r="380" spans="1:7" x14ac:dyDescent="0.3">
      <c r="A380" s="2">
        <v>43481</v>
      </c>
      <c r="B380" t="s">
        <v>200</v>
      </c>
      <c r="C380">
        <v>-6.93</v>
      </c>
      <c r="D380" s="2">
        <v>43481</v>
      </c>
      <c r="E380" t="s">
        <v>27</v>
      </c>
      <c r="F380">
        <v>-6.93</v>
      </c>
      <c r="G380">
        <v>0</v>
      </c>
    </row>
    <row r="381" spans="1:7" x14ac:dyDescent="0.3">
      <c r="A381" s="2">
        <v>43481</v>
      </c>
      <c r="B381" t="s">
        <v>201</v>
      </c>
      <c r="C381">
        <v>-33</v>
      </c>
      <c r="D381" s="2">
        <v>43481</v>
      </c>
      <c r="E381" t="s">
        <v>27</v>
      </c>
      <c r="F381">
        <v>-33</v>
      </c>
      <c r="G381">
        <v>0</v>
      </c>
    </row>
    <row r="382" spans="1:7" x14ac:dyDescent="0.3">
      <c r="A382" s="2">
        <v>43481</v>
      </c>
      <c r="B382" t="s">
        <v>31</v>
      </c>
      <c r="C382">
        <v>5000</v>
      </c>
      <c r="D382" s="2">
        <v>43481</v>
      </c>
      <c r="E382" t="s">
        <v>25</v>
      </c>
      <c r="F382">
        <v>5000</v>
      </c>
      <c r="G382">
        <v>0</v>
      </c>
    </row>
    <row r="383" spans="1:7" x14ac:dyDescent="0.3">
      <c r="A383" s="2">
        <v>43481</v>
      </c>
      <c r="B383" t="s">
        <v>202</v>
      </c>
      <c r="C383">
        <v>-9</v>
      </c>
      <c r="D383" s="2">
        <v>43481</v>
      </c>
      <c r="E383" t="s">
        <v>27</v>
      </c>
      <c r="F383">
        <v>-9</v>
      </c>
      <c r="G383">
        <v>0</v>
      </c>
    </row>
    <row r="384" spans="1:7" x14ac:dyDescent="0.3">
      <c r="A384" s="2">
        <v>43481</v>
      </c>
      <c r="B384" t="s">
        <v>31</v>
      </c>
      <c r="C384">
        <v>5000</v>
      </c>
      <c r="D384" s="2">
        <v>43481</v>
      </c>
      <c r="E384" t="s">
        <v>25</v>
      </c>
      <c r="F384">
        <v>5000</v>
      </c>
      <c r="G384">
        <v>0</v>
      </c>
    </row>
    <row r="385" spans="1:7" x14ac:dyDescent="0.3">
      <c r="A385" s="2">
        <v>43481</v>
      </c>
      <c r="B385" t="s">
        <v>203</v>
      </c>
      <c r="C385">
        <v>-11.6</v>
      </c>
      <c r="D385" s="2">
        <v>43481</v>
      </c>
      <c r="E385" t="s">
        <v>27</v>
      </c>
      <c r="F385">
        <v>-11.6</v>
      </c>
      <c r="G385">
        <v>0</v>
      </c>
    </row>
    <row r="386" spans="1:7" x14ac:dyDescent="0.3">
      <c r="A386" s="2">
        <v>43482</v>
      </c>
      <c r="B386" t="s">
        <v>24</v>
      </c>
      <c r="C386">
        <v>3050</v>
      </c>
      <c r="D386" s="2">
        <v>43480</v>
      </c>
      <c r="E386" t="s">
        <v>25</v>
      </c>
      <c r="F386">
        <v>3050</v>
      </c>
      <c r="G386">
        <v>0</v>
      </c>
    </row>
    <row r="387" spans="1:7" x14ac:dyDescent="0.3">
      <c r="A387" s="2">
        <v>43483</v>
      </c>
      <c r="B387" t="s">
        <v>24</v>
      </c>
      <c r="C387">
        <v>2635</v>
      </c>
      <c r="D387" s="2">
        <v>43482</v>
      </c>
      <c r="E387" t="s">
        <v>25</v>
      </c>
      <c r="F387">
        <v>2635</v>
      </c>
      <c r="G387">
        <v>0</v>
      </c>
    </row>
    <row r="388" spans="1:7" x14ac:dyDescent="0.3">
      <c r="A388" s="2">
        <v>43483</v>
      </c>
      <c r="B388" t="s">
        <v>31</v>
      </c>
      <c r="C388">
        <v>5000</v>
      </c>
      <c r="D388" s="2">
        <v>43482</v>
      </c>
      <c r="E388" t="s">
        <v>25</v>
      </c>
      <c r="F388">
        <v>5000</v>
      </c>
      <c r="G388">
        <v>0</v>
      </c>
    </row>
    <row r="389" spans="1:7" x14ac:dyDescent="0.3">
      <c r="A389" s="2">
        <v>43487</v>
      </c>
      <c r="B389" t="s">
        <v>204</v>
      </c>
      <c r="C389">
        <v>-19.66</v>
      </c>
      <c r="D389" s="2">
        <v>43487</v>
      </c>
      <c r="E389" t="s">
        <v>27</v>
      </c>
      <c r="F389">
        <v>-19.66</v>
      </c>
      <c r="G389">
        <v>0</v>
      </c>
    </row>
    <row r="390" spans="1:7" x14ac:dyDescent="0.3">
      <c r="A390" s="2">
        <v>43487</v>
      </c>
      <c r="B390" t="s">
        <v>24</v>
      </c>
      <c r="C390">
        <v>655</v>
      </c>
      <c r="D390" s="2">
        <v>43486</v>
      </c>
      <c r="E390" t="s">
        <v>25</v>
      </c>
      <c r="F390">
        <v>655</v>
      </c>
      <c r="G390">
        <v>0</v>
      </c>
    </row>
    <row r="391" spans="1:7" x14ac:dyDescent="0.3">
      <c r="A391" s="2">
        <v>43488</v>
      </c>
      <c r="B391" t="s">
        <v>24</v>
      </c>
      <c r="C391">
        <v>4940</v>
      </c>
      <c r="D391" s="2">
        <v>43487</v>
      </c>
      <c r="E391" t="s">
        <v>25</v>
      </c>
      <c r="F391">
        <v>4940</v>
      </c>
      <c r="G391">
        <v>0</v>
      </c>
    </row>
    <row r="392" spans="1:7" x14ac:dyDescent="0.3">
      <c r="A392" s="2">
        <v>43488</v>
      </c>
      <c r="B392" t="s">
        <v>205</v>
      </c>
      <c r="C392">
        <v>-7350</v>
      </c>
      <c r="D392" s="2">
        <v>43488</v>
      </c>
      <c r="E392" t="s">
        <v>27</v>
      </c>
      <c r="F392">
        <v>-7350</v>
      </c>
      <c r="G392">
        <v>0</v>
      </c>
    </row>
    <row r="393" spans="1:7" x14ac:dyDescent="0.3">
      <c r="A393" s="2">
        <v>43489</v>
      </c>
      <c r="B393" t="s">
        <v>206</v>
      </c>
      <c r="C393">
        <v>-3750</v>
      </c>
      <c r="D393" s="2">
        <v>43489</v>
      </c>
      <c r="E393" t="s">
        <v>27</v>
      </c>
      <c r="F393">
        <v>-3750</v>
      </c>
      <c r="G393">
        <v>0</v>
      </c>
    </row>
    <row r="394" spans="1:7" x14ac:dyDescent="0.3">
      <c r="A394" s="2">
        <v>43489</v>
      </c>
      <c r="B394" t="s">
        <v>207</v>
      </c>
      <c r="C394">
        <v>-62.5</v>
      </c>
      <c r="D394" s="2">
        <v>43489</v>
      </c>
      <c r="E394" t="s">
        <v>27</v>
      </c>
      <c r="F394">
        <v>-62.5</v>
      </c>
      <c r="G394">
        <v>0</v>
      </c>
    </row>
    <row r="395" spans="1:7" x14ac:dyDescent="0.3">
      <c r="A395" s="2">
        <v>43489</v>
      </c>
      <c r="B395" t="s">
        <v>208</v>
      </c>
      <c r="C395">
        <v>-6000</v>
      </c>
      <c r="D395" s="2">
        <v>43489</v>
      </c>
      <c r="E395" t="s">
        <v>27</v>
      </c>
      <c r="F395">
        <v>-6000</v>
      </c>
      <c r="G395">
        <v>0</v>
      </c>
    </row>
    <row r="396" spans="1:7" x14ac:dyDescent="0.3">
      <c r="A396" s="2">
        <v>43489</v>
      </c>
      <c r="B396" t="s">
        <v>209</v>
      </c>
      <c r="C396">
        <v>-331.5</v>
      </c>
      <c r="D396" s="2">
        <v>43489</v>
      </c>
      <c r="E396" t="s">
        <v>27</v>
      </c>
      <c r="F396">
        <v>-331.5</v>
      </c>
      <c r="G396">
        <v>0</v>
      </c>
    </row>
    <row r="397" spans="1:7" x14ac:dyDescent="0.3">
      <c r="A397" s="2">
        <v>43489</v>
      </c>
      <c r="B397" t="s">
        <v>24</v>
      </c>
      <c r="C397">
        <v>1890</v>
      </c>
      <c r="D397" s="2">
        <v>43488</v>
      </c>
      <c r="E397" t="s">
        <v>25</v>
      </c>
      <c r="F397">
        <v>1890</v>
      </c>
      <c r="G397">
        <v>0</v>
      </c>
    </row>
    <row r="398" spans="1:7" x14ac:dyDescent="0.3">
      <c r="A398" s="2">
        <v>43490</v>
      </c>
      <c r="B398" t="s">
        <v>167</v>
      </c>
      <c r="C398">
        <v>1500</v>
      </c>
      <c r="D398" s="2">
        <v>43490</v>
      </c>
      <c r="E398" t="s">
        <v>25</v>
      </c>
      <c r="F398">
        <v>1500</v>
      </c>
      <c r="G398">
        <v>0</v>
      </c>
    </row>
    <row r="399" spans="1:7" x14ac:dyDescent="0.3">
      <c r="A399" s="2">
        <v>43490</v>
      </c>
      <c r="B399" t="s">
        <v>24</v>
      </c>
      <c r="C399">
        <v>1700</v>
      </c>
      <c r="D399" s="2">
        <v>43489</v>
      </c>
      <c r="E399" t="s">
        <v>25</v>
      </c>
      <c r="F399">
        <v>1700</v>
      </c>
      <c r="G399">
        <v>0</v>
      </c>
    </row>
    <row r="400" spans="1:7" x14ac:dyDescent="0.3">
      <c r="A400" s="2">
        <v>43493</v>
      </c>
      <c r="B400" t="s">
        <v>47</v>
      </c>
      <c r="C400">
        <v>1060</v>
      </c>
      <c r="D400" s="2">
        <v>43490</v>
      </c>
      <c r="E400" t="s">
        <v>25</v>
      </c>
      <c r="F400">
        <v>1060</v>
      </c>
      <c r="G400">
        <v>0</v>
      </c>
    </row>
    <row r="401" spans="1:7" x14ac:dyDescent="0.3">
      <c r="A401" s="2">
        <v>43493</v>
      </c>
      <c r="B401" t="s">
        <v>210</v>
      </c>
      <c r="C401">
        <v>-327.71</v>
      </c>
      <c r="D401" s="2">
        <v>43493</v>
      </c>
      <c r="E401" t="s">
        <v>27</v>
      </c>
      <c r="F401">
        <v>-327.71</v>
      </c>
      <c r="G401">
        <v>0</v>
      </c>
    </row>
    <row r="402" spans="1:7" x14ac:dyDescent="0.3">
      <c r="A402" s="2">
        <v>43493</v>
      </c>
      <c r="B402" t="s">
        <v>24</v>
      </c>
      <c r="C402">
        <v>2490</v>
      </c>
      <c r="D402" s="2">
        <v>43491</v>
      </c>
      <c r="E402" t="s">
        <v>25</v>
      </c>
      <c r="F402">
        <v>2490</v>
      </c>
      <c r="G402">
        <v>0</v>
      </c>
    </row>
    <row r="403" spans="1:7" x14ac:dyDescent="0.3">
      <c r="A403" s="2">
        <v>43493</v>
      </c>
      <c r="B403" t="s">
        <v>211</v>
      </c>
      <c r="C403">
        <v>-59.87</v>
      </c>
      <c r="D403" s="2">
        <v>43493</v>
      </c>
      <c r="E403" t="s">
        <v>27</v>
      </c>
      <c r="F403">
        <v>-59.87</v>
      </c>
      <c r="G403">
        <v>0</v>
      </c>
    </row>
    <row r="404" spans="1:7" x14ac:dyDescent="0.3">
      <c r="A404" s="2">
        <v>43493</v>
      </c>
      <c r="B404" t="s">
        <v>24</v>
      </c>
      <c r="C404">
        <v>295</v>
      </c>
      <c r="D404" s="2">
        <v>43492</v>
      </c>
      <c r="E404" t="s">
        <v>25</v>
      </c>
      <c r="F404">
        <v>295</v>
      </c>
      <c r="G404">
        <v>0</v>
      </c>
    </row>
    <row r="405" spans="1:7" x14ac:dyDescent="0.3">
      <c r="A405" s="2">
        <v>43494</v>
      </c>
      <c r="B405" t="s">
        <v>212</v>
      </c>
      <c r="C405">
        <v>-70.77</v>
      </c>
      <c r="D405" s="2">
        <v>43494</v>
      </c>
      <c r="E405" t="s">
        <v>27</v>
      </c>
      <c r="F405">
        <v>-70.77</v>
      </c>
      <c r="G405">
        <v>0</v>
      </c>
    </row>
    <row r="406" spans="1:7" x14ac:dyDescent="0.3">
      <c r="A406" s="2">
        <v>43494</v>
      </c>
      <c r="B406" t="s">
        <v>213</v>
      </c>
      <c r="C406">
        <v>-7350</v>
      </c>
      <c r="D406" s="2">
        <v>43497</v>
      </c>
      <c r="E406" t="s">
        <v>27</v>
      </c>
      <c r="F406">
        <v>-7350</v>
      </c>
      <c r="G406">
        <v>0</v>
      </c>
    </row>
    <row r="407" spans="1:7" x14ac:dyDescent="0.3">
      <c r="A407" s="2">
        <v>43494</v>
      </c>
      <c r="B407" t="s">
        <v>47</v>
      </c>
      <c r="C407">
        <v>11650</v>
      </c>
      <c r="D407" s="2">
        <v>43493</v>
      </c>
      <c r="E407" t="s">
        <v>25</v>
      </c>
      <c r="F407">
        <v>11650</v>
      </c>
      <c r="G407">
        <v>0</v>
      </c>
    </row>
    <row r="408" spans="1:7" x14ac:dyDescent="0.3">
      <c r="A408" s="2">
        <v>43495</v>
      </c>
      <c r="B408" t="s">
        <v>24</v>
      </c>
      <c r="C408">
        <v>3225</v>
      </c>
      <c r="D408" s="2">
        <v>43494</v>
      </c>
      <c r="E408" t="s">
        <v>25</v>
      </c>
      <c r="F408">
        <v>3225</v>
      </c>
      <c r="G408">
        <v>0</v>
      </c>
    </row>
    <row r="409" spans="1:7" x14ac:dyDescent="0.3">
      <c r="A409" s="2">
        <v>43496</v>
      </c>
      <c r="B409" t="s">
        <v>24</v>
      </c>
      <c r="C409">
        <v>2800</v>
      </c>
      <c r="D409" s="2">
        <v>43495</v>
      </c>
      <c r="E409" t="s">
        <v>25</v>
      </c>
      <c r="F409">
        <v>2800</v>
      </c>
      <c r="G409">
        <v>0</v>
      </c>
    </row>
    <row r="410" spans="1:7" x14ac:dyDescent="0.3">
      <c r="A410" s="2">
        <v>43497</v>
      </c>
      <c r="B410" t="s">
        <v>214</v>
      </c>
      <c r="C410">
        <v>-28.99</v>
      </c>
      <c r="D410" s="2">
        <v>43497</v>
      </c>
      <c r="E410" t="s">
        <v>27</v>
      </c>
      <c r="F410">
        <v>-28.99</v>
      </c>
      <c r="G410">
        <v>0</v>
      </c>
    </row>
    <row r="411" spans="1:7" x14ac:dyDescent="0.3">
      <c r="A411" s="2">
        <v>43497</v>
      </c>
      <c r="B411" t="s">
        <v>24</v>
      </c>
      <c r="C411">
        <v>4030</v>
      </c>
      <c r="D411" s="2">
        <v>43496</v>
      </c>
      <c r="E411" t="s">
        <v>25</v>
      </c>
      <c r="F411">
        <v>4030</v>
      </c>
      <c r="G411">
        <v>0</v>
      </c>
    </row>
    <row r="412" spans="1:7" x14ac:dyDescent="0.3">
      <c r="A412" s="2">
        <v>43497</v>
      </c>
      <c r="B412" t="s">
        <v>215</v>
      </c>
      <c r="C412">
        <v>-72.97</v>
      </c>
      <c r="D412" s="2">
        <v>43497</v>
      </c>
      <c r="E412" t="s">
        <v>27</v>
      </c>
      <c r="F412">
        <v>-72.97</v>
      </c>
      <c r="G412">
        <v>0</v>
      </c>
    </row>
    <row r="413" spans="1:7" x14ac:dyDescent="0.3">
      <c r="A413" s="2">
        <v>43497</v>
      </c>
      <c r="B413" t="s">
        <v>216</v>
      </c>
      <c r="C413">
        <v>-23.14</v>
      </c>
      <c r="D413" s="2">
        <v>43497</v>
      </c>
      <c r="E413" t="s">
        <v>27</v>
      </c>
      <c r="F413">
        <v>-23.14</v>
      </c>
      <c r="G413">
        <v>0</v>
      </c>
    </row>
    <row r="414" spans="1:7" x14ac:dyDescent="0.3">
      <c r="A414" s="2">
        <v>43500</v>
      </c>
      <c r="B414" t="s">
        <v>53</v>
      </c>
      <c r="C414">
        <v>-6651.14</v>
      </c>
      <c r="D414" s="2">
        <v>43500</v>
      </c>
      <c r="E414" t="s">
        <v>27</v>
      </c>
      <c r="F414">
        <v>-6651.14</v>
      </c>
      <c r="G414">
        <v>0</v>
      </c>
    </row>
    <row r="415" spans="1:7" x14ac:dyDescent="0.3">
      <c r="A415" s="2">
        <v>43500</v>
      </c>
      <c r="B415" t="s">
        <v>217</v>
      </c>
      <c r="C415">
        <v>-41.08</v>
      </c>
      <c r="D415" s="2">
        <v>43500</v>
      </c>
      <c r="E415" t="s">
        <v>27</v>
      </c>
      <c r="F415">
        <v>-41.08</v>
      </c>
      <c r="G415">
        <v>0</v>
      </c>
    </row>
    <row r="416" spans="1:7" x14ac:dyDescent="0.3">
      <c r="A416" s="2">
        <v>43500</v>
      </c>
      <c r="B416" t="s">
        <v>24</v>
      </c>
      <c r="C416">
        <v>11075</v>
      </c>
      <c r="D416" s="2">
        <v>43500</v>
      </c>
      <c r="E416" t="s">
        <v>25</v>
      </c>
      <c r="F416">
        <v>11075</v>
      </c>
      <c r="G416">
        <v>0</v>
      </c>
    </row>
    <row r="417" spans="1:7" x14ac:dyDescent="0.3">
      <c r="A417" s="2">
        <v>43500</v>
      </c>
      <c r="B417" t="s">
        <v>24</v>
      </c>
      <c r="C417">
        <v>1055</v>
      </c>
      <c r="D417" s="2">
        <v>43500</v>
      </c>
      <c r="E417" t="s">
        <v>25</v>
      </c>
      <c r="F417">
        <v>1055</v>
      </c>
      <c r="G417">
        <v>0</v>
      </c>
    </row>
    <row r="418" spans="1:7" x14ac:dyDescent="0.3">
      <c r="A418" s="2">
        <v>43500</v>
      </c>
      <c r="B418" t="s">
        <v>218</v>
      </c>
      <c r="C418">
        <v>-55</v>
      </c>
      <c r="D418" s="2">
        <v>43500</v>
      </c>
      <c r="E418" t="s">
        <v>27</v>
      </c>
      <c r="F418">
        <v>-55</v>
      </c>
      <c r="G418">
        <v>0</v>
      </c>
    </row>
    <row r="419" spans="1:7" x14ac:dyDescent="0.3">
      <c r="A419" s="2">
        <v>43500</v>
      </c>
      <c r="B419" t="s">
        <v>24</v>
      </c>
      <c r="C419">
        <v>5195</v>
      </c>
      <c r="D419" s="2">
        <v>43500</v>
      </c>
      <c r="E419" t="s">
        <v>25</v>
      </c>
      <c r="F419">
        <v>5195</v>
      </c>
      <c r="G419">
        <v>0</v>
      </c>
    </row>
    <row r="420" spans="1:7" x14ac:dyDescent="0.3">
      <c r="A420" s="2">
        <v>43501</v>
      </c>
      <c r="B420" t="s">
        <v>219</v>
      </c>
      <c r="C420">
        <v>-34.950000000000003</v>
      </c>
      <c r="D420" s="2">
        <v>43501</v>
      </c>
      <c r="E420" t="s">
        <v>27</v>
      </c>
      <c r="F420">
        <v>-34.950000000000003</v>
      </c>
      <c r="G420">
        <v>0</v>
      </c>
    </row>
    <row r="421" spans="1:7" x14ac:dyDescent="0.3">
      <c r="A421" s="2">
        <v>43501</v>
      </c>
      <c r="B421" t="s">
        <v>220</v>
      </c>
      <c r="C421">
        <v>-138.96</v>
      </c>
      <c r="D421" s="2">
        <v>43501</v>
      </c>
      <c r="E421" t="s">
        <v>27</v>
      </c>
      <c r="F421">
        <v>-138.96</v>
      </c>
      <c r="G421">
        <v>0</v>
      </c>
    </row>
    <row r="422" spans="1:7" x14ac:dyDescent="0.3">
      <c r="A422" s="2">
        <v>43501</v>
      </c>
      <c r="B422" t="s">
        <v>24</v>
      </c>
      <c r="C422">
        <v>1045</v>
      </c>
      <c r="D422" s="2">
        <v>43501</v>
      </c>
      <c r="E422" t="s">
        <v>25</v>
      </c>
      <c r="F422">
        <v>1045</v>
      </c>
      <c r="G422">
        <v>0</v>
      </c>
    </row>
    <row r="423" spans="1:7" x14ac:dyDescent="0.3">
      <c r="A423" s="2">
        <v>43502</v>
      </c>
      <c r="B423" t="s">
        <v>221</v>
      </c>
      <c r="C423">
        <v>-22</v>
      </c>
      <c r="D423" s="2">
        <v>43502</v>
      </c>
      <c r="E423" t="s">
        <v>27</v>
      </c>
      <c r="F423">
        <v>-22</v>
      </c>
      <c r="G423">
        <v>0</v>
      </c>
    </row>
    <row r="424" spans="1:7" x14ac:dyDescent="0.3">
      <c r="A424" s="2">
        <v>43502</v>
      </c>
      <c r="B424" t="s">
        <v>24</v>
      </c>
      <c r="C424">
        <v>10955</v>
      </c>
      <c r="D424" s="2">
        <v>43502</v>
      </c>
      <c r="E424" t="s">
        <v>25</v>
      </c>
      <c r="F424">
        <v>10955</v>
      </c>
      <c r="G424">
        <v>0</v>
      </c>
    </row>
    <row r="425" spans="1:7" x14ac:dyDescent="0.3">
      <c r="A425" s="2">
        <v>43503</v>
      </c>
      <c r="B425" t="s">
        <v>24</v>
      </c>
      <c r="C425">
        <v>1965</v>
      </c>
      <c r="D425" s="2">
        <v>43503</v>
      </c>
      <c r="E425" t="s">
        <v>25</v>
      </c>
      <c r="F425">
        <v>1965</v>
      </c>
      <c r="G425">
        <v>0</v>
      </c>
    </row>
    <row r="426" spans="1:7" x14ac:dyDescent="0.3">
      <c r="A426" s="2">
        <v>43504</v>
      </c>
      <c r="B426" t="s">
        <v>24</v>
      </c>
      <c r="C426">
        <v>3130</v>
      </c>
      <c r="D426" s="2">
        <v>43504</v>
      </c>
      <c r="E426" t="s">
        <v>25</v>
      </c>
      <c r="F426">
        <v>3130</v>
      </c>
      <c r="G426">
        <v>0</v>
      </c>
    </row>
    <row r="427" spans="1:7" x14ac:dyDescent="0.3">
      <c r="A427" s="2">
        <v>43507</v>
      </c>
      <c r="B427" t="s">
        <v>24</v>
      </c>
      <c r="C427">
        <v>415</v>
      </c>
      <c r="D427" s="2">
        <v>43506</v>
      </c>
      <c r="E427" t="s">
        <v>25</v>
      </c>
      <c r="F427">
        <v>415</v>
      </c>
      <c r="G427">
        <v>0</v>
      </c>
    </row>
    <row r="428" spans="1:7" x14ac:dyDescent="0.3">
      <c r="A428" s="2">
        <v>43507</v>
      </c>
      <c r="B428" t="s">
        <v>24</v>
      </c>
      <c r="C428">
        <v>635</v>
      </c>
      <c r="D428" s="2">
        <v>43505</v>
      </c>
      <c r="E428" t="s">
        <v>25</v>
      </c>
      <c r="F428">
        <v>635</v>
      </c>
      <c r="G428">
        <v>0</v>
      </c>
    </row>
    <row r="429" spans="1:7" x14ac:dyDescent="0.3">
      <c r="A429" s="2">
        <v>43507</v>
      </c>
      <c r="B429" t="s">
        <v>222</v>
      </c>
      <c r="C429">
        <v>-9.99</v>
      </c>
      <c r="D429" s="2">
        <v>43507</v>
      </c>
      <c r="E429" t="s">
        <v>27</v>
      </c>
      <c r="F429">
        <v>-9.99</v>
      </c>
      <c r="G429">
        <v>0</v>
      </c>
    </row>
    <row r="430" spans="1:7" x14ac:dyDescent="0.3">
      <c r="A430" s="2">
        <v>43507</v>
      </c>
      <c r="B430" t="s">
        <v>24</v>
      </c>
      <c r="C430">
        <v>4380</v>
      </c>
      <c r="D430" s="2">
        <v>43504</v>
      </c>
      <c r="E430" t="s">
        <v>25</v>
      </c>
      <c r="F430">
        <v>4380</v>
      </c>
      <c r="G430">
        <v>0</v>
      </c>
    </row>
    <row r="431" spans="1:7" x14ac:dyDescent="0.3">
      <c r="A431" s="2">
        <v>43509</v>
      </c>
      <c r="B431" t="s">
        <v>223</v>
      </c>
      <c r="C431">
        <v>-15.99</v>
      </c>
      <c r="D431" s="2">
        <v>43509</v>
      </c>
      <c r="E431" t="s">
        <v>27</v>
      </c>
      <c r="F431">
        <v>-15.99</v>
      </c>
      <c r="G431">
        <v>0</v>
      </c>
    </row>
    <row r="432" spans="1:7" x14ac:dyDescent="0.3">
      <c r="A432" s="2">
        <v>43509</v>
      </c>
      <c r="B432" t="s">
        <v>24</v>
      </c>
      <c r="C432">
        <v>2775</v>
      </c>
      <c r="D432" s="2">
        <v>43507</v>
      </c>
      <c r="E432" t="s">
        <v>25</v>
      </c>
      <c r="F432">
        <v>2775</v>
      </c>
      <c r="G432">
        <v>0</v>
      </c>
    </row>
    <row r="433" spans="1:7" x14ac:dyDescent="0.3">
      <c r="A433" s="2">
        <v>43510</v>
      </c>
      <c r="B433" t="s">
        <v>224</v>
      </c>
      <c r="C433">
        <v>-88.39</v>
      </c>
      <c r="D433" s="2">
        <v>43510</v>
      </c>
      <c r="E433" t="s">
        <v>27</v>
      </c>
      <c r="F433">
        <v>-88.39</v>
      </c>
      <c r="G433">
        <v>0</v>
      </c>
    </row>
    <row r="434" spans="1:7" x14ac:dyDescent="0.3">
      <c r="A434" s="2">
        <v>43510</v>
      </c>
      <c r="B434" t="s">
        <v>225</v>
      </c>
      <c r="C434">
        <v>-99</v>
      </c>
      <c r="D434" s="2">
        <v>43510</v>
      </c>
      <c r="E434" t="s">
        <v>27</v>
      </c>
      <c r="F434">
        <v>-99</v>
      </c>
      <c r="G434">
        <v>0</v>
      </c>
    </row>
    <row r="435" spans="1:7" x14ac:dyDescent="0.3">
      <c r="A435" s="2">
        <v>43510</v>
      </c>
      <c r="B435" t="s">
        <v>24</v>
      </c>
      <c r="C435">
        <v>2392.5</v>
      </c>
      <c r="D435" s="2">
        <v>43508</v>
      </c>
      <c r="E435" t="s">
        <v>25</v>
      </c>
      <c r="F435">
        <v>2392.5</v>
      </c>
      <c r="G435">
        <v>0</v>
      </c>
    </row>
    <row r="436" spans="1:7" x14ac:dyDescent="0.3">
      <c r="A436" s="2">
        <v>43510</v>
      </c>
      <c r="B436" t="s">
        <v>226</v>
      </c>
      <c r="C436">
        <v>-12</v>
      </c>
      <c r="D436" s="2">
        <v>43510</v>
      </c>
      <c r="E436" t="s">
        <v>27</v>
      </c>
      <c r="F436">
        <v>-12</v>
      </c>
      <c r="G436">
        <v>0</v>
      </c>
    </row>
    <row r="437" spans="1:7" x14ac:dyDescent="0.3">
      <c r="A437" s="2">
        <v>43511</v>
      </c>
      <c r="B437" t="s">
        <v>24</v>
      </c>
      <c r="C437">
        <v>2950</v>
      </c>
      <c r="D437" s="2">
        <v>43509</v>
      </c>
      <c r="E437" t="s">
        <v>25</v>
      </c>
      <c r="F437">
        <v>2950</v>
      </c>
      <c r="G437">
        <v>0</v>
      </c>
    </row>
    <row r="438" spans="1:7" x14ac:dyDescent="0.3">
      <c r="A438" s="2">
        <v>43515</v>
      </c>
      <c r="B438" t="s">
        <v>227</v>
      </c>
      <c r="C438">
        <v>-33</v>
      </c>
      <c r="D438" s="2">
        <v>43515</v>
      </c>
      <c r="E438" t="s">
        <v>27</v>
      </c>
      <c r="F438">
        <v>-33</v>
      </c>
      <c r="G438">
        <v>0</v>
      </c>
    </row>
    <row r="439" spans="1:7" x14ac:dyDescent="0.3">
      <c r="A439" s="2">
        <v>43515</v>
      </c>
      <c r="B439" t="s">
        <v>228</v>
      </c>
      <c r="C439">
        <v>-177.71</v>
      </c>
      <c r="D439" s="2">
        <v>43515</v>
      </c>
      <c r="E439" t="s">
        <v>27</v>
      </c>
      <c r="F439">
        <v>-177.71</v>
      </c>
      <c r="G439">
        <v>0</v>
      </c>
    </row>
    <row r="440" spans="1:7" x14ac:dyDescent="0.3">
      <c r="A440" s="2">
        <v>43515</v>
      </c>
      <c r="B440" t="s">
        <v>229</v>
      </c>
      <c r="C440">
        <v>-216.7</v>
      </c>
      <c r="D440" s="2">
        <v>43515</v>
      </c>
      <c r="E440" t="s">
        <v>27</v>
      </c>
      <c r="F440">
        <v>-216.7</v>
      </c>
      <c r="G440">
        <v>0</v>
      </c>
    </row>
    <row r="441" spans="1:7" x14ac:dyDescent="0.3">
      <c r="A441" s="2">
        <v>43515</v>
      </c>
      <c r="B441" t="s">
        <v>24</v>
      </c>
      <c r="C441">
        <v>380</v>
      </c>
      <c r="D441" s="2">
        <v>43512</v>
      </c>
      <c r="E441" t="s">
        <v>25</v>
      </c>
      <c r="F441">
        <v>380</v>
      </c>
      <c r="G441">
        <v>0</v>
      </c>
    </row>
    <row r="442" spans="1:7" x14ac:dyDescent="0.3">
      <c r="A442" s="2">
        <v>43516</v>
      </c>
      <c r="B442" t="s">
        <v>24</v>
      </c>
      <c r="C442">
        <v>1775</v>
      </c>
      <c r="D442" s="2">
        <v>43513</v>
      </c>
      <c r="E442" t="s">
        <v>25</v>
      </c>
      <c r="F442">
        <v>1775</v>
      </c>
      <c r="G442">
        <v>0</v>
      </c>
    </row>
    <row r="443" spans="1:7" x14ac:dyDescent="0.3">
      <c r="A443" s="2">
        <v>43517</v>
      </c>
      <c r="B443" t="s">
        <v>24</v>
      </c>
      <c r="C443">
        <v>3370</v>
      </c>
      <c r="D443" s="2">
        <v>43514</v>
      </c>
      <c r="E443" t="s">
        <v>25</v>
      </c>
      <c r="F443">
        <v>3370</v>
      </c>
      <c r="G443">
        <v>0</v>
      </c>
    </row>
    <row r="444" spans="1:7" x14ac:dyDescent="0.3">
      <c r="A444" s="2">
        <v>43517</v>
      </c>
      <c r="B444" t="s">
        <v>230</v>
      </c>
      <c r="C444">
        <v>-12500</v>
      </c>
      <c r="D444" s="2">
        <v>43517</v>
      </c>
      <c r="E444" t="s">
        <v>27</v>
      </c>
      <c r="F444">
        <v>-12500</v>
      </c>
      <c r="G444">
        <v>0</v>
      </c>
    </row>
    <row r="445" spans="1:7" x14ac:dyDescent="0.3">
      <c r="A445" s="2">
        <v>43517</v>
      </c>
      <c r="B445" t="s">
        <v>231</v>
      </c>
      <c r="C445">
        <v>-23389.62</v>
      </c>
      <c r="D445" s="2">
        <v>43517</v>
      </c>
      <c r="E445" t="s">
        <v>27</v>
      </c>
      <c r="F445">
        <v>-23389.62</v>
      </c>
      <c r="G445">
        <v>0</v>
      </c>
    </row>
    <row r="446" spans="1:7" x14ac:dyDescent="0.3">
      <c r="A446" s="2">
        <v>43518</v>
      </c>
      <c r="B446" t="s">
        <v>232</v>
      </c>
      <c r="C446">
        <v>-195.84</v>
      </c>
      <c r="D446" s="2">
        <v>43518</v>
      </c>
      <c r="E446" t="s">
        <v>27</v>
      </c>
      <c r="F446">
        <v>-195.84</v>
      </c>
      <c r="G446">
        <v>0</v>
      </c>
    </row>
    <row r="447" spans="1:7" x14ac:dyDescent="0.3">
      <c r="A447" s="2">
        <v>43518</v>
      </c>
      <c r="B447" t="s">
        <v>24</v>
      </c>
      <c r="C447">
        <v>2125</v>
      </c>
      <c r="D447" s="2">
        <v>43515</v>
      </c>
      <c r="E447" t="s">
        <v>25</v>
      </c>
      <c r="F447">
        <v>2125</v>
      </c>
      <c r="G447">
        <v>0</v>
      </c>
    </row>
    <row r="448" spans="1:7" x14ac:dyDescent="0.3">
      <c r="A448" s="2">
        <v>43518</v>
      </c>
      <c r="B448" t="s">
        <v>31</v>
      </c>
      <c r="C448">
        <v>2000</v>
      </c>
      <c r="D448" s="2">
        <v>43518</v>
      </c>
      <c r="E448" t="s">
        <v>25</v>
      </c>
      <c r="F448">
        <v>2000</v>
      </c>
      <c r="G448">
        <v>0</v>
      </c>
    </row>
    <row r="449" spans="1:7" x14ac:dyDescent="0.3">
      <c r="A449" s="2">
        <v>43518</v>
      </c>
      <c r="B449" t="s">
        <v>31</v>
      </c>
      <c r="C449">
        <v>4800</v>
      </c>
      <c r="D449" s="2">
        <v>43518</v>
      </c>
      <c r="E449" t="s">
        <v>25</v>
      </c>
      <c r="F449">
        <v>4800</v>
      </c>
      <c r="G449">
        <v>0</v>
      </c>
    </row>
    <row r="450" spans="1:7" x14ac:dyDescent="0.3">
      <c r="A450" s="2">
        <v>43521</v>
      </c>
      <c r="B450" t="s">
        <v>233</v>
      </c>
      <c r="C450">
        <v>-22.6</v>
      </c>
      <c r="D450" s="2">
        <v>43521</v>
      </c>
      <c r="E450" t="s">
        <v>27</v>
      </c>
      <c r="F450">
        <v>-22.6</v>
      </c>
      <c r="G450">
        <v>0</v>
      </c>
    </row>
    <row r="451" spans="1:7" x14ac:dyDescent="0.3">
      <c r="A451" s="2">
        <v>43521</v>
      </c>
      <c r="B451" t="s">
        <v>234</v>
      </c>
      <c r="C451">
        <v>-17.57</v>
      </c>
      <c r="D451" s="2">
        <v>43521</v>
      </c>
      <c r="E451" t="s">
        <v>27</v>
      </c>
      <c r="F451">
        <v>-17.57</v>
      </c>
      <c r="G451">
        <v>0</v>
      </c>
    </row>
    <row r="452" spans="1:7" x14ac:dyDescent="0.3">
      <c r="A452" s="2">
        <v>43521</v>
      </c>
      <c r="B452" t="s">
        <v>235</v>
      </c>
      <c r="C452">
        <v>-35.909999999999997</v>
      </c>
      <c r="D452" s="2">
        <v>43521</v>
      </c>
      <c r="E452" t="s">
        <v>27</v>
      </c>
      <c r="F452">
        <v>-35.909999999999997</v>
      </c>
      <c r="G452">
        <v>0</v>
      </c>
    </row>
    <row r="453" spans="1:7" x14ac:dyDescent="0.3">
      <c r="A453" s="2">
        <v>43521</v>
      </c>
      <c r="B453" t="s">
        <v>24</v>
      </c>
      <c r="C453">
        <v>275</v>
      </c>
      <c r="D453" s="2">
        <v>43518</v>
      </c>
      <c r="E453" t="s">
        <v>25</v>
      </c>
      <c r="F453">
        <v>275</v>
      </c>
      <c r="G453">
        <v>0</v>
      </c>
    </row>
    <row r="454" spans="1:7" x14ac:dyDescent="0.3">
      <c r="A454" s="2">
        <v>43521</v>
      </c>
      <c r="B454" t="s">
        <v>236</v>
      </c>
      <c r="C454">
        <v>-119.7</v>
      </c>
      <c r="D454" s="2">
        <v>43521</v>
      </c>
      <c r="E454" t="s">
        <v>27</v>
      </c>
      <c r="F454">
        <v>-119.7</v>
      </c>
      <c r="G454">
        <v>0</v>
      </c>
    </row>
    <row r="455" spans="1:7" x14ac:dyDescent="0.3">
      <c r="A455" s="2">
        <v>43521</v>
      </c>
      <c r="B455" t="s">
        <v>237</v>
      </c>
      <c r="C455">
        <v>-16.260000000000002</v>
      </c>
      <c r="D455" s="2">
        <v>43521</v>
      </c>
      <c r="E455" t="s">
        <v>27</v>
      </c>
      <c r="F455">
        <v>-16.260000000000002</v>
      </c>
      <c r="G455">
        <v>0</v>
      </c>
    </row>
    <row r="456" spans="1:7" x14ac:dyDescent="0.3">
      <c r="A456" s="2">
        <v>43521</v>
      </c>
      <c r="B456" t="s">
        <v>24</v>
      </c>
      <c r="C456">
        <v>-400</v>
      </c>
      <c r="D456" s="2">
        <v>43521</v>
      </c>
      <c r="E456" t="s">
        <v>27</v>
      </c>
      <c r="F456">
        <v>-400</v>
      </c>
      <c r="G456">
        <v>0</v>
      </c>
    </row>
    <row r="457" spans="1:7" x14ac:dyDescent="0.3">
      <c r="A457" s="2">
        <v>43521</v>
      </c>
      <c r="B457" t="s">
        <v>238</v>
      </c>
      <c r="C457">
        <v>-31.8</v>
      </c>
      <c r="D457" s="2">
        <v>43521</v>
      </c>
      <c r="E457" t="s">
        <v>27</v>
      </c>
      <c r="F457">
        <v>-31.8</v>
      </c>
      <c r="G457">
        <v>0</v>
      </c>
    </row>
    <row r="458" spans="1:7" x14ac:dyDescent="0.3">
      <c r="A458" s="2">
        <v>43522</v>
      </c>
      <c r="B458" t="s">
        <v>239</v>
      </c>
      <c r="C458">
        <v>-70.77</v>
      </c>
      <c r="D458" s="2">
        <v>43522</v>
      </c>
      <c r="E458" t="s">
        <v>27</v>
      </c>
      <c r="F458">
        <v>-70.77</v>
      </c>
      <c r="G458">
        <v>0</v>
      </c>
    </row>
    <row r="459" spans="1:7" x14ac:dyDescent="0.3">
      <c r="A459" s="2">
        <v>43522</v>
      </c>
      <c r="B459" t="s">
        <v>240</v>
      </c>
      <c r="C459">
        <v>-59.87</v>
      </c>
      <c r="D459" s="2">
        <v>43522</v>
      </c>
      <c r="E459" t="s">
        <v>27</v>
      </c>
      <c r="F459">
        <v>-59.87</v>
      </c>
      <c r="G459">
        <v>0</v>
      </c>
    </row>
    <row r="460" spans="1:7" x14ac:dyDescent="0.3">
      <c r="A460" s="2">
        <v>43522</v>
      </c>
      <c r="B460" t="s">
        <v>24</v>
      </c>
      <c r="C460">
        <v>340</v>
      </c>
      <c r="D460" s="2">
        <v>43519</v>
      </c>
      <c r="E460" t="s">
        <v>25</v>
      </c>
      <c r="F460">
        <v>340</v>
      </c>
      <c r="G460">
        <v>0</v>
      </c>
    </row>
    <row r="461" spans="1:7" x14ac:dyDescent="0.3">
      <c r="A461" s="2">
        <v>43523</v>
      </c>
      <c r="B461" t="s">
        <v>24</v>
      </c>
      <c r="C461">
        <v>3520</v>
      </c>
      <c r="D461" s="2">
        <v>43520</v>
      </c>
      <c r="E461" t="s">
        <v>25</v>
      </c>
      <c r="F461">
        <v>3520</v>
      </c>
      <c r="G461">
        <v>0</v>
      </c>
    </row>
    <row r="462" spans="1:7" x14ac:dyDescent="0.3">
      <c r="A462" s="2">
        <v>43523</v>
      </c>
      <c r="B462" t="s">
        <v>241</v>
      </c>
      <c r="C462">
        <v>-17996.21</v>
      </c>
      <c r="D462" s="2">
        <v>43523</v>
      </c>
      <c r="E462" t="s">
        <v>27</v>
      </c>
      <c r="F462">
        <v>-17996.21</v>
      </c>
      <c r="G462">
        <v>0</v>
      </c>
    </row>
    <row r="463" spans="1:7" x14ac:dyDescent="0.3">
      <c r="A463" s="2">
        <v>43523</v>
      </c>
      <c r="B463" t="s">
        <v>242</v>
      </c>
      <c r="C463">
        <v>-20.81</v>
      </c>
      <c r="D463" s="2">
        <v>43523</v>
      </c>
      <c r="E463" t="s">
        <v>27</v>
      </c>
      <c r="F463">
        <v>-20.81</v>
      </c>
      <c r="G463">
        <v>0</v>
      </c>
    </row>
    <row r="464" spans="1:7" x14ac:dyDescent="0.3">
      <c r="A464" s="2">
        <v>43524</v>
      </c>
      <c r="B464" t="s">
        <v>243</v>
      </c>
      <c r="C464">
        <v>-26.9</v>
      </c>
      <c r="D464" s="2">
        <v>43524</v>
      </c>
      <c r="E464" t="s">
        <v>27</v>
      </c>
      <c r="F464">
        <v>-26.9</v>
      </c>
      <c r="G464">
        <v>0</v>
      </c>
    </row>
    <row r="465" spans="1:7" x14ac:dyDescent="0.3">
      <c r="A465" s="2">
        <v>43524</v>
      </c>
      <c r="B465" t="s">
        <v>24</v>
      </c>
      <c r="C465">
        <v>2945</v>
      </c>
      <c r="D465" s="2">
        <v>43521</v>
      </c>
      <c r="E465" t="s">
        <v>25</v>
      </c>
      <c r="F465">
        <v>2945</v>
      </c>
      <c r="G465">
        <v>0</v>
      </c>
    </row>
    <row r="466" spans="1:7" x14ac:dyDescent="0.3">
      <c r="A466" s="2">
        <v>43524</v>
      </c>
      <c r="B466" t="s">
        <v>244</v>
      </c>
      <c r="C466">
        <v>-13.35</v>
      </c>
      <c r="D466" s="2">
        <v>43524</v>
      </c>
      <c r="E466" t="s">
        <v>27</v>
      </c>
      <c r="F466">
        <v>-13.35</v>
      </c>
      <c r="G466">
        <v>0</v>
      </c>
    </row>
    <row r="467" spans="1:7" x14ac:dyDescent="0.3">
      <c r="A467" s="2">
        <v>43524</v>
      </c>
      <c r="B467" t="s">
        <v>245</v>
      </c>
      <c r="C467">
        <v>-3.8</v>
      </c>
      <c r="D467" s="2">
        <v>43524</v>
      </c>
      <c r="E467" t="s">
        <v>27</v>
      </c>
      <c r="F467">
        <v>-3.8</v>
      </c>
      <c r="G467">
        <v>0</v>
      </c>
    </row>
    <row r="468" spans="1:7" x14ac:dyDescent="0.3">
      <c r="A468" s="2">
        <v>43525</v>
      </c>
      <c r="B468" t="s">
        <v>246</v>
      </c>
      <c r="C468">
        <v>-93.63</v>
      </c>
      <c r="D468" s="2">
        <v>43525</v>
      </c>
      <c r="E468" t="s">
        <v>27</v>
      </c>
      <c r="F468">
        <v>-93.63</v>
      </c>
      <c r="G468">
        <v>0</v>
      </c>
    </row>
    <row r="469" spans="1:7" x14ac:dyDescent="0.3">
      <c r="A469" s="2">
        <v>43525</v>
      </c>
      <c r="B469" t="s">
        <v>247</v>
      </c>
      <c r="C469">
        <v>-15.34</v>
      </c>
      <c r="D469" s="2">
        <v>43525</v>
      </c>
      <c r="E469" t="s">
        <v>27</v>
      </c>
      <c r="F469">
        <v>-15.34</v>
      </c>
      <c r="G469">
        <v>0</v>
      </c>
    </row>
    <row r="470" spans="1:7" x14ac:dyDescent="0.3">
      <c r="A470" s="2">
        <v>43525</v>
      </c>
      <c r="B470" t="s">
        <v>248</v>
      </c>
      <c r="C470">
        <v>-568.09</v>
      </c>
      <c r="D470" s="2">
        <v>43525</v>
      </c>
      <c r="E470" t="s">
        <v>27</v>
      </c>
      <c r="F470">
        <v>-568.09</v>
      </c>
      <c r="G470">
        <v>0</v>
      </c>
    </row>
    <row r="471" spans="1:7" x14ac:dyDescent="0.3">
      <c r="A471" s="2">
        <v>43525</v>
      </c>
      <c r="B471" t="s">
        <v>247</v>
      </c>
      <c r="C471">
        <v>-14.04</v>
      </c>
      <c r="D471" s="2">
        <v>43525</v>
      </c>
      <c r="E471" t="s">
        <v>27</v>
      </c>
      <c r="F471">
        <v>-14.04</v>
      </c>
      <c r="G471">
        <v>0</v>
      </c>
    </row>
    <row r="472" spans="1:7" x14ac:dyDescent="0.3">
      <c r="A472" s="2">
        <v>43525</v>
      </c>
      <c r="B472" t="s">
        <v>249</v>
      </c>
      <c r="C472">
        <v>-58.84</v>
      </c>
      <c r="D472" s="2">
        <v>43525</v>
      </c>
      <c r="E472" t="s">
        <v>27</v>
      </c>
      <c r="F472">
        <v>-58.84</v>
      </c>
      <c r="G472">
        <v>0</v>
      </c>
    </row>
    <row r="473" spans="1:7" x14ac:dyDescent="0.3">
      <c r="A473" s="2">
        <v>43525</v>
      </c>
      <c r="B473" t="s">
        <v>250</v>
      </c>
      <c r="C473">
        <v>-28.23</v>
      </c>
      <c r="D473" s="2">
        <v>43525</v>
      </c>
      <c r="E473" t="s">
        <v>27</v>
      </c>
      <c r="F473">
        <v>-28.23</v>
      </c>
      <c r="G473">
        <v>0</v>
      </c>
    </row>
    <row r="474" spans="1:7" x14ac:dyDescent="0.3">
      <c r="A474" s="2">
        <v>43525</v>
      </c>
      <c r="B474" t="s">
        <v>24</v>
      </c>
      <c r="C474">
        <v>2115</v>
      </c>
      <c r="D474" s="2">
        <v>43522</v>
      </c>
      <c r="E474" t="s">
        <v>25</v>
      </c>
      <c r="F474">
        <v>2115</v>
      </c>
      <c r="G474">
        <v>0</v>
      </c>
    </row>
    <row r="475" spans="1:7" x14ac:dyDescent="0.3">
      <c r="A475" s="2">
        <v>43528</v>
      </c>
      <c r="B475" t="s">
        <v>251</v>
      </c>
      <c r="C475">
        <v>-36.51</v>
      </c>
      <c r="D475" s="2">
        <v>43528</v>
      </c>
      <c r="E475" t="s">
        <v>27</v>
      </c>
      <c r="F475">
        <v>-36.51</v>
      </c>
      <c r="G475">
        <v>0</v>
      </c>
    </row>
    <row r="476" spans="1:7" x14ac:dyDescent="0.3">
      <c r="A476" s="2">
        <v>43528</v>
      </c>
      <c r="B476" t="s">
        <v>252</v>
      </c>
      <c r="C476">
        <v>-10.5</v>
      </c>
      <c r="D476" s="2">
        <v>43528</v>
      </c>
      <c r="E476" t="s">
        <v>27</v>
      </c>
      <c r="F476">
        <v>-10.5</v>
      </c>
      <c r="G476">
        <v>0</v>
      </c>
    </row>
    <row r="477" spans="1:7" x14ac:dyDescent="0.3">
      <c r="A477" s="2">
        <v>43528</v>
      </c>
      <c r="B477" t="s">
        <v>253</v>
      </c>
      <c r="C477">
        <v>-55</v>
      </c>
      <c r="D477" s="2">
        <v>43528</v>
      </c>
      <c r="E477" t="s">
        <v>27</v>
      </c>
      <c r="F477">
        <v>-55</v>
      </c>
      <c r="G477">
        <v>0</v>
      </c>
    </row>
    <row r="478" spans="1:7" x14ac:dyDescent="0.3">
      <c r="A478" s="2">
        <v>43528</v>
      </c>
      <c r="B478" t="s">
        <v>254</v>
      </c>
      <c r="C478">
        <v>-14.75</v>
      </c>
      <c r="D478" s="2">
        <v>43528</v>
      </c>
      <c r="E478" t="s">
        <v>27</v>
      </c>
      <c r="F478">
        <v>-14.75</v>
      </c>
      <c r="G478">
        <v>0</v>
      </c>
    </row>
    <row r="479" spans="1:7" x14ac:dyDescent="0.3">
      <c r="A479" s="2">
        <v>43528</v>
      </c>
      <c r="B479" t="s">
        <v>255</v>
      </c>
      <c r="C479">
        <v>-23</v>
      </c>
      <c r="D479" s="2">
        <v>43528</v>
      </c>
      <c r="E479" t="s">
        <v>27</v>
      </c>
      <c r="F479">
        <v>-23</v>
      </c>
      <c r="G479">
        <v>0</v>
      </c>
    </row>
    <row r="480" spans="1:7" x14ac:dyDescent="0.3">
      <c r="A480" s="2">
        <v>43528</v>
      </c>
      <c r="B480" t="s">
        <v>256</v>
      </c>
      <c r="C480">
        <v>-6.51</v>
      </c>
      <c r="D480" s="2">
        <v>43528</v>
      </c>
      <c r="E480" t="s">
        <v>27</v>
      </c>
      <c r="F480">
        <v>-6.51</v>
      </c>
      <c r="G480">
        <v>0</v>
      </c>
    </row>
    <row r="481" spans="1:7" x14ac:dyDescent="0.3">
      <c r="A481" s="2">
        <v>43528</v>
      </c>
      <c r="B481" t="s">
        <v>257</v>
      </c>
      <c r="C481">
        <v>-300</v>
      </c>
      <c r="D481" s="2">
        <v>43528</v>
      </c>
      <c r="E481" t="s">
        <v>27</v>
      </c>
      <c r="F481">
        <v>-300</v>
      </c>
      <c r="G481">
        <v>0</v>
      </c>
    </row>
    <row r="482" spans="1:7" x14ac:dyDescent="0.3">
      <c r="A482" s="2">
        <v>43528</v>
      </c>
      <c r="B482" t="s">
        <v>53</v>
      </c>
      <c r="C482">
        <v>-3058.03</v>
      </c>
      <c r="D482" s="2">
        <v>43528</v>
      </c>
      <c r="E482" t="s">
        <v>27</v>
      </c>
      <c r="F482">
        <v>-3058.03</v>
      </c>
      <c r="G482">
        <v>0</v>
      </c>
    </row>
    <row r="483" spans="1:7" x14ac:dyDescent="0.3">
      <c r="A483" s="2">
        <v>43528</v>
      </c>
      <c r="B483" t="s">
        <v>24</v>
      </c>
      <c r="C483">
        <v>1930</v>
      </c>
      <c r="D483" s="2">
        <v>43528</v>
      </c>
      <c r="E483" t="s">
        <v>25</v>
      </c>
      <c r="F483">
        <v>1930</v>
      </c>
      <c r="G483">
        <v>0</v>
      </c>
    </row>
    <row r="484" spans="1:7" x14ac:dyDescent="0.3">
      <c r="A484" s="2">
        <v>43528</v>
      </c>
      <c r="B484" t="s">
        <v>24</v>
      </c>
      <c r="C484">
        <v>715</v>
      </c>
      <c r="D484" s="2">
        <v>43528</v>
      </c>
      <c r="E484" t="s">
        <v>25</v>
      </c>
      <c r="F484">
        <v>715</v>
      </c>
      <c r="G484">
        <v>0</v>
      </c>
    </row>
    <row r="485" spans="1:7" x14ac:dyDescent="0.3">
      <c r="A485" s="2">
        <v>43528</v>
      </c>
      <c r="B485" t="s">
        <v>258</v>
      </c>
      <c r="C485">
        <v>-45000</v>
      </c>
      <c r="D485" s="2">
        <v>43528</v>
      </c>
      <c r="E485" t="s">
        <v>27</v>
      </c>
      <c r="F485">
        <v>-45000</v>
      </c>
      <c r="G485">
        <v>0</v>
      </c>
    </row>
    <row r="486" spans="1:7" x14ac:dyDescent="0.3">
      <c r="A486" s="2">
        <v>43528</v>
      </c>
      <c r="B486" t="s">
        <v>24</v>
      </c>
      <c r="C486">
        <v>5155</v>
      </c>
      <c r="D486" s="2">
        <v>43528</v>
      </c>
      <c r="E486" t="s">
        <v>25</v>
      </c>
      <c r="F486">
        <v>5155</v>
      </c>
      <c r="G486">
        <v>0</v>
      </c>
    </row>
    <row r="487" spans="1:7" x14ac:dyDescent="0.3">
      <c r="A487" s="2">
        <v>43529</v>
      </c>
      <c r="B487" t="s">
        <v>259</v>
      </c>
      <c r="C487">
        <v>-25.08</v>
      </c>
      <c r="D487" s="2">
        <v>43529</v>
      </c>
      <c r="E487" t="s">
        <v>27</v>
      </c>
      <c r="F487">
        <v>-25.08</v>
      </c>
      <c r="G487">
        <v>0</v>
      </c>
    </row>
    <row r="488" spans="1:7" x14ac:dyDescent="0.3">
      <c r="A488" s="2">
        <v>43529</v>
      </c>
      <c r="B488" t="s">
        <v>260</v>
      </c>
      <c r="C488">
        <v>-46.21</v>
      </c>
      <c r="D488" s="2">
        <v>43529</v>
      </c>
      <c r="E488" t="s">
        <v>27</v>
      </c>
      <c r="F488">
        <v>-46.21</v>
      </c>
      <c r="G488">
        <v>0</v>
      </c>
    </row>
    <row r="489" spans="1:7" x14ac:dyDescent="0.3">
      <c r="A489" s="2">
        <v>43529</v>
      </c>
      <c r="B489" t="s">
        <v>261</v>
      </c>
      <c r="C489">
        <v>-34.950000000000003</v>
      </c>
      <c r="D489" s="2">
        <v>43529</v>
      </c>
      <c r="E489" t="s">
        <v>27</v>
      </c>
      <c r="F489">
        <v>-34.950000000000003</v>
      </c>
      <c r="G489">
        <v>0</v>
      </c>
    </row>
    <row r="490" spans="1:7" x14ac:dyDescent="0.3">
      <c r="A490" s="2">
        <v>43529</v>
      </c>
      <c r="B490" t="s">
        <v>262</v>
      </c>
      <c r="C490">
        <v>-48000</v>
      </c>
      <c r="D490" s="2">
        <v>43529</v>
      </c>
      <c r="E490" t="s">
        <v>27</v>
      </c>
      <c r="F490">
        <v>-48000</v>
      </c>
      <c r="G490">
        <v>0</v>
      </c>
    </row>
    <row r="491" spans="1:7" x14ac:dyDescent="0.3">
      <c r="A491" s="2">
        <v>43529</v>
      </c>
      <c r="B491" t="s">
        <v>24</v>
      </c>
      <c r="C491">
        <v>955</v>
      </c>
      <c r="D491" s="2">
        <v>43529</v>
      </c>
      <c r="E491" t="s">
        <v>25</v>
      </c>
      <c r="F491">
        <v>955</v>
      </c>
      <c r="G491">
        <v>0</v>
      </c>
    </row>
    <row r="492" spans="1:7" x14ac:dyDescent="0.3">
      <c r="A492" s="2">
        <v>43530</v>
      </c>
      <c r="B492" t="s">
        <v>263</v>
      </c>
      <c r="C492">
        <v>-36.56</v>
      </c>
      <c r="D492" s="2">
        <v>43530</v>
      </c>
      <c r="E492" t="s">
        <v>27</v>
      </c>
      <c r="F492">
        <v>-36.56</v>
      </c>
      <c r="G492">
        <v>0</v>
      </c>
    </row>
    <row r="493" spans="1:7" x14ac:dyDescent="0.3">
      <c r="A493" s="2">
        <v>43530</v>
      </c>
      <c r="B493" t="s">
        <v>264</v>
      </c>
      <c r="C493">
        <v>-11.62</v>
      </c>
      <c r="D493" s="2">
        <v>43530</v>
      </c>
      <c r="E493" t="s">
        <v>27</v>
      </c>
      <c r="F493">
        <v>-11.62</v>
      </c>
      <c r="G493">
        <v>0</v>
      </c>
    </row>
    <row r="494" spans="1:7" x14ac:dyDescent="0.3">
      <c r="A494" s="2">
        <v>43530</v>
      </c>
      <c r="B494" t="s">
        <v>24</v>
      </c>
      <c r="C494">
        <v>1090</v>
      </c>
      <c r="D494" s="2">
        <v>43530</v>
      </c>
      <c r="E494" t="s">
        <v>25</v>
      </c>
      <c r="F494">
        <v>1090</v>
      </c>
      <c r="G494">
        <v>0</v>
      </c>
    </row>
    <row r="495" spans="1:7" x14ac:dyDescent="0.3">
      <c r="A495" s="2">
        <v>43530</v>
      </c>
      <c r="B495" t="s">
        <v>265</v>
      </c>
      <c r="C495">
        <v>-28.78</v>
      </c>
      <c r="D495" s="2">
        <v>43530</v>
      </c>
      <c r="E495" t="s">
        <v>27</v>
      </c>
      <c r="F495">
        <v>-28.78</v>
      </c>
      <c r="G495">
        <v>0</v>
      </c>
    </row>
    <row r="496" spans="1:7" x14ac:dyDescent="0.3">
      <c r="A496" s="2">
        <v>43531</v>
      </c>
      <c r="B496" t="s">
        <v>266</v>
      </c>
      <c r="C496">
        <v>-61.73</v>
      </c>
      <c r="D496" s="2">
        <v>43531</v>
      </c>
      <c r="E496" t="s">
        <v>27</v>
      </c>
      <c r="F496">
        <v>-61.73</v>
      </c>
      <c r="G496">
        <v>0</v>
      </c>
    </row>
    <row r="497" spans="1:7" x14ac:dyDescent="0.3">
      <c r="A497" s="2">
        <v>43531</v>
      </c>
      <c r="B497" t="s">
        <v>24</v>
      </c>
      <c r="C497">
        <v>1710</v>
      </c>
      <c r="D497" s="2">
        <v>43531</v>
      </c>
      <c r="E497" t="s">
        <v>25</v>
      </c>
      <c r="F497">
        <v>1710</v>
      </c>
      <c r="G497">
        <v>0</v>
      </c>
    </row>
    <row r="498" spans="1:7" x14ac:dyDescent="0.3">
      <c r="A498" s="2">
        <v>43532</v>
      </c>
      <c r="B498" t="s">
        <v>267</v>
      </c>
      <c r="C498">
        <v>900</v>
      </c>
      <c r="D498" s="2">
        <v>43532</v>
      </c>
      <c r="E498" t="s">
        <v>25</v>
      </c>
      <c r="F498">
        <v>900</v>
      </c>
      <c r="G498">
        <v>0</v>
      </c>
    </row>
    <row r="499" spans="1:7" x14ac:dyDescent="0.3">
      <c r="A499" s="2">
        <v>43532</v>
      </c>
      <c r="B499" t="s">
        <v>24</v>
      </c>
      <c r="C499">
        <v>1915</v>
      </c>
      <c r="D499" s="2">
        <v>43532</v>
      </c>
      <c r="E499" t="s">
        <v>25</v>
      </c>
      <c r="F499">
        <v>1915</v>
      </c>
      <c r="G499">
        <v>0</v>
      </c>
    </row>
    <row r="500" spans="1:7" x14ac:dyDescent="0.3">
      <c r="A500" s="2">
        <v>43532</v>
      </c>
      <c r="B500" t="s">
        <v>268</v>
      </c>
      <c r="C500">
        <v>-21.77</v>
      </c>
      <c r="D500" s="2">
        <v>43532</v>
      </c>
      <c r="E500" t="s">
        <v>27</v>
      </c>
      <c r="F500">
        <v>-21.77</v>
      </c>
      <c r="G500">
        <v>0</v>
      </c>
    </row>
    <row r="501" spans="1:7" x14ac:dyDescent="0.3">
      <c r="A501" s="2">
        <v>43535</v>
      </c>
      <c r="B501" t="s">
        <v>24</v>
      </c>
      <c r="C501">
        <v>730</v>
      </c>
      <c r="D501" s="2">
        <v>43535</v>
      </c>
      <c r="E501" t="s">
        <v>25</v>
      </c>
      <c r="F501">
        <v>730</v>
      </c>
      <c r="G501">
        <v>0</v>
      </c>
    </row>
    <row r="502" spans="1:7" x14ac:dyDescent="0.3">
      <c r="A502" s="2">
        <v>43535</v>
      </c>
      <c r="B502" t="s">
        <v>24</v>
      </c>
      <c r="C502">
        <v>3085</v>
      </c>
      <c r="D502" s="2">
        <v>43535</v>
      </c>
      <c r="E502" t="s">
        <v>25</v>
      </c>
      <c r="F502">
        <v>3085</v>
      </c>
      <c r="G502">
        <v>0</v>
      </c>
    </row>
    <row r="503" spans="1:7" x14ac:dyDescent="0.3">
      <c r="A503" s="2">
        <v>43535</v>
      </c>
      <c r="B503" t="s">
        <v>269</v>
      </c>
      <c r="C503">
        <v>-5</v>
      </c>
      <c r="D503" s="2">
        <v>43535</v>
      </c>
      <c r="E503" t="s">
        <v>27</v>
      </c>
      <c r="F503">
        <v>-5</v>
      </c>
      <c r="G503">
        <v>0</v>
      </c>
    </row>
    <row r="504" spans="1:7" x14ac:dyDescent="0.3">
      <c r="A504" s="2">
        <v>43535</v>
      </c>
      <c r="B504" t="s">
        <v>270</v>
      </c>
      <c r="C504">
        <v>-9.99</v>
      </c>
      <c r="D504" s="2">
        <v>43535</v>
      </c>
      <c r="E504" t="s">
        <v>27</v>
      </c>
      <c r="F504">
        <v>-9.99</v>
      </c>
      <c r="G504">
        <v>0</v>
      </c>
    </row>
    <row r="505" spans="1:7" x14ac:dyDescent="0.3">
      <c r="A505" s="2">
        <v>43535</v>
      </c>
      <c r="B505" t="s">
        <v>24</v>
      </c>
      <c r="C505">
        <v>3490</v>
      </c>
      <c r="D505" s="2">
        <v>43533</v>
      </c>
      <c r="E505" t="s">
        <v>25</v>
      </c>
      <c r="F505">
        <v>3490</v>
      </c>
      <c r="G505">
        <v>0</v>
      </c>
    </row>
    <row r="506" spans="1:7" x14ac:dyDescent="0.3">
      <c r="A506" s="2">
        <v>43535</v>
      </c>
      <c r="B506" t="s">
        <v>271</v>
      </c>
      <c r="C506">
        <v>-39.17</v>
      </c>
      <c r="D506" s="2">
        <v>43535</v>
      </c>
      <c r="E506" t="s">
        <v>27</v>
      </c>
      <c r="F506">
        <v>-39.17</v>
      </c>
      <c r="G506">
        <v>0</v>
      </c>
    </row>
    <row r="507" spans="1:7" x14ac:dyDescent="0.3">
      <c r="A507" s="2">
        <v>43536</v>
      </c>
      <c r="B507" t="s">
        <v>24</v>
      </c>
      <c r="C507">
        <v>2230</v>
      </c>
      <c r="D507" s="2">
        <v>43536</v>
      </c>
      <c r="E507" t="s">
        <v>25</v>
      </c>
      <c r="F507">
        <v>2230</v>
      </c>
      <c r="G507">
        <v>0</v>
      </c>
    </row>
    <row r="508" spans="1:7" x14ac:dyDescent="0.3">
      <c r="A508" s="2">
        <v>43537</v>
      </c>
      <c r="B508" t="s">
        <v>272</v>
      </c>
      <c r="C508">
        <v>-7.46</v>
      </c>
      <c r="D508" s="2">
        <v>43537</v>
      </c>
      <c r="E508" t="s">
        <v>27</v>
      </c>
      <c r="F508">
        <v>-7.46</v>
      </c>
      <c r="G508">
        <v>0</v>
      </c>
    </row>
    <row r="509" spans="1:7" x14ac:dyDescent="0.3">
      <c r="A509" s="2">
        <v>43537</v>
      </c>
      <c r="B509" t="s">
        <v>273</v>
      </c>
      <c r="C509">
        <v>-4.82</v>
      </c>
      <c r="D509" s="2">
        <v>43537</v>
      </c>
      <c r="E509" t="s">
        <v>27</v>
      </c>
      <c r="F509">
        <v>-4.82</v>
      </c>
      <c r="G509">
        <v>0</v>
      </c>
    </row>
    <row r="510" spans="1:7" x14ac:dyDescent="0.3">
      <c r="A510" s="2">
        <v>43537</v>
      </c>
      <c r="B510" t="s">
        <v>24</v>
      </c>
      <c r="C510">
        <v>9085</v>
      </c>
      <c r="D510" s="2">
        <v>43537</v>
      </c>
      <c r="E510" t="s">
        <v>25</v>
      </c>
      <c r="F510">
        <v>9085</v>
      </c>
      <c r="G510">
        <v>0</v>
      </c>
    </row>
    <row r="511" spans="1:7" x14ac:dyDescent="0.3">
      <c r="A511" s="2">
        <v>43537</v>
      </c>
      <c r="B511" t="s">
        <v>274</v>
      </c>
      <c r="C511">
        <v>-15.99</v>
      </c>
      <c r="D511" s="2">
        <v>43537</v>
      </c>
      <c r="E511" t="s">
        <v>27</v>
      </c>
      <c r="F511">
        <v>-15.99</v>
      </c>
      <c r="G511">
        <v>0</v>
      </c>
    </row>
    <row r="512" spans="1:7" x14ac:dyDescent="0.3">
      <c r="A512" s="2">
        <v>43538</v>
      </c>
      <c r="B512" t="s">
        <v>275</v>
      </c>
      <c r="C512">
        <v>-12</v>
      </c>
      <c r="D512" s="2">
        <v>43538</v>
      </c>
      <c r="E512" t="s">
        <v>27</v>
      </c>
      <c r="F512">
        <v>-12</v>
      </c>
      <c r="G512">
        <v>0</v>
      </c>
    </row>
    <row r="513" spans="1:7" x14ac:dyDescent="0.3">
      <c r="A513" s="2">
        <v>43538</v>
      </c>
      <c r="B513" t="s">
        <v>276</v>
      </c>
      <c r="C513">
        <v>-11.6</v>
      </c>
      <c r="D513" s="2">
        <v>43538</v>
      </c>
      <c r="E513" t="s">
        <v>27</v>
      </c>
      <c r="F513">
        <v>-11.6</v>
      </c>
      <c r="G513">
        <v>0</v>
      </c>
    </row>
    <row r="514" spans="1:7" x14ac:dyDescent="0.3">
      <c r="A514" s="2">
        <v>43538</v>
      </c>
      <c r="B514" t="s">
        <v>24</v>
      </c>
      <c r="C514">
        <v>5745</v>
      </c>
      <c r="D514" s="2">
        <v>43538</v>
      </c>
      <c r="E514" t="s">
        <v>25</v>
      </c>
      <c r="F514">
        <v>5745</v>
      </c>
      <c r="G514">
        <v>0</v>
      </c>
    </row>
    <row r="515" spans="1:7" x14ac:dyDescent="0.3">
      <c r="A515" s="2">
        <v>43538</v>
      </c>
      <c r="B515" t="s">
        <v>24</v>
      </c>
      <c r="C515">
        <v>-225</v>
      </c>
      <c r="D515" s="2">
        <v>43538</v>
      </c>
      <c r="E515" t="s">
        <v>27</v>
      </c>
      <c r="F515">
        <v>-225</v>
      </c>
      <c r="G515">
        <v>0</v>
      </c>
    </row>
    <row r="516" spans="1:7" x14ac:dyDescent="0.3">
      <c r="A516" s="2">
        <v>43538</v>
      </c>
      <c r="B516" t="s">
        <v>277</v>
      </c>
      <c r="C516">
        <v>-88.39</v>
      </c>
      <c r="D516" s="2">
        <v>43538</v>
      </c>
      <c r="E516" t="s">
        <v>27</v>
      </c>
      <c r="F516">
        <v>-88.39</v>
      </c>
      <c r="G516">
        <v>0</v>
      </c>
    </row>
    <row r="517" spans="1:7" x14ac:dyDescent="0.3">
      <c r="A517" s="2">
        <v>43539</v>
      </c>
      <c r="B517" t="s">
        <v>24</v>
      </c>
      <c r="C517">
        <v>20810</v>
      </c>
      <c r="D517" s="2">
        <v>43539</v>
      </c>
      <c r="E517" t="s">
        <v>25</v>
      </c>
      <c r="F517">
        <v>20810</v>
      </c>
      <c r="G517">
        <v>0</v>
      </c>
    </row>
    <row r="518" spans="1:7" x14ac:dyDescent="0.3">
      <c r="A518" s="2">
        <v>43542</v>
      </c>
      <c r="B518" t="s">
        <v>24</v>
      </c>
      <c r="C518">
        <v>2385</v>
      </c>
      <c r="D518" s="2">
        <v>43540</v>
      </c>
      <c r="E518" t="s">
        <v>25</v>
      </c>
      <c r="F518">
        <v>2385</v>
      </c>
      <c r="G518">
        <v>0</v>
      </c>
    </row>
    <row r="519" spans="1:7" x14ac:dyDescent="0.3">
      <c r="A519" s="2">
        <v>43542</v>
      </c>
      <c r="B519" t="s">
        <v>24</v>
      </c>
      <c r="C519">
        <v>3565</v>
      </c>
      <c r="D519" s="2">
        <v>43542</v>
      </c>
      <c r="E519" t="s">
        <v>25</v>
      </c>
      <c r="F519">
        <v>3565</v>
      </c>
      <c r="G519">
        <v>0</v>
      </c>
    </row>
    <row r="520" spans="1:7" x14ac:dyDescent="0.3">
      <c r="A520" s="2">
        <v>43542</v>
      </c>
      <c r="B520" t="s">
        <v>278</v>
      </c>
      <c r="C520">
        <v>-33</v>
      </c>
      <c r="D520" s="2">
        <v>43542</v>
      </c>
      <c r="E520" t="s">
        <v>27</v>
      </c>
      <c r="F520">
        <v>-33</v>
      </c>
      <c r="G520">
        <v>0</v>
      </c>
    </row>
    <row r="521" spans="1:7" x14ac:dyDescent="0.3">
      <c r="A521" s="2">
        <v>43542</v>
      </c>
      <c r="B521" t="s">
        <v>279</v>
      </c>
      <c r="C521">
        <v>-721</v>
      </c>
      <c r="D521" s="2">
        <v>43542</v>
      </c>
      <c r="E521" t="s">
        <v>27</v>
      </c>
      <c r="F521">
        <v>-721</v>
      </c>
      <c r="G521">
        <v>0</v>
      </c>
    </row>
    <row r="522" spans="1:7" x14ac:dyDescent="0.3">
      <c r="A522" s="2">
        <v>43542</v>
      </c>
      <c r="B522" t="s">
        <v>24</v>
      </c>
      <c r="C522">
        <v>725</v>
      </c>
      <c r="D522" s="2">
        <v>43542</v>
      </c>
      <c r="E522" t="s">
        <v>25</v>
      </c>
      <c r="F522">
        <v>725</v>
      </c>
      <c r="G522">
        <v>0</v>
      </c>
    </row>
    <row r="523" spans="1:7" x14ac:dyDescent="0.3">
      <c r="A523" s="2">
        <v>43542</v>
      </c>
      <c r="B523" t="s">
        <v>280</v>
      </c>
      <c r="C523">
        <v>-1245</v>
      </c>
      <c r="D523" s="2">
        <v>43540</v>
      </c>
      <c r="E523" t="s">
        <v>27</v>
      </c>
      <c r="F523">
        <v>-1245</v>
      </c>
      <c r="G523">
        <v>0</v>
      </c>
    </row>
    <row r="524" spans="1:7" x14ac:dyDescent="0.3">
      <c r="A524" s="2">
        <v>43543</v>
      </c>
      <c r="B524" t="s">
        <v>24</v>
      </c>
      <c r="C524">
        <v>-687.5</v>
      </c>
      <c r="D524" s="2">
        <v>43543</v>
      </c>
      <c r="E524" t="s">
        <v>27</v>
      </c>
      <c r="F524">
        <v>-687.5</v>
      </c>
      <c r="G524">
        <v>0</v>
      </c>
    </row>
    <row r="525" spans="1:7" x14ac:dyDescent="0.3">
      <c r="A525" s="2">
        <v>43544</v>
      </c>
      <c r="B525" t="s">
        <v>24</v>
      </c>
      <c r="C525">
        <v>3280</v>
      </c>
      <c r="D525" s="2">
        <v>43544</v>
      </c>
      <c r="E525" t="s">
        <v>25</v>
      </c>
      <c r="F525">
        <v>3280</v>
      </c>
      <c r="G525">
        <v>0</v>
      </c>
    </row>
    <row r="526" spans="1:7" x14ac:dyDescent="0.3">
      <c r="A526" s="2">
        <v>43544</v>
      </c>
      <c r="B526" t="s">
        <v>24</v>
      </c>
      <c r="C526">
        <v>-300</v>
      </c>
      <c r="D526" s="2">
        <v>43544</v>
      </c>
      <c r="E526" t="s">
        <v>27</v>
      </c>
      <c r="F526">
        <v>-300</v>
      </c>
      <c r="G526">
        <v>0</v>
      </c>
    </row>
    <row r="527" spans="1:7" x14ac:dyDescent="0.3">
      <c r="A527" s="2">
        <v>43544</v>
      </c>
      <c r="B527" t="s">
        <v>281</v>
      </c>
      <c r="C527">
        <v>-5100</v>
      </c>
      <c r="D527" s="2">
        <v>43544</v>
      </c>
      <c r="E527" t="s">
        <v>27</v>
      </c>
      <c r="F527">
        <v>-5100</v>
      </c>
      <c r="G527">
        <v>0</v>
      </c>
    </row>
    <row r="528" spans="1:7" x14ac:dyDescent="0.3">
      <c r="A528" s="2">
        <v>43544</v>
      </c>
      <c r="B528" t="s">
        <v>282</v>
      </c>
      <c r="C528">
        <v>-4578.84</v>
      </c>
      <c r="D528" s="2">
        <v>43544</v>
      </c>
      <c r="E528" t="s">
        <v>27</v>
      </c>
      <c r="F528">
        <v>-4578.84</v>
      </c>
      <c r="G528">
        <v>0</v>
      </c>
    </row>
    <row r="529" spans="1:7" x14ac:dyDescent="0.3">
      <c r="A529" s="2">
        <v>43545</v>
      </c>
      <c r="B529" t="s">
        <v>24</v>
      </c>
      <c r="C529">
        <v>605</v>
      </c>
      <c r="D529" s="2">
        <v>43545</v>
      </c>
      <c r="E529" t="s">
        <v>25</v>
      </c>
      <c r="F529">
        <v>605</v>
      </c>
      <c r="G529">
        <v>0</v>
      </c>
    </row>
    <row r="530" spans="1:7" x14ac:dyDescent="0.3">
      <c r="A530" s="2">
        <v>43546</v>
      </c>
      <c r="B530" t="s">
        <v>24</v>
      </c>
      <c r="C530">
        <v>2110</v>
      </c>
      <c r="D530" s="2">
        <v>43546</v>
      </c>
      <c r="E530" t="s">
        <v>25</v>
      </c>
      <c r="F530">
        <v>2110</v>
      </c>
      <c r="G530">
        <v>0</v>
      </c>
    </row>
    <row r="531" spans="1:7" x14ac:dyDescent="0.3">
      <c r="A531" s="2">
        <v>43549</v>
      </c>
      <c r="B531" t="s">
        <v>24</v>
      </c>
      <c r="C531">
        <v>2795</v>
      </c>
      <c r="D531" s="2">
        <v>43549</v>
      </c>
      <c r="E531" t="s">
        <v>25</v>
      </c>
      <c r="F531">
        <v>2795</v>
      </c>
      <c r="G531">
        <v>0</v>
      </c>
    </row>
    <row r="532" spans="1:7" x14ac:dyDescent="0.3">
      <c r="A532" s="2">
        <v>43549</v>
      </c>
      <c r="B532" t="s">
        <v>24</v>
      </c>
      <c r="C532">
        <v>875</v>
      </c>
      <c r="D532" s="2">
        <v>43549</v>
      </c>
      <c r="E532" t="s">
        <v>25</v>
      </c>
      <c r="F532">
        <v>875</v>
      </c>
      <c r="G532">
        <v>0</v>
      </c>
    </row>
    <row r="533" spans="1:7" x14ac:dyDescent="0.3">
      <c r="A533" s="2">
        <v>43550</v>
      </c>
      <c r="B533" t="s">
        <v>24</v>
      </c>
      <c r="C533">
        <v>375</v>
      </c>
      <c r="D533" s="2">
        <v>43550</v>
      </c>
      <c r="E533" t="s">
        <v>25</v>
      </c>
      <c r="F533">
        <v>375</v>
      </c>
      <c r="G533">
        <v>0</v>
      </c>
    </row>
    <row r="534" spans="1:7" x14ac:dyDescent="0.3">
      <c r="A534" s="2">
        <v>43550</v>
      </c>
      <c r="B534" t="s">
        <v>283</v>
      </c>
      <c r="C534">
        <v>-59.87</v>
      </c>
      <c r="D534" s="2">
        <v>43550</v>
      </c>
      <c r="E534" t="s">
        <v>27</v>
      </c>
      <c r="F534">
        <v>-59.87</v>
      </c>
      <c r="G534">
        <v>0</v>
      </c>
    </row>
    <row r="535" spans="1:7" x14ac:dyDescent="0.3">
      <c r="A535" s="2">
        <v>43551</v>
      </c>
      <c r="B535" t="s">
        <v>284</v>
      </c>
      <c r="C535">
        <v>-14.48</v>
      </c>
      <c r="D535" s="2">
        <v>43551</v>
      </c>
      <c r="E535" t="s">
        <v>27</v>
      </c>
      <c r="F535">
        <v>-14.48</v>
      </c>
      <c r="G535">
        <v>0</v>
      </c>
    </row>
    <row r="536" spans="1:7" x14ac:dyDescent="0.3">
      <c r="A536" s="2">
        <v>43551</v>
      </c>
      <c r="B536" t="s">
        <v>24</v>
      </c>
      <c r="C536">
        <v>1080</v>
      </c>
      <c r="D536" s="2">
        <v>43551</v>
      </c>
      <c r="E536" t="s">
        <v>25</v>
      </c>
      <c r="F536">
        <v>1080</v>
      </c>
      <c r="G536">
        <v>0</v>
      </c>
    </row>
    <row r="537" spans="1:7" x14ac:dyDescent="0.3">
      <c r="A537" s="2">
        <v>43551</v>
      </c>
      <c r="B537" t="s">
        <v>284</v>
      </c>
      <c r="C537">
        <v>-8.09</v>
      </c>
      <c r="D537" s="2">
        <v>43551</v>
      </c>
      <c r="E537" t="s">
        <v>27</v>
      </c>
      <c r="F537">
        <v>-8.09</v>
      </c>
      <c r="G537">
        <v>0</v>
      </c>
    </row>
    <row r="538" spans="1:7" x14ac:dyDescent="0.3">
      <c r="A538" s="2">
        <v>43551</v>
      </c>
      <c r="B538" t="s">
        <v>284</v>
      </c>
      <c r="C538">
        <v>-11.05</v>
      </c>
      <c r="D538" s="2">
        <v>43551</v>
      </c>
      <c r="E538" t="s">
        <v>27</v>
      </c>
      <c r="F538">
        <v>-11.05</v>
      </c>
      <c r="G538">
        <v>0</v>
      </c>
    </row>
    <row r="539" spans="1:7" x14ac:dyDescent="0.3">
      <c r="A539" s="2">
        <v>43552</v>
      </c>
      <c r="B539" t="s">
        <v>24</v>
      </c>
      <c r="C539">
        <v>2320</v>
      </c>
      <c r="D539" s="2">
        <v>43552</v>
      </c>
      <c r="E539" t="s">
        <v>25</v>
      </c>
      <c r="F539">
        <v>2320</v>
      </c>
      <c r="G539">
        <v>0</v>
      </c>
    </row>
    <row r="540" spans="1:7" x14ac:dyDescent="0.3">
      <c r="A540" s="2">
        <v>43553</v>
      </c>
      <c r="B540" t="s">
        <v>285</v>
      </c>
      <c r="C540">
        <v>-190.01</v>
      </c>
      <c r="D540" s="2">
        <v>43553</v>
      </c>
      <c r="E540" t="s">
        <v>27</v>
      </c>
      <c r="F540">
        <v>-190.01</v>
      </c>
      <c r="G540">
        <v>0</v>
      </c>
    </row>
    <row r="541" spans="1:7" x14ac:dyDescent="0.3">
      <c r="A541" s="2">
        <v>43553</v>
      </c>
      <c r="B541" t="s">
        <v>24</v>
      </c>
      <c r="C541">
        <v>1330</v>
      </c>
      <c r="D541" s="2">
        <v>43553</v>
      </c>
      <c r="E541" t="s">
        <v>25</v>
      </c>
      <c r="F541">
        <v>1330</v>
      </c>
      <c r="G541">
        <v>0</v>
      </c>
    </row>
    <row r="542" spans="1:7" x14ac:dyDescent="0.3">
      <c r="A542" s="2">
        <v>43553</v>
      </c>
      <c r="B542" t="s">
        <v>286</v>
      </c>
      <c r="C542">
        <v>-70.77</v>
      </c>
      <c r="D542" s="2">
        <v>43553</v>
      </c>
      <c r="E542" t="s">
        <v>27</v>
      </c>
      <c r="F542">
        <v>-70.77</v>
      </c>
      <c r="G542">
        <v>0</v>
      </c>
    </row>
    <row r="543" spans="1:7" x14ac:dyDescent="0.3">
      <c r="A543" s="2">
        <v>43553</v>
      </c>
      <c r="B543" t="s">
        <v>287</v>
      </c>
      <c r="C543">
        <v>-62.78</v>
      </c>
      <c r="D543" s="2">
        <v>43553</v>
      </c>
      <c r="E543" t="s">
        <v>27</v>
      </c>
      <c r="F543">
        <v>-62.78</v>
      </c>
      <c r="G543">
        <v>0</v>
      </c>
    </row>
    <row r="544" spans="1:7" x14ac:dyDescent="0.3">
      <c r="A544" s="2">
        <v>43556</v>
      </c>
      <c r="B544" t="s">
        <v>24</v>
      </c>
      <c r="C544">
        <v>620</v>
      </c>
      <c r="D544" s="2">
        <v>43556</v>
      </c>
      <c r="E544" t="s">
        <v>25</v>
      </c>
      <c r="F544">
        <v>620</v>
      </c>
      <c r="G544">
        <v>0</v>
      </c>
    </row>
    <row r="545" spans="1:7" x14ac:dyDescent="0.3">
      <c r="A545" s="2">
        <v>43556</v>
      </c>
      <c r="B545" t="s">
        <v>288</v>
      </c>
      <c r="C545">
        <v>-108.86</v>
      </c>
      <c r="D545" s="2">
        <v>43556</v>
      </c>
      <c r="E545" t="s">
        <v>27</v>
      </c>
      <c r="F545">
        <v>-108.86</v>
      </c>
      <c r="G545">
        <v>0</v>
      </c>
    </row>
    <row r="546" spans="1:7" x14ac:dyDescent="0.3">
      <c r="A546" s="2">
        <v>43556</v>
      </c>
      <c r="B546" t="s">
        <v>24</v>
      </c>
      <c r="C546">
        <v>580</v>
      </c>
      <c r="D546" s="2">
        <v>43556</v>
      </c>
      <c r="E546" t="s">
        <v>25</v>
      </c>
      <c r="F546">
        <v>580</v>
      </c>
      <c r="G546">
        <v>0</v>
      </c>
    </row>
    <row r="547" spans="1:7" x14ac:dyDescent="0.3">
      <c r="A547" s="2">
        <v>43556</v>
      </c>
      <c r="B547" t="s">
        <v>24</v>
      </c>
      <c r="C547">
        <v>475</v>
      </c>
      <c r="D547" s="2">
        <v>43556</v>
      </c>
      <c r="E547" t="s">
        <v>25</v>
      </c>
      <c r="F547">
        <v>475</v>
      </c>
      <c r="G547">
        <v>0</v>
      </c>
    </row>
    <row r="548" spans="1:7" x14ac:dyDescent="0.3">
      <c r="A548" s="2">
        <v>43557</v>
      </c>
      <c r="B548" t="s">
        <v>53</v>
      </c>
      <c r="C548">
        <v>-3460.12</v>
      </c>
      <c r="D548" s="2">
        <v>43557</v>
      </c>
      <c r="E548" t="s">
        <v>27</v>
      </c>
      <c r="F548">
        <v>-3460.12</v>
      </c>
      <c r="G548">
        <v>0</v>
      </c>
    </row>
    <row r="549" spans="1:7" x14ac:dyDescent="0.3">
      <c r="A549" s="2">
        <v>43557</v>
      </c>
      <c r="B549" t="s">
        <v>289</v>
      </c>
      <c r="C549">
        <v>-55</v>
      </c>
      <c r="D549" s="2">
        <v>43557</v>
      </c>
      <c r="E549" t="s">
        <v>27</v>
      </c>
      <c r="F549">
        <v>-55</v>
      </c>
      <c r="G549">
        <v>0</v>
      </c>
    </row>
    <row r="550" spans="1:7" x14ac:dyDescent="0.3">
      <c r="A550" s="2">
        <v>43558</v>
      </c>
      <c r="B550" t="s">
        <v>24</v>
      </c>
      <c r="C550">
        <v>1285</v>
      </c>
      <c r="D550" s="2">
        <v>43558</v>
      </c>
      <c r="E550" t="s">
        <v>25</v>
      </c>
      <c r="F550">
        <v>1285</v>
      </c>
      <c r="G550">
        <v>0</v>
      </c>
    </row>
    <row r="551" spans="1:7" x14ac:dyDescent="0.3">
      <c r="A551" s="2">
        <v>43558</v>
      </c>
      <c r="B551" t="s">
        <v>290</v>
      </c>
      <c r="C551">
        <v>-34.950000000000003</v>
      </c>
      <c r="D551" s="2">
        <v>43558</v>
      </c>
      <c r="E551" t="s">
        <v>27</v>
      </c>
      <c r="F551">
        <v>-34.950000000000003</v>
      </c>
      <c r="G551">
        <v>0</v>
      </c>
    </row>
    <row r="552" spans="1:7" x14ac:dyDescent="0.3">
      <c r="A552" s="2">
        <v>43558</v>
      </c>
      <c r="B552" t="s">
        <v>291</v>
      </c>
      <c r="C552">
        <v>4500</v>
      </c>
      <c r="D552" s="2">
        <v>43555</v>
      </c>
      <c r="E552" t="s">
        <v>25</v>
      </c>
      <c r="F552">
        <v>4500</v>
      </c>
      <c r="G552">
        <v>0</v>
      </c>
    </row>
    <row r="553" spans="1:7" x14ac:dyDescent="0.3">
      <c r="A553" s="2">
        <v>43558</v>
      </c>
      <c r="B553" t="s">
        <v>292</v>
      </c>
      <c r="C553">
        <v>-6.9</v>
      </c>
      <c r="D553" s="2">
        <v>43558</v>
      </c>
      <c r="E553" t="s">
        <v>27</v>
      </c>
      <c r="F553">
        <v>-6.9</v>
      </c>
      <c r="G553">
        <v>0</v>
      </c>
    </row>
    <row r="554" spans="1:7" x14ac:dyDescent="0.3">
      <c r="A554" s="2">
        <v>43559</v>
      </c>
      <c r="B554" t="s">
        <v>24</v>
      </c>
      <c r="C554">
        <v>1013.75</v>
      </c>
      <c r="D554" s="2">
        <v>43559</v>
      </c>
      <c r="E554" t="s">
        <v>25</v>
      </c>
      <c r="F554">
        <v>1013.75</v>
      </c>
      <c r="G554">
        <v>0</v>
      </c>
    </row>
    <row r="555" spans="1:7" x14ac:dyDescent="0.3">
      <c r="A555" s="2">
        <v>43560</v>
      </c>
      <c r="B555" t="s">
        <v>293</v>
      </c>
      <c r="C555">
        <v>-203.97</v>
      </c>
      <c r="D555" s="2">
        <v>43560</v>
      </c>
      <c r="E555" t="s">
        <v>27</v>
      </c>
      <c r="F555">
        <v>-203.97</v>
      </c>
      <c r="G555">
        <v>0</v>
      </c>
    </row>
    <row r="556" spans="1:7" x14ac:dyDescent="0.3">
      <c r="A556" s="2">
        <v>43560</v>
      </c>
      <c r="B556" t="s">
        <v>24</v>
      </c>
      <c r="C556">
        <v>1685</v>
      </c>
      <c r="D556" s="2">
        <v>43560</v>
      </c>
      <c r="E556" t="s">
        <v>25</v>
      </c>
      <c r="F556">
        <v>1685</v>
      </c>
      <c r="G556">
        <v>0</v>
      </c>
    </row>
    <row r="557" spans="1:7" x14ac:dyDescent="0.3">
      <c r="A557" s="2">
        <v>43563</v>
      </c>
      <c r="B557" t="s">
        <v>294</v>
      </c>
      <c r="C557">
        <v>-5.0599999999999996</v>
      </c>
      <c r="D557" s="2">
        <v>43563</v>
      </c>
      <c r="E557" t="s">
        <v>27</v>
      </c>
      <c r="F557">
        <v>-5.0599999999999996</v>
      </c>
      <c r="G557">
        <v>0</v>
      </c>
    </row>
    <row r="558" spans="1:7" x14ac:dyDescent="0.3">
      <c r="A558" s="2">
        <v>43563</v>
      </c>
      <c r="B558" t="s">
        <v>24</v>
      </c>
      <c r="C558">
        <v>452.5</v>
      </c>
      <c r="D558" s="2">
        <v>43563</v>
      </c>
      <c r="E558" t="s">
        <v>25</v>
      </c>
      <c r="F558">
        <v>452.5</v>
      </c>
      <c r="G558">
        <v>0</v>
      </c>
    </row>
    <row r="559" spans="1:7" x14ac:dyDescent="0.3">
      <c r="A559" s="2">
        <v>43563</v>
      </c>
      <c r="B559" t="s">
        <v>24</v>
      </c>
      <c r="C559">
        <v>105</v>
      </c>
      <c r="D559" s="2">
        <v>43563</v>
      </c>
      <c r="E559" t="s">
        <v>25</v>
      </c>
      <c r="F559">
        <v>105</v>
      </c>
      <c r="G559">
        <v>0</v>
      </c>
    </row>
    <row r="560" spans="1:7" x14ac:dyDescent="0.3">
      <c r="A560" s="2">
        <v>43564</v>
      </c>
      <c r="B560" t="s">
        <v>24</v>
      </c>
      <c r="C560">
        <v>183.75</v>
      </c>
      <c r="D560" s="2">
        <v>43564</v>
      </c>
      <c r="E560" t="s">
        <v>25</v>
      </c>
      <c r="F560">
        <v>183.75</v>
      </c>
      <c r="G560">
        <v>0</v>
      </c>
    </row>
    <row r="561" spans="1:7" x14ac:dyDescent="0.3">
      <c r="A561" s="2">
        <v>43565</v>
      </c>
      <c r="B561" t="s">
        <v>295</v>
      </c>
      <c r="C561">
        <v>-5</v>
      </c>
      <c r="D561" s="2">
        <v>43565</v>
      </c>
      <c r="E561" t="s">
        <v>27</v>
      </c>
      <c r="F561">
        <v>-5</v>
      </c>
      <c r="G561">
        <v>0</v>
      </c>
    </row>
    <row r="562" spans="1:7" x14ac:dyDescent="0.3">
      <c r="A562" s="2">
        <v>43565</v>
      </c>
      <c r="B562" t="s">
        <v>296</v>
      </c>
      <c r="C562">
        <v>-9.99</v>
      </c>
      <c r="D562" s="2">
        <v>43565</v>
      </c>
      <c r="E562" t="s">
        <v>27</v>
      </c>
      <c r="F562">
        <v>-9.99</v>
      </c>
      <c r="G562">
        <v>0</v>
      </c>
    </row>
    <row r="563" spans="1:7" x14ac:dyDescent="0.3">
      <c r="A563" s="2">
        <v>43565</v>
      </c>
      <c r="B563" t="s">
        <v>24</v>
      </c>
      <c r="C563">
        <v>592.5</v>
      </c>
      <c r="D563" s="2">
        <v>43565</v>
      </c>
      <c r="E563" t="s">
        <v>25</v>
      </c>
      <c r="F563">
        <v>592.5</v>
      </c>
      <c r="G563">
        <v>0</v>
      </c>
    </row>
    <row r="564" spans="1:7" x14ac:dyDescent="0.3">
      <c r="A564" s="2">
        <v>43565</v>
      </c>
      <c r="B564" t="s">
        <v>297</v>
      </c>
      <c r="C564">
        <v>-32</v>
      </c>
      <c r="D564" s="2">
        <v>43565</v>
      </c>
      <c r="E564" t="s">
        <v>27</v>
      </c>
      <c r="F564">
        <v>-32</v>
      </c>
      <c r="G564">
        <v>0</v>
      </c>
    </row>
    <row r="565" spans="1:7" x14ac:dyDescent="0.3">
      <c r="A565" s="2">
        <v>43566</v>
      </c>
      <c r="B565" t="s">
        <v>24</v>
      </c>
      <c r="C565">
        <v>515</v>
      </c>
      <c r="D565" s="2">
        <v>43566</v>
      </c>
      <c r="E565" t="s">
        <v>25</v>
      </c>
      <c r="F565">
        <v>515</v>
      </c>
      <c r="G565">
        <v>0</v>
      </c>
    </row>
    <row r="566" spans="1:7" x14ac:dyDescent="0.3">
      <c r="A566" s="2">
        <v>43566</v>
      </c>
      <c r="B566" t="s">
        <v>24</v>
      </c>
      <c r="C566">
        <v>-1045</v>
      </c>
      <c r="D566" s="2">
        <v>43566</v>
      </c>
      <c r="E566" t="s">
        <v>27</v>
      </c>
      <c r="F566">
        <v>-1045</v>
      </c>
      <c r="G566">
        <v>0</v>
      </c>
    </row>
    <row r="567" spans="1:7" x14ac:dyDescent="0.3">
      <c r="A567" s="2">
        <v>43567</v>
      </c>
      <c r="B567" t="s">
        <v>24</v>
      </c>
      <c r="C567">
        <v>1937.5</v>
      </c>
      <c r="D567" s="2">
        <v>43567</v>
      </c>
      <c r="E567" t="s">
        <v>25</v>
      </c>
      <c r="F567">
        <v>1937.5</v>
      </c>
      <c r="G567">
        <v>0</v>
      </c>
    </row>
    <row r="568" spans="1:7" x14ac:dyDescent="0.3">
      <c r="A568" s="2">
        <v>43570</v>
      </c>
      <c r="B568" t="s">
        <v>24</v>
      </c>
      <c r="C568">
        <v>245</v>
      </c>
      <c r="D568" s="2">
        <v>43570</v>
      </c>
      <c r="E568" t="s">
        <v>25</v>
      </c>
      <c r="F568">
        <v>245</v>
      </c>
      <c r="G568">
        <v>0</v>
      </c>
    </row>
    <row r="569" spans="1:7" x14ac:dyDescent="0.3">
      <c r="A569" s="2">
        <v>43570</v>
      </c>
      <c r="B569" t="s">
        <v>24</v>
      </c>
      <c r="C569">
        <v>60</v>
      </c>
      <c r="D569" s="2">
        <v>43570</v>
      </c>
      <c r="E569" t="s">
        <v>25</v>
      </c>
      <c r="F569">
        <v>60</v>
      </c>
      <c r="G569">
        <v>0</v>
      </c>
    </row>
    <row r="570" spans="1:7" x14ac:dyDescent="0.3">
      <c r="A570" s="2">
        <v>43570</v>
      </c>
      <c r="B570" t="s">
        <v>298</v>
      </c>
      <c r="C570">
        <v>-12</v>
      </c>
      <c r="D570" s="2">
        <v>43570</v>
      </c>
      <c r="E570" t="s">
        <v>27</v>
      </c>
      <c r="F570">
        <v>-12</v>
      </c>
      <c r="G570">
        <v>0</v>
      </c>
    </row>
    <row r="571" spans="1:7" x14ac:dyDescent="0.3">
      <c r="A571" s="2">
        <v>43570</v>
      </c>
      <c r="B571" t="s">
        <v>299</v>
      </c>
      <c r="C571">
        <v>-11.1</v>
      </c>
      <c r="D571" s="2">
        <v>43570</v>
      </c>
      <c r="E571" t="s">
        <v>27</v>
      </c>
      <c r="F571">
        <v>-11.1</v>
      </c>
      <c r="G571">
        <v>0</v>
      </c>
    </row>
    <row r="572" spans="1:7" x14ac:dyDescent="0.3">
      <c r="A572" s="2">
        <v>43570</v>
      </c>
      <c r="B572" t="s">
        <v>299</v>
      </c>
      <c r="C572">
        <v>-10.76</v>
      </c>
      <c r="D572" s="2">
        <v>43570</v>
      </c>
      <c r="E572" t="s">
        <v>27</v>
      </c>
      <c r="F572">
        <v>-10.76</v>
      </c>
      <c r="G572">
        <v>0</v>
      </c>
    </row>
    <row r="573" spans="1:7" x14ac:dyDescent="0.3">
      <c r="A573" s="2">
        <v>43570</v>
      </c>
      <c r="B573" t="s">
        <v>300</v>
      </c>
      <c r="C573">
        <v>-17.989999999999998</v>
      </c>
      <c r="D573" s="2">
        <v>43570</v>
      </c>
      <c r="E573" t="s">
        <v>27</v>
      </c>
      <c r="F573">
        <v>-17.989999999999998</v>
      </c>
      <c r="G573">
        <v>0</v>
      </c>
    </row>
    <row r="574" spans="1:7" x14ac:dyDescent="0.3">
      <c r="A574" s="2">
        <v>43570</v>
      </c>
      <c r="B574" t="s">
        <v>301</v>
      </c>
      <c r="C574">
        <v>-7350</v>
      </c>
      <c r="D574" s="2">
        <v>43570</v>
      </c>
      <c r="E574" t="s">
        <v>27</v>
      </c>
      <c r="F574">
        <v>-7350</v>
      </c>
      <c r="G574">
        <v>0</v>
      </c>
    </row>
    <row r="575" spans="1:7" x14ac:dyDescent="0.3">
      <c r="A575" s="2">
        <v>43570</v>
      </c>
      <c r="B575" t="s">
        <v>302</v>
      </c>
      <c r="C575">
        <v>-88.39</v>
      </c>
      <c r="D575" s="2">
        <v>43570</v>
      </c>
      <c r="E575" t="s">
        <v>27</v>
      </c>
      <c r="F575">
        <v>-88.39</v>
      </c>
      <c r="G575">
        <v>0</v>
      </c>
    </row>
    <row r="576" spans="1:7" x14ac:dyDescent="0.3">
      <c r="A576" s="2">
        <v>43570</v>
      </c>
      <c r="B576" t="s">
        <v>24</v>
      </c>
      <c r="C576">
        <v>123.75</v>
      </c>
      <c r="D576" s="2">
        <v>43570</v>
      </c>
      <c r="E576" t="s">
        <v>25</v>
      </c>
      <c r="F576">
        <v>123.75</v>
      </c>
      <c r="G576">
        <v>0</v>
      </c>
    </row>
    <row r="577" spans="1:7" x14ac:dyDescent="0.3">
      <c r="A577" s="2">
        <v>43571</v>
      </c>
      <c r="B577" t="s">
        <v>303</v>
      </c>
      <c r="C577">
        <v>-33</v>
      </c>
      <c r="D577" s="2">
        <v>43571</v>
      </c>
      <c r="E577" t="s">
        <v>27</v>
      </c>
      <c r="F577">
        <v>-33</v>
      </c>
      <c r="G577">
        <v>0</v>
      </c>
    </row>
    <row r="578" spans="1:7" x14ac:dyDescent="0.3">
      <c r="A578" s="2">
        <v>43572</v>
      </c>
      <c r="B578" t="s">
        <v>24</v>
      </c>
      <c r="C578">
        <v>622.5</v>
      </c>
      <c r="D578" s="2">
        <v>43570</v>
      </c>
      <c r="E578" t="s">
        <v>25</v>
      </c>
      <c r="F578">
        <v>622.5</v>
      </c>
      <c r="G578">
        <v>0</v>
      </c>
    </row>
    <row r="579" spans="1:7" x14ac:dyDescent="0.3">
      <c r="A579" s="2">
        <v>43573</v>
      </c>
      <c r="B579" t="s">
        <v>304</v>
      </c>
      <c r="C579">
        <v>-1263.33</v>
      </c>
      <c r="D579" s="2">
        <v>43573</v>
      </c>
      <c r="E579" t="s">
        <v>27</v>
      </c>
      <c r="F579">
        <v>-1263.33</v>
      </c>
      <c r="G579">
        <v>0</v>
      </c>
    </row>
    <row r="580" spans="1:7" x14ac:dyDescent="0.3">
      <c r="A580" s="2">
        <v>43574</v>
      </c>
      <c r="B580" t="s">
        <v>24</v>
      </c>
      <c r="C580">
        <v>623.75</v>
      </c>
      <c r="D580" s="2">
        <v>43574</v>
      </c>
      <c r="E580" t="s">
        <v>25</v>
      </c>
      <c r="F580">
        <v>623.75</v>
      </c>
      <c r="G580">
        <v>0</v>
      </c>
    </row>
    <row r="581" spans="1:7" x14ac:dyDescent="0.3">
      <c r="A581" s="2">
        <v>43577</v>
      </c>
      <c r="B581" t="s">
        <v>24</v>
      </c>
      <c r="C581">
        <v>-81.25</v>
      </c>
      <c r="D581" s="2">
        <v>43575</v>
      </c>
      <c r="E581" t="s">
        <v>27</v>
      </c>
      <c r="F581">
        <v>-81.25</v>
      </c>
      <c r="G581">
        <v>0</v>
      </c>
    </row>
    <row r="582" spans="1:7" x14ac:dyDescent="0.3">
      <c r="A582" s="2">
        <v>43577</v>
      </c>
      <c r="B582" t="s">
        <v>24</v>
      </c>
      <c r="C582">
        <v>375</v>
      </c>
      <c r="D582" s="2">
        <v>43577</v>
      </c>
      <c r="E582" t="s">
        <v>25</v>
      </c>
      <c r="F582">
        <v>375</v>
      </c>
      <c r="G582">
        <v>0</v>
      </c>
    </row>
    <row r="583" spans="1:7" x14ac:dyDescent="0.3">
      <c r="A583" s="2">
        <v>43579</v>
      </c>
      <c r="B583" t="s">
        <v>305</v>
      </c>
      <c r="C583">
        <v>-26.99</v>
      </c>
      <c r="D583" s="2">
        <v>43579</v>
      </c>
      <c r="E583" t="s">
        <v>27</v>
      </c>
      <c r="F583">
        <v>-26.99</v>
      </c>
      <c r="G583">
        <v>0</v>
      </c>
    </row>
    <row r="584" spans="1:7" x14ac:dyDescent="0.3">
      <c r="A584" s="2">
        <v>43579</v>
      </c>
      <c r="B584" t="s">
        <v>24</v>
      </c>
      <c r="C584">
        <v>1623.75</v>
      </c>
      <c r="D584" s="2">
        <v>43579</v>
      </c>
      <c r="E584" t="s">
        <v>25</v>
      </c>
      <c r="F584">
        <v>1623.75</v>
      </c>
      <c r="G584">
        <v>0</v>
      </c>
    </row>
    <row r="585" spans="1:7" x14ac:dyDescent="0.3">
      <c r="A585" s="2">
        <v>43579</v>
      </c>
      <c r="B585" t="s">
        <v>306</v>
      </c>
      <c r="C585">
        <v>-71.92</v>
      </c>
      <c r="D585" s="2">
        <v>43579</v>
      </c>
      <c r="E585" t="s">
        <v>27</v>
      </c>
      <c r="F585">
        <v>-71.92</v>
      </c>
      <c r="G585">
        <v>0</v>
      </c>
    </row>
    <row r="586" spans="1:7" x14ac:dyDescent="0.3">
      <c r="A586" s="2">
        <v>43580</v>
      </c>
      <c r="B586" t="s">
        <v>24</v>
      </c>
      <c r="C586">
        <v>2353.75</v>
      </c>
      <c r="D586" s="2">
        <v>43580</v>
      </c>
      <c r="E586" t="s">
        <v>25</v>
      </c>
      <c r="F586">
        <v>2353.75</v>
      </c>
      <c r="G586">
        <v>0</v>
      </c>
    </row>
    <row r="587" spans="1:7" x14ac:dyDescent="0.3">
      <c r="A587" s="2">
        <v>43580</v>
      </c>
      <c r="B587" t="s">
        <v>307</v>
      </c>
      <c r="C587">
        <v>-9.17</v>
      </c>
      <c r="D587" s="2">
        <v>43580</v>
      </c>
      <c r="E587" t="s">
        <v>27</v>
      </c>
      <c r="F587">
        <v>-9.17</v>
      </c>
      <c r="G587">
        <v>0</v>
      </c>
    </row>
    <row r="588" spans="1:7" x14ac:dyDescent="0.3">
      <c r="A588" s="2">
        <v>43580</v>
      </c>
      <c r="B588" t="s">
        <v>307</v>
      </c>
      <c r="C588">
        <v>-8.85</v>
      </c>
      <c r="D588" s="2">
        <v>43580</v>
      </c>
      <c r="E588" t="s">
        <v>27</v>
      </c>
      <c r="F588">
        <v>-8.85</v>
      </c>
      <c r="G588">
        <v>0</v>
      </c>
    </row>
    <row r="589" spans="1:7" x14ac:dyDescent="0.3">
      <c r="A589" s="2">
        <v>43581</v>
      </c>
      <c r="B589" t="s">
        <v>24</v>
      </c>
      <c r="C589">
        <v>738.75</v>
      </c>
      <c r="D589" s="2">
        <v>43581</v>
      </c>
      <c r="E589" t="s">
        <v>25</v>
      </c>
      <c r="F589">
        <v>738.75</v>
      </c>
      <c r="G589">
        <v>0</v>
      </c>
    </row>
    <row r="590" spans="1:7" x14ac:dyDescent="0.3">
      <c r="A590" s="2">
        <v>43581</v>
      </c>
      <c r="B590" t="s">
        <v>308</v>
      </c>
      <c r="C590">
        <v>-59.87</v>
      </c>
      <c r="D590" s="2">
        <v>43581</v>
      </c>
      <c r="E590" t="s">
        <v>27</v>
      </c>
      <c r="F590">
        <v>-59.87</v>
      </c>
      <c r="G590">
        <v>0</v>
      </c>
    </row>
    <row r="591" spans="1:7" x14ac:dyDescent="0.3">
      <c r="A591" s="2">
        <v>43584</v>
      </c>
      <c r="B591" t="s">
        <v>309</v>
      </c>
      <c r="C591">
        <v>-54.29</v>
      </c>
      <c r="D591" s="2">
        <v>43584</v>
      </c>
      <c r="E591" t="s">
        <v>27</v>
      </c>
      <c r="F591">
        <v>-54.29</v>
      </c>
      <c r="G591">
        <v>0</v>
      </c>
    </row>
    <row r="592" spans="1:7" x14ac:dyDescent="0.3">
      <c r="A592" s="2">
        <v>43584</v>
      </c>
      <c r="B592" t="s">
        <v>310</v>
      </c>
      <c r="C592">
        <v>-98.84</v>
      </c>
      <c r="D592" s="2">
        <v>43584</v>
      </c>
      <c r="E592" t="s">
        <v>27</v>
      </c>
      <c r="F592">
        <v>-98.84</v>
      </c>
      <c r="G592">
        <v>0</v>
      </c>
    </row>
    <row r="593" spans="1:7" x14ac:dyDescent="0.3">
      <c r="A593" s="2">
        <v>43584</v>
      </c>
      <c r="B593" t="s">
        <v>311</v>
      </c>
      <c r="C593">
        <v>-70.77</v>
      </c>
      <c r="D593" s="2">
        <v>43584</v>
      </c>
      <c r="E593" t="s">
        <v>27</v>
      </c>
      <c r="F593">
        <v>-70.77</v>
      </c>
      <c r="G593">
        <v>0</v>
      </c>
    </row>
    <row r="594" spans="1:7" x14ac:dyDescent="0.3">
      <c r="A594" s="2">
        <v>43584</v>
      </c>
      <c r="B594" t="s">
        <v>24</v>
      </c>
      <c r="C594">
        <v>468.75</v>
      </c>
      <c r="D594" s="2">
        <v>43584</v>
      </c>
      <c r="E594" t="s">
        <v>25</v>
      </c>
      <c r="F594">
        <v>468.75</v>
      </c>
      <c r="G594">
        <v>0</v>
      </c>
    </row>
    <row r="595" spans="1:7" x14ac:dyDescent="0.3">
      <c r="A595" s="2">
        <v>43584</v>
      </c>
      <c r="B595" t="s">
        <v>24</v>
      </c>
      <c r="C595">
        <v>538.75</v>
      </c>
      <c r="D595" s="2">
        <v>43584</v>
      </c>
      <c r="E595" t="s">
        <v>25</v>
      </c>
      <c r="F595">
        <v>538.75</v>
      </c>
      <c r="G595">
        <v>0</v>
      </c>
    </row>
    <row r="596" spans="1:7" x14ac:dyDescent="0.3">
      <c r="A596" s="2">
        <v>43585</v>
      </c>
      <c r="B596" t="s">
        <v>312</v>
      </c>
      <c r="C596">
        <v>-250000</v>
      </c>
      <c r="D596" s="2">
        <v>43585</v>
      </c>
      <c r="E596" t="s">
        <v>27</v>
      </c>
      <c r="F596">
        <v>-250000</v>
      </c>
      <c r="G596">
        <v>0</v>
      </c>
    </row>
    <row r="597" spans="1:7" x14ac:dyDescent="0.3">
      <c r="A597" s="2">
        <v>43585</v>
      </c>
      <c r="B597" t="s">
        <v>313</v>
      </c>
      <c r="C597">
        <v>-3750</v>
      </c>
      <c r="D597" s="2">
        <v>43585</v>
      </c>
      <c r="E597" t="s">
        <v>27</v>
      </c>
      <c r="F597">
        <v>-3750</v>
      </c>
      <c r="G597">
        <v>0</v>
      </c>
    </row>
    <row r="598" spans="1:7" x14ac:dyDescent="0.3">
      <c r="A598" s="2">
        <v>43585</v>
      </c>
      <c r="B598" t="s">
        <v>314</v>
      </c>
      <c r="C598">
        <v>-7935.17</v>
      </c>
      <c r="D598" s="2">
        <v>43585</v>
      </c>
      <c r="E598" t="s">
        <v>27</v>
      </c>
      <c r="F598">
        <v>-7935.17</v>
      </c>
      <c r="G598">
        <v>0</v>
      </c>
    </row>
    <row r="599" spans="1:7" x14ac:dyDescent="0.3">
      <c r="A599" s="2">
        <v>43585</v>
      </c>
      <c r="B599" t="s">
        <v>315</v>
      </c>
      <c r="C599">
        <v>-4167</v>
      </c>
      <c r="D599" s="2">
        <v>43586</v>
      </c>
      <c r="E599" t="s">
        <v>27</v>
      </c>
      <c r="F599">
        <v>-4167</v>
      </c>
      <c r="G599">
        <v>0</v>
      </c>
    </row>
    <row r="600" spans="1:7" x14ac:dyDescent="0.3">
      <c r="A600" s="2">
        <v>43585</v>
      </c>
      <c r="B600" t="s">
        <v>24</v>
      </c>
      <c r="C600">
        <v>163.75</v>
      </c>
      <c r="D600" s="2">
        <v>43585</v>
      </c>
      <c r="E600" t="s">
        <v>25</v>
      </c>
      <c r="F600">
        <v>163.75</v>
      </c>
      <c r="G600">
        <v>0</v>
      </c>
    </row>
    <row r="601" spans="1:7" x14ac:dyDescent="0.3">
      <c r="A601" s="2">
        <v>43586</v>
      </c>
      <c r="B601" t="s">
        <v>316</v>
      </c>
      <c r="C601">
        <v>-5</v>
      </c>
      <c r="D601" s="2">
        <v>43586</v>
      </c>
      <c r="E601" t="s">
        <v>27</v>
      </c>
      <c r="F601">
        <v>-5</v>
      </c>
      <c r="G601">
        <v>0</v>
      </c>
    </row>
    <row r="602" spans="1:7" x14ac:dyDescent="0.3">
      <c r="A602" s="2">
        <v>43586</v>
      </c>
      <c r="B602" t="s">
        <v>316</v>
      </c>
      <c r="C602">
        <v>-6.45</v>
      </c>
      <c r="D602" s="2">
        <v>43586</v>
      </c>
      <c r="E602" t="s">
        <v>27</v>
      </c>
      <c r="F602">
        <v>-6.45</v>
      </c>
      <c r="G602">
        <v>0</v>
      </c>
    </row>
    <row r="603" spans="1:7" x14ac:dyDescent="0.3">
      <c r="A603" s="2">
        <v>43586</v>
      </c>
      <c r="B603" t="s">
        <v>24</v>
      </c>
      <c r="C603">
        <v>1310</v>
      </c>
      <c r="D603" s="2">
        <v>43586</v>
      </c>
      <c r="E603" t="s">
        <v>25</v>
      </c>
      <c r="F603">
        <v>1310</v>
      </c>
      <c r="G603">
        <v>0</v>
      </c>
    </row>
    <row r="604" spans="1:7" x14ac:dyDescent="0.3">
      <c r="A604" s="2">
        <v>43587</v>
      </c>
      <c r="B604" t="s">
        <v>317</v>
      </c>
      <c r="C604">
        <v>-55</v>
      </c>
      <c r="D604" s="2">
        <v>43587</v>
      </c>
      <c r="E604" t="s">
        <v>27</v>
      </c>
      <c r="F604">
        <v>-55</v>
      </c>
      <c r="G604">
        <v>0</v>
      </c>
    </row>
    <row r="605" spans="1:7" x14ac:dyDescent="0.3">
      <c r="A605" s="2">
        <v>43587</v>
      </c>
      <c r="B605" t="s">
        <v>53</v>
      </c>
      <c r="C605">
        <v>-899.61</v>
      </c>
      <c r="D605" s="2">
        <v>43587</v>
      </c>
      <c r="E605" t="s">
        <v>27</v>
      </c>
      <c r="F605">
        <v>-899.61</v>
      </c>
      <c r="G605">
        <v>0</v>
      </c>
    </row>
    <row r="606" spans="1:7" x14ac:dyDescent="0.3">
      <c r="A606" s="2">
        <v>43587</v>
      </c>
      <c r="B606" t="s">
        <v>24</v>
      </c>
      <c r="C606">
        <v>225</v>
      </c>
      <c r="D606" s="2">
        <v>43587</v>
      </c>
      <c r="E606" t="s">
        <v>25</v>
      </c>
      <c r="F606">
        <v>225</v>
      </c>
      <c r="G606">
        <v>0</v>
      </c>
    </row>
    <row r="607" spans="1:7" x14ac:dyDescent="0.3">
      <c r="A607" s="2">
        <v>43588</v>
      </c>
      <c r="B607" t="s">
        <v>318</v>
      </c>
      <c r="C607">
        <v>-34.950000000000003</v>
      </c>
      <c r="D607" s="2">
        <v>43588</v>
      </c>
      <c r="E607" t="s">
        <v>27</v>
      </c>
      <c r="F607">
        <v>-34.950000000000003</v>
      </c>
      <c r="G607">
        <v>0</v>
      </c>
    </row>
    <row r="608" spans="1:7" x14ac:dyDescent="0.3">
      <c r="A608" s="2">
        <v>43588</v>
      </c>
      <c r="B608" t="s">
        <v>24</v>
      </c>
      <c r="C608">
        <v>1268.75</v>
      </c>
      <c r="D608" s="2">
        <v>43588</v>
      </c>
      <c r="E608" t="s">
        <v>25</v>
      </c>
      <c r="F608">
        <v>1268.75</v>
      </c>
      <c r="G608">
        <v>0</v>
      </c>
    </row>
    <row r="609" spans="1:7" x14ac:dyDescent="0.3">
      <c r="A609" s="2">
        <v>43591</v>
      </c>
      <c r="B609" t="s">
        <v>24</v>
      </c>
      <c r="C609">
        <v>1990</v>
      </c>
      <c r="D609" s="2">
        <v>43589</v>
      </c>
      <c r="E609" t="s">
        <v>25</v>
      </c>
      <c r="F609">
        <v>1990</v>
      </c>
      <c r="G609">
        <v>0</v>
      </c>
    </row>
    <row r="610" spans="1:7" x14ac:dyDescent="0.3">
      <c r="A610" s="2">
        <v>43591</v>
      </c>
      <c r="B610" t="s">
        <v>24</v>
      </c>
      <c r="C610">
        <v>750</v>
      </c>
      <c r="D610" s="2">
        <v>43591</v>
      </c>
      <c r="E610" t="s">
        <v>25</v>
      </c>
      <c r="F610">
        <v>750</v>
      </c>
      <c r="G610">
        <v>0</v>
      </c>
    </row>
    <row r="611" spans="1:7" x14ac:dyDescent="0.3">
      <c r="A611" s="2">
        <v>43591</v>
      </c>
      <c r="B611" t="s">
        <v>24</v>
      </c>
      <c r="C611">
        <v>395</v>
      </c>
      <c r="D611" s="2">
        <v>43590</v>
      </c>
      <c r="E611" t="s">
        <v>25</v>
      </c>
      <c r="F611">
        <v>395</v>
      </c>
      <c r="G611">
        <v>0</v>
      </c>
    </row>
    <row r="612" spans="1:7" x14ac:dyDescent="0.3">
      <c r="A612" s="2">
        <v>43592</v>
      </c>
      <c r="B612" t="s">
        <v>24</v>
      </c>
      <c r="C612">
        <v>40</v>
      </c>
      <c r="D612" s="2">
        <v>43592</v>
      </c>
      <c r="E612" t="s">
        <v>25</v>
      </c>
      <c r="F612">
        <v>40</v>
      </c>
      <c r="G612">
        <v>0</v>
      </c>
    </row>
    <row r="613" spans="1:7" x14ac:dyDescent="0.3">
      <c r="A613" s="2">
        <v>43593</v>
      </c>
      <c r="B613" t="s">
        <v>319</v>
      </c>
      <c r="C613">
        <v>-10.32</v>
      </c>
      <c r="D613" s="2">
        <v>43593</v>
      </c>
      <c r="E613" t="s">
        <v>27</v>
      </c>
      <c r="F613">
        <v>-10.32</v>
      </c>
      <c r="G613">
        <v>0</v>
      </c>
    </row>
    <row r="614" spans="1:7" x14ac:dyDescent="0.3">
      <c r="A614" s="2">
        <v>43593</v>
      </c>
      <c r="B614" t="s">
        <v>24</v>
      </c>
      <c r="C614">
        <v>600</v>
      </c>
      <c r="D614" s="2">
        <v>43593</v>
      </c>
      <c r="E614" t="s">
        <v>25</v>
      </c>
      <c r="F614">
        <v>600</v>
      </c>
      <c r="G614">
        <v>0</v>
      </c>
    </row>
    <row r="615" spans="1:7" x14ac:dyDescent="0.3">
      <c r="A615" s="2">
        <v>43593</v>
      </c>
      <c r="B615" t="s">
        <v>320</v>
      </c>
      <c r="C615">
        <v>-626.49</v>
      </c>
      <c r="D615" s="2">
        <v>43593</v>
      </c>
      <c r="E615" t="s">
        <v>27</v>
      </c>
      <c r="F615">
        <v>-626.49</v>
      </c>
      <c r="G615">
        <v>0</v>
      </c>
    </row>
    <row r="616" spans="1:7" x14ac:dyDescent="0.3">
      <c r="A616" s="2">
        <v>43594</v>
      </c>
      <c r="B616" t="s">
        <v>321</v>
      </c>
      <c r="C616">
        <v>-162.4</v>
      </c>
      <c r="D616" s="2">
        <v>43594</v>
      </c>
      <c r="E616" t="s">
        <v>27</v>
      </c>
      <c r="F616">
        <v>-162.4</v>
      </c>
      <c r="G616">
        <v>0</v>
      </c>
    </row>
    <row r="617" spans="1:7" x14ac:dyDescent="0.3">
      <c r="A617" s="2">
        <v>43594</v>
      </c>
      <c r="B617" t="s">
        <v>24</v>
      </c>
      <c r="C617">
        <v>455</v>
      </c>
      <c r="D617" s="2">
        <v>43594</v>
      </c>
      <c r="E617" t="s">
        <v>25</v>
      </c>
      <c r="F617">
        <v>455</v>
      </c>
      <c r="G617">
        <v>0</v>
      </c>
    </row>
    <row r="618" spans="1:7" x14ac:dyDescent="0.3">
      <c r="A618" s="2">
        <v>43595</v>
      </c>
      <c r="B618" t="s">
        <v>24</v>
      </c>
      <c r="C618">
        <v>690</v>
      </c>
      <c r="D618" s="2">
        <v>43594</v>
      </c>
      <c r="E618" t="s">
        <v>25</v>
      </c>
      <c r="F618">
        <v>690</v>
      </c>
      <c r="G618">
        <v>0</v>
      </c>
    </row>
    <row r="619" spans="1:7" x14ac:dyDescent="0.3">
      <c r="A619" s="2">
        <v>43595</v>
      </c>
      <c r="B619" t="s">
        <v>322</v>
      </c>
      <c r="C619">
        <v>-9.99</v>
      </c>
      <c r="D619" s="2">
        <v>43595</v>
      </c>
      <c r="E619" t="s">
        <v>27</v>
      </c>
      <c r="F619">
        <v>-9.99</v>
      </c>
      <c r="G619">
        <v>0</v>
      </c>
    </row>
    <row r="620" spans="1:7" x14ac:dyDescent="0.3">
      <c r="A620" s="2">
        <v>43598</v>
      </c>
      <c r="B620" t="s">
        <v>24</v>
      </c>
      <c r="C620">
        <v>498.75</v>
      </c>
      <c r="D620" s="2">
        <v>43597</v>
      </c>
      <c r="E620" t="s">
        <v>25</v>
      </c>
      <c r="F620">
        <v>498.75</v>
      </c>
      <c r="G620">
        <v>0</v>
      </c>
    </row>
    <row r="621" spans="1:7" x14ac:dyDescent="0.3">
      <c r="A621" s="2">
        <v>43598</v>
      </c>
      <c r="B621" t="s">
        <v>24</v>
      </c>
      <c r="C621">
        <v>748.75</v>
      </c>
      <c r="D621" s="2">
        <v>43596</v>
      </c>
      <c r="E621" t="s">
        <v>25</v>
      </c>
      <c r="F621">
        <v>748.75</v>
      </c>
      <c r="G621">
        <v>0</v>
      </c>
    </row>
    <row r="622" spans="1:7" x14ac:dyDescent="0.3">
      <c r="A622" s="2">
        <v>43598</v>
      </c>
      <c r="B622" t="s">
        <v>24</v>
      </c>
      <c r="C622">
        <v>123.75</v>
      </c>
      <c r="D622" s="2">
        <v>43598</v>
      </c>
      <c r="E622" t="s">
        <v>25</v>
      </c>
      <c r="F622">
        <v>123.75</v>
      </c>
      <c r="G622">
        <v>0</v>
      </c>
    </row>
    <row r="623" spans="1:7" x14ac:dyDescent="0.3">
      <c r="A623" s="2">
        <v>43598</v>
      </c>
      <c r="B623" t="s">
        <v>323</v>
      </c>
      <c r="C623">
        <v>-14.61</v>
      </c>
      <c r="D623" s="2">
        <v>43598</v>
      </c>
      <c r="E623" t="s">
        <v>27</v>
      </c>
      <c r="F623">
        <v>-14.61</v>
      </c>
      <c r="G623">
        <v>0</v>
      </c>
    </row>
    <row r="624" spans="1:7" x14ac:dyDescent="0.3">
      <c r="A624" s="2">
        <v>43598</v>
      </c>
      <c r="B624" t="s">
        <v>324</v>
      </c>
      <c r="C624">
        <v>-39.119999999999997</v>
      </c>
      <c r="D624" s="2">
        <v>43598</v>
      </c>
      <c r="E624" t="s">
        <v>27</v>
      </c>
      <c r="F624">
        <v>-39.119999999999997</v>
      </c>
      <c r="G624">
        <v>0</v>
      </c>
    </row>
    <row r="625" spans="1:7" x14ac:dyDescent="0.3">
      <c r="A625" s="2">
        <v>43598</v>
      </c>
      <c r="B625" t="s">
        <v>325</v>
      </c>
      <c r="C625">
        <v>-31.15</v>
      </c>
      <c r="D625" s="2">
        <v>43598</v>
      </c>
      <c r="E625" t="s">
        <v>27</v>
      </c>
      <c r="F625">
        <v>-31.15</v>
      </c>
      <c r="G625">
        <v>0</v>
      </c>
    </row>
    <row r="626" spans="1:7" x14ac:dyDescent="0.3">
      <c r="A626" s="2">
        <v>43598</v>
      </c>
      <c r="B626" t="s">
        <v>325</v>
      </c>
      <c r="C626">
        <v>-17.420000000000002</v>
      </c>
      <c r="D626" s="2">
        <v>43598</v>
      </c>
      <c r="E626" t="s">
        <v>27</v>
      </c>
      <c r="F626">
        <v>-17.420000000000002</v>
      </c>
      <c r="G626">
        <v>0</v>
      </c>
    </row>
    <row r="627" spans="1:7" x14ac:dyDescent="0.3">
      <c r="A627" s="2">
        <v>43598</v>
      </c>
      <c r="B627" t="s">
        <v>325</v>
      </c>
      <c r="C627">
        <v>-48.42</v>
      </c>
      <c r="D627" s="2">
        <v>43598</v>
      </c>
      <c r="E627" t="s">
        <v>27</v>
      </c>
      <c r="F627">
        <v>-48.42</v>
      </c>
      <c r="G627">
        <v>0</v>
      </c>
    </row>
    <row r="628" spans="1:7" x14ac:dyDescent="0.3">
      <c r="A628" s="2">
        <v>43598</v>
      </c>
      <c r="B628" t="s">
        <v>326</v>
      </c>
      <c r="C628">
        <v>-1209.53</v>
      </c>
      <c r="D628" s="2">
        <v>43598</v>
      </c>
      <c r="E628" t="s">
        <v>27</v>
      </c>
      <c r="F628">
        <v>-1209.53</v>
      </c>
      <c r="G628">
        <v>0</v>
      </c>
    </row>
    <row r="629" spans="1:7" x14ac:dyDescent="0.3">
      <c r="A629" s="2">
        <v>43598</v>
      </c>
      <c r="B629" t="s">
        <v>327</v>
      </c>
      <c r="C629">
        <v>-47.97</v>
      </c>
      <c r="D629" s="2">
        <v>43598</v>
      </c>
      <c r="E629" t="s">
        <v>27</v>
      </c>
      <c r="F629">
        <v>-47.97</v>
      </c>
      <c r="G629">
        <v>0</v>
      </c>
    </row>
    <row r="630" spans="1:7" x14ac:dyDescent="0.3">
      <c r="A630" s="2">
        <v>43599</v>
      </c>
      <c r="B630" t="s">
        <v>328</v>
      </c>
      <c r="C630">
        <v>-50.55</v>
      </c>
      <c r="D630" s="2">
        <v>43599</v>
      </c>
      <c r="E630" t="s">
        <v>27</v>
      </c>
      <c r="F630">
        <v>-50.55</v>
      </c>
      <c r="G630">
        <v>0</v>
      </c>
    </row>
    <row r="631" spans="1:7" x14ac:dyDescent="0.3">
      <c r="A631" s="2">
        <v>43599</v>
      </c>
      <c r="B631" t="s">
        <v>329</v>
      </c>
      <c r="C631">
        <v>-69.8</v>
      </c>
      <c r="D631" s="2">
        <v>43599</v>
      </c>
      <c r="E631" t="s">
        <v>27</v>
      </c>
      <c r="F631">
        <v>-69.8</v>
      </c>
      <c r="G631">
        <v>0</v>
      </c>
    </row>
    <row r="632" spans="1:7" x14ac:dyDescent="0.3">
      <c r="A632" s="2">
        <v>43599</v>
      </c>
      <c r="B632" t="s">
        <v>330</v>
      </c>
      <c r="C632">
        <v>-17.989999999999998</v>
      </c>
      <c r="D632" s="2">
        <v>43599</v>
      </c>
      <c r="E632" t="s">
        <v>27</v>
      </c>
      <c r="F632">
        <v>-17.989999999999998</v>
      </c>
      <c r="G632">
        <v>0</v>
      </c>
    </row>
    <row r="633" spans="1:7" x14ac:dyDescent="0.3">
      <c r="A633" s="2">
        <v>43599</v>
      </c>
      <c r="B633" t="s">
        <v>331</v>
      </c>
      <c r="C633">
        <v>-12.6</v>
      </c>
      <c r="D633" s="2">
        <v>43599</v>
      </c>
      <c r="E633" t="s">
        <v>27</v>
      </c>
      <c r="F633">
        <v>-12.6</v>
      </c>
      <c r="G633">
        <v>0</v>
      </c>
    </row>
    <row r="634" spans="1:7" x14ac:dyDescent="0.3">
      <c r="A634" s="2">
        <v>43599</v>
      </c>
      <c r="B634" t="s">
        <v>24</v>
      </c>
      <c r="C634">
        <v>40</v>
      </c>
      <c r="D634" s="2">
        <v>43599</v>
      </c>
      <c r="E634" t="s">
        <v>25</v>
      </c>
      <c r="F634">
        <v>40</v>
      </c>
      <c r="G634">
        <v>0</v>
      </c>
    </row>
    <row r="635" spans="1:7" x14ac:dyDescent="0.3">
      <c r="A635" s="2">
        <v>43599</v>
      </c>
      <c r="B635" t="s">
        <v>332</v>
      </c>
      <c r="C635">
        <v>-15.99</v>
      </c>
      <c r="D635" s="2">
        <v>43599</v>
      </c>
      <c r="E635" t="s">
        <v>27</v>
      </c>
      <c r="F635">
        <v>-15.99</v>
      </c>
      <c r="G635">
        <v>0</v>
      </c>
    </row>
    <row r="636" spans="1:7" x14ac:dyDescent="0.3">
      <c r="A636" s="2">
        <v>43599</v>
      </c>
      <c r="B636" t="s">
        <v>333</v>
      </c>
      <c r="C636">
        <v>-85.62</v>
      </c>
      <c r="D636" s="2">
        <v>43599</v>
      </c>
      <c r="E636" t="s">
        <v>27</v>
      </c>
      <c r="F636">
        <v>-85.62</v>
      </c>
      <c r="G636">
        <v>0</v>
      </c>
    </row>
    <row r="637" spans="1:7" x14ac:dyDescent="0.3">
      <c r="A637" s="2">
        <v>43599</v>
      </c>
      <c r="B637" t="s">
        <v>334</v>
      </c>
      <c r="C637">
        <v>-14.4</v>
      </c>
      <c r="D637" s="2">
        <v>43599</v>
      </c>
      <c r="E637" t="s">
        <v>27</v>
      </c>
      <c r="F637">
        <v>-14.4</v>
      </c>
      <c r="G637">
        <v>0</v>
      </c>
    </row>
    <row r="638" spans="1:7" x14ac:dyDescent="0.3">
      <c r="A638" s="2">
        <v>43599</v>
      </c>
      <c r="B638" t="s">
        <v>335</v>
      </c>
      <c r="C638">
        <v>-56.6</v>
      </c>
      <c r="D638" s="2">
        <v>43599</v>
      </c>
      <c r="E638" t="s">
        <v>27</v>
      </c>
      <c r="F638">
        <v>-56.6</v>
      </c>
      <c r="G638">
        <v>0</v>
      </c>
    </row>
    <row r="639" spans="1:7" x14ac:dyDescent="0.3">
      <c r="A639" s="2">
        <v>43600</v>
      </c>
      <c r="B639" t="s">
        <v>24</v>
      </c>
      <c r="C639">
        <v>1020</v>
      </c>
      <c r="D639" s="2">
        <v>43600</v>
      </c>
      <c r="E639" t="s">
        <v>25</v>
      </c>
      <c r="F639">
        <v>1020</v>
      </c>
      <c r="G639">
        <v>0</v>
      </c>
    </row>
    <row r="640" spans="1:7" x14ac:dyDescent="0.3">
      <c r="A640" s="2">
        <v>43600</v>
      </c>
      <c r="B640" t="s">
        <v>336</v>
      </c>
      <c r="C640">
        <v>-20.81</v>
      </c>
      <c r="D640" s="2">
        <v>43600</v>
      </c>
      <c r="E640" t="s">
        <v>27</v>
      </c>
      <c r="F640">
        <v>-20.81</v>
      </c>
      <c r="G640">
        <v>0</v>
      </c>
    </row>
    <row r="641" spans="1:7" x14ac:dyDescent="0.3">
      <c r="A641" s="2">
        <v>43600</v>
      </c>
      <c r="B641" t="s">
        <v>336</v>
      </c>
      <c r="C641">
        <v>-7.84</v>
      </c>
      <c r="D641" s="2">
        <v>43600</v>
      </c>
      <c r="E641" t="s">
        <v>27</v>
      </c>
      <c r="F641">
        <v>-7.84</v>
      </c>
      <c r="G641">
        <v>0</v>
      </c>
    </row>
    <row r="642" spans="1:7" x14ac:dyDescent="0.3">
      <c r="A642" s="2">
        <v>43600</v>
      </c>
      <c r="B642" t="s">
        <v>337</v>
      </c>
      <c r="C642">
        <v>-11.97</v>
      </c>
      <c r="D642" s="2">
        <v>43600</v>
      </c>
      <c r="E642" t="s">
        <v>27</v>
      </c>
      <c r="F642">
        <v>-11.97</v>
      </c>
      <c r="G642">
        <v>0</v>
      </c>
    </row>
    <row r="643" spans="1:7" x14ac:dyDescent="0.3">
      <c r="A643" s="2">
        <v>43601</v>
      </c>
      <c r="B643" t="s">
        <v>338</v>
      </c>
      <c r="C643">
        <v>-53.24</v>
      </c>
      <c r="D643" s="2">
        <v>43601</v>
      </c>
      <c r="E643" t="s">
        <v>27</v>
      </c>
      <c r="F643">
        <v>-53.24</v>
      </c>
      <c r="G643">
        <v>0</v>
      </c>
    </row>
    <row r="644" spans="1:7" x14ac:dyDescent="0.3">
      <c r="A644" s="2">
        <v>43601</v>
      </c>
      <c r="B644" t="s">
        <v>24</v>
      </c>
      <c r="C644">
        <v>495</v>
      </c>
      <c r="D644" s="2">
        <v>43601</v>
      </c>
      <c r="E644" t="s">
        <v>25</v>
      </c>
      <c r="F644">
        <v>495</v>
      </c>
      <c r="G644">
        <v>0</v>
      </c>
    </row>
    <row r="645" spans="1:7" x14ac:dyDescent="0.3">
      <c r="A645" s="2">
        <v>43601</v>
      </c>
      <c r="B645" t="s">
        <v>339</v>
      </c>
      <c r="C645">
        <v>-33</v>
      </c>
      <c r="D645" s="2">
        <v>43601</v>
      </c>
      <c r="E645" t="s">
        <v>27</v>
      </c>
      <c r="F645">
        <v>-33</v>
      </c>
      <c r="G645">
        <v>0</v>
      </c>
    </row>
    <row r="646" spans="1:7" x14ac:dyDescent="0.3">
      <c r="A646" s="2">
        <v>43602</v>
      </c>
      <c r="B646" t="s">
        <v>24</v>
      </c>
      <c r="C646">
        <v>307.5</v>
      </c>
      <c r="D646" s="2">
        <v>43602</v>
      </c>
      <c r="E646" t="s">
        <v>25</v>
      </c>
      <c r="F646">
        <v>307.5</v>
      </c>
      <c r="G646">
        <v>0</v>
      </c>
    </row>
    <row r="647" spans="1:7" x14ac:dyDescent="0.3">
      <c r="A647" s="2">
        <v>43602</v>
      </c>
      <c r="B647" t="s">
        <v>340</v>
      </c>
      <c r="C647">
        <v>-38.450000000000003</v>
      </c>
      <c r="D647" s="2">
        <v>43602</v>
      </c>
      <c r="E647" t="s">
        <v>27</v>
      </c>
      <c r="F647">
        <v>-38.450000000000003</v>
      </c>
      <c r="G647">
        <v>0</v>
      </c>
    </row>
    <row r="648" spans="1:7" x14ac:dyDescent="0.3">
      <c r="A648" s="2">
        <v>43602</v>
      </c>
      <c r="B648" t="s">
        <v>341</v>
      </c>
      <c r="C648">
        <v>-83.55</v>
      </c>
      <c r="D648" s="2">
        <v>43602</v>
      </c>
      <c r="E648" t="s">
        <v>27</v>
      </c>
      <c r="F648">
        <v>-83.55</v>
      </c>
      <c r="G648">
        <v>0</v>
      </c>
    </row>
    <row r="649" spans="1:7" x14ac:dyDescent="0.3">
      <c r="A649" s="2">
        <v>43605</v>
      </c>
      <c r="B649" t="s">
        <v>24</v>
      </c>
      <c r="C649">
        <v>60</v>
      </c>
      <c r="D649" s="2">
        <v>43605</v>
      </c>
      <c r="E649" t="s">
        <v>25</v>
      </c>
      <c r="F649">
        <v>60</v>
      </c>
      <c r="G649">
        <v>0</v>
      </c>
    </row>
    <row r="650" spans="1:7" x14ac:dyDescent="0.3">
      <c r="A650" s="2">
        <v>43605</v>
      </c>
      <c r="B650" t="s">
        <v>24</v>
      </c>
      <c r="C650">
        <v>597.5</v>
      </c>
      <c r="D650" s="2">
        <v>43604</v>
      </c>
      <c r="E650" t="s">
        <v>25</v>
      </c>
      <c r="F650">
        <v>597.5</v>
      </c>
      <c r="G650">
        <v>0</v>
      </c>
    </row>
    <row r="651" spans="1:7" x14ac:dyDescent="0.3">
      <c r="A651" s="2">
        <v>43605</v>
      </c>
      <c r="B651" t="s">
        <v>342</v>
      </c>
      <c r="C651">
        <v>-31.63</v>
      </c>
      <c r="D651" s="2">
        <v>43605</v>
      </c>
      <c r="E651" t="s">
        <v>27</v>
      </c>
      <c r="F651">
        <v>-31.63</v>
      </c>
      <c r="G651">
        <v>0</v>
      </c>
    </row>
    <row r="652" spans="1:7" x14ac:dyDescent="0.3">
      <c r="A652" s="2">
        <v>43605</v>
      </c>
      <c r="B652" t="s">
        <v>343</v>
      </c>
      <c r="C652">
        <v>-20.77</v>
      </c>
      <c r="D652" s="2">
        <v>43605</v>
      </c>
      <c r="E652" t="s">
        <v>27</v>
      </c>
      <c r="F652">
        <v>-20.77</v>
      </c>
      <c r="G652">
        <v>0</v>
      </c>
    </row>
    <row r="653" spans="1:7" x14ac:dyDescent="0.3">
      <c r="A653" s="2">
        <v>43605</v>
      </c>
      <c r="B653" t="s">
        <v>24</v>
      </c>
      <c r="C653">
        <v>143.75</v>
      </c>
      <c r="D653" s="2">
        <v>43603</v>
      </c>
      <c r="E653" t="s">
        <v>25</v>
      </c>
      <c r="F653">
        <v>143.75</v>
      </c>
      <c r="G653">
        <v>0</v>
      </c>
    </row>
    <row r="654" spans="1:7" x14ac:dyDescent="0.3">
      <c r="A654" s="2">
        <v>43605</v>
      </c>
      <c r="B654" t="s">
        <v>343</v>
      </c>
      <c r="C654">
        <v>-20.22</v>
      </c>
      <c r="D654" s="2">
        <v>43605</v>
      </c>
      <c r="E654" t="s">
        <v>27</v>
      </c>
      <c r="F654">
        <v>-20.22</v>
      </c>
      <c r="G654">
        <v>0</v>
      </c>
    </row>
    <row r="655" spans="1:7" x14ac:dyDescent="0.3">
      <c r="A655" s="2">
        <v>43606</v>
      </c>
      <c r="B655" t="s">
        <v>24</v>
      </c>
      <c r="C655">
        <v>415</v>
      </c>
      <c r="D655" s="2">
        <v>43606</v>
      </c>
      <c r="E655" t="s">
        <v>25</v>
      </c>
      <c r="F655">
        <v>415</v>
      </c>
      <c r="G655">
        <v>0</v>
      </c>
    </row>
    <row r="656" spans="1:7" x14ac:dyDescent="0.3">
      <c r="A656" s="2">
        <v>43606</v>
      </c>
      <c r="B656" t="s">
        <v>344</v>
      </c>
      <c r="C656">
        <v>-63.98</v>
      </c>
      <c r="D656" s="2">
        <v>43606</v>
      </c>
      <c r="E656" t="s">
        <v>27</v>
      </c>
      <c r="F656">
        <v>-63.98</v>
      </c>
      <c r="G656">
        <v>0</v>
      </c>
    </row>
    <row r="657" spans="1:7" x14ac:dyDescent="0.3">
      <c r="A657" s="2">
        <v>43606</v>
      </c>
      <c r="B657" t="s">
        <v>345</v>
      </c>
      <c r="C657">
        <v>-77933.710000000006</v>
      </c>
      <c r="D657" s="2">
        <v>43606</v>
      </c>
      <c r="E657" t="s">
        <v>27</v>
      </c>
      <c r="F657">
        <v>-77933.710000000006</v>
      </c>
      <c r="G657">
        <v>0</v>
      </c>
    </row>
    <row r="658" spans="1:7" x14ac:dyDescent="0.3">
      <c r="A658" s="2">
        <v>43607</v>
      </c>
      <c r="B658" t="s">
        <v>346</v>
      </c>
      <c r="C658">
        <v>-500</v>
      </c>
      <c r="D658" s="2">
        <v>43607</v>
      </c>
      <c r="E658" t="s">
        <v>27</v>
      </c>
      <c r="F658">
        <v>-500</v>
      </c>
      <c r="G658">
        <v>0</v>
      </c>
    </row>
    <row r="659" spans="1:7" x14ac:dyDescent="0.3">
      <c r="A659" s="2">
        <v>43607</v>
      </c>
      <c r="B659" t="s">
        <v>24</v>
      </c>
      <c r="C659">
        <v>475</v>
      </c>
      <c r="D659" s="2">
        <v>43607</v>
      </c>
      <c r="E659" t="s">
        <v>25</v>
      </c>
      <c r="F659">
        <v>475</v>
      </c>
      <c r="G659">
        <v>0</v>
      </c>
    </row>
    <row r="660" spans="1:7" x14ac:dyDescent="0.3">
      <c r="A660" s="2">
        <v>43607</v>
      </c>
      <c r="B660" t="s">
        <v>347</v>
      </c>
      <c r="C660">
        <v>-74.819999999999993</v>
      </c>
      <c r="D660" s="2">
        <v>43607</v>
      </c>
      <c r="E660" t="s">
        <v>27</v>
      </c>
      <c r="F660">
        <v>-74.819999999999993</v>
      </c>
      <c r="G660">
        <v>0</v>
      </c>
    </row>
    <row r="661" spans="1:7" x14ac:dyDescent="0.3">
      <c r="A661" s="2">
        <v>43607</v>
      </c>
      <c r="B661" t="s">
        <v>348</v>
      </c>
      <c r="C661">
        <v>31</v>
      </c>
      <c r="D661" s="2">
        <v>43607</v>
      </c>
      <c r="E661" t="s">
        <v>25</v>
      </c>
      <c r="F661">
        <v>31</v>
      </c>
      <c r="G661">
        <v>0</v>
      </c>
    </row>
    <row r="662" spans="1:7" x14ac:dyDescent="0.3">
      <c r="A662" s="2">
        <v>43608</v>
      </c>
      <c r="B662" t="s">
        <v>24</v>
      </c>
      <c r="C662">
        <v>1345</v>
      </c>
      <c r="D662" s="2">
        <v>43608</v>
      </c>
      <c r="E662" t="s">
        <v>25</v>
      </c>
      <c r="F662">
        <v>1345</v>
      </c>
      <c r="G662">
        <v>0</v>
      </c>
    </row>
    <row r="663" spans="1:7" x14ac:dyDescent="0.3">
      <c r="A663" s="2">
        <v>43609</v>
      </c>
      <c r="B663" t="s">
        <v>24</v>
      </c>
      <c r="C663">
        <v>1095</v>
      </c>
      <c r="D663" s="2">
        <v>43610</v>
      </c>
      <c r="E663" t="s">
        <v>25</v>
      </c>
      <c r="F663">
        <v>1095</v>
      </c>
      <c r="G663">
        <v>0</v>
      </c>
    </row>
    <row r="664" spans="1:7" x14ac:dyDescent="0.3">
      <c r="A664" s="2">
        <v>43613</v>
      </c>
      <c r="B664" t="s">
        <v>349</v>
      </c>
      <c r="C664">
        <v>-14.12</v>
      </c>
      <c r="D664" s="2">
        <v>43613</v>
      </c>
      <c r="E664" t="s">
        <v>27</v>
      </c>
      <c r="F664">
        <v>-14.12</v>
      </c>
      <c r="G664">
        <v>0</v>
      </c>
    </row>
    <row r="665" spans="1:7" x14ac:dyDescent="0.3">
      <c r="A665" s="2">
        <v>43613</v>
      </c>
      <c r="B665" t="s">
        <v>350</v>
      </c>
      <c r="C665">
        <v>-980</v>
      </c>
      <c r="D665" s="2">
        <v>43613</v>
      </c>
      <c r="E665" t="s">
        <v>27</v>
      </c>
      <c r="F665">
        <v>-980</v>
      </c>
      <c r="G665">
        <v>0</v>
      </c>
    </row>
    <row r="666" spans="1:7" x14ac:dyDescent="0.3">
      <c r="A666" s="2">
        <v>43613</v>
      </c>
      <c r="B666" t="s">
        <v>351</v>
      </c>
      <c r="C666">
        <v>-1946.42</v>
      </c>
      <c r="D666" s="2">
        <v>43613</v>
      </c>
      <c r="E666" t="s">
        <v>27</v>
      </c>
      <c r="F666">
        <v>-1946.42</v>
      </c>
      <c r="G666">
        <v>0</v>
      </c>
    </row>
    <row r="667" spans="1:7" x14ac:dyDescent="0.3">
      <c r="A667" s="2">
        <v>43613</v>
      </c>
      <c r="B667" t="s">
        <v>351</v>
      </c>
      <c r="C667">
        <v>-198.67</v>
      </c>
      <c r="D667" s="2">
        <v>43613</v>
      </c>
      <c r="E667" t="s">
        <v>27</v>
      </c>
      <c r="F667">
        <v>-198.67</v>
      </c>
      <c r="G667">
        <v>0</v>
      </c>
    </row>
    <row r="668" spans="1:7" x14ac:dyDescent="0.3">
      <c r="A668" s="2">
        <v>43613</v>
      </c>
      <c r="B668" t="s">
        <v>24</v>
      </c>
      <c r="C668">
        <v>165</v>
      </c>
      <c r="D668" s="2">
        <v>43611</v>
      </c>
      <c r="E668" t="s">
        <v>25</v>
      </c>
      <c r="F668">
        <v>165</v>
      </c>
      <c r="G668">
        <v>0</v>
      </c>
    </row>
    <row r="669" spans="1:7" x14ac:dyDescent="0.3">
      <c r="A669" s="2">
        <v>43613</v>
      </c>
      <c r="B669" t="s">
        <v>24</v>
      </c>
      <c r="C669">
        <v>123.75</v>
      </c>
      <c r="D669" s="2">
        <v>43612</v>
      </c>
      <c r="E669" t="s">
        <v>25</v>
      </c>
      <c r="F669">
        <v>123.75</v>
      </c>
      <c r="G669">
        <v>0</v>
      </c>
    </row>
    <row r="670" spans="1:7" x14ac:dyDescent="0.3">
      <c r="A670" s="2">
        <v>43613</v>
      </c>
      <c r="B670" t="s">
        <v>24</v>
      </c>
      <c r="C670">
        <v>85</v>
      </c>
      <c r="D670" s="2">
        <v>43613</v>
      </c>
      <c r="E670" t="s">
        <v>25</v>
      </c>
      <c r="F670">
        <v>85</v>
      </c>
      <c r="G670">
        <v>0</v>
      </c>
    </row>
    <row r="671" spans="1:7" x14ac:dyDescent="0.3">
      <c r="A671" s="2">
        <v>43613</v>
      </c>
      <c r="B671" t="s">
        <v>351</v>
      </c>
      <c r="C671">
        <v>-198.67</v>
      </c>
      <c r="D671" s="2">
        <v>43613</v>
      </c>
      <c r="E671" t="s">
        <v>27</v>
      </c>
      <c r="F671">
        <v>-198.67</v>
      </c>
      <c r="G671">
        <v>0</v>
      </c>
    </row>
    <row r="672" spans="1:7" x14ac:dyDescent="0.3">
      <c r="A672" s="2">
        <v>43613</v>
      </c>
      <c r="B672" t="s">
        <v>352</v>
      </c>
      <c r="C672">
        <v>-59.87</v>
      </c>
      <c r="D672" s="2">
        <v>43613</v>
      </c>
      <c r="E672" t="s">
        <v>27</v>
      </c>
      <c r="F672">
        <v>-59.87</v>
      </c>
      <c r="G672">
        <v>0</v>
      </c>
    </row>
    <row r="673" spans="1:7" x14ac:dyDescent="0.3">
      <c r="A673" s="2">
        <v>43613</v>
      </c>
      <c r="B673" t="s">
        <v>353</v>
      </c>
      <c r="C673">
        <v>-12.88</v>
      </c>
      <c r="D673" s="2">
        <v>43613</v>
      </c>
      <c r="E673" t="s">
        <v>27</v>
      </c>
      <c r="F673">
        <v>-12.88</v>
      </c>
      <c r="G673">
        <v>0</v>
      </c>
    </row>
    <row r="674" spans="1:7" x14ac:dyDescent="0.3">
      <c r="A674" s="2">
        <v>43614</v>
      </c>
      <c r="B674" t="s">
        <v>24</v>
      </c>
      <c r="C674">
        <v>250</v>
      </c>
      <c r="D674" s="2">
        <v>43614</v>
      </c>
      <c r="E674" t="s">
        <v>25</v>
      </c>
      <c r="F674">
        <v>250</v>
      </c>
      <c r="G674">
        <v>0</v>
      </c>
    </row>
    <row r="675" spans="1:7" x14ac:dyDescent="0.3">
      <c r="A675" s="2">
        <v>43614</v>
      </c>
      <c r="B675" t="s">
        <v>354</v>
      </c>
      <c r="C675">
        <v>-13.58</v>
      </c>
      <c r="D675" s="2">
        <v>43614</v>
      </c>
      <c r="E675" t="s">
        <v>27</v>
      </c>
      <c r="F675">
        <v>-13.58</v>
      </c>
      <c r="G675">
        <v>0</v>
      </c>
    </row>
    <row r="676" spans="1:7" x14ac:dyDescent="0.3">
      <c r="A676" s="2">
        <v>43614</v>
      </c>
      <c r="B676" t="s">
        <v>355</v>
      </c>
      <c r="C676">
        <v>-43.36</v>
      </c>
      <c r="D676" s="2">
        <v>43614</v>
      </c>
      <c r="E676" t="s">
        <v>27</v>
      </c>
      <c r="F676">
        <v>-43.36</v>
      </c>
      <c r="G676">
        <v>0</v>
      </c>
    </row>
    <row r="677" spans="1:7" x14ac:dyDescent="0.3">
      <c r="A677" s="2">
        <v>43614</v>
      </c>
      <c r="B677" t="s">
        <v>356</v>
      </c>
      <c r="C677">
        <v>-26.32</v>
      </c>
      <c r="D677" s="2">
        <v>43614</v>
      </c>
      <c r="E677" t="s">
        <v>27</v>
      </c>
      <c r="F677">
        <v>-26.32</v>
      </c>
      <c r="G677">
        <v>0</v>
      </c>
    </row>
    <row r="678" spans="1:7" x14ac:dyDescent="0.3">
      <c r="A678" s="2">
        <v>43614</v>
      </c>
      <c r="B678" t="s">
        <v>357</v>
      </c>
      <c r="C678">
        <v>-51.25</v>
      </c>
      <c r="D678" s="2">
        <v>43614</v>
      </c>
      <c r="E678" t="s">
        <v>27</v>
      </c>
      <c r="F678">
        <v>-51.25</v>
      </c>
      <c r="G678">
        <v>0</v>
      </c>
    </row>
    <row r="679" spans="1:7" x14ac:dyDescent="0.3">
      <c r="A679" s="2">
        <v>43614</v>
      </c>
      <c r="B679" t="s">
        <v>358</v>
      </c>
      <c r="C679">
        <v>-70.77</v>
      </c>
      <c r="D679" s="2">
        <v>43614</v>
      </c>
      <c r="E679" t="s">
        <v>27</v>
      </c>
      <c r="F679">
        <v>-70.77</v>
      </c>
      <c r="G679">
        <v>0</v>
      </c>
    </row>
    <row r="680" spans="1:7" x14ac:dyDescent="0.3">
      <c r="A680" s="2">
        <v>43615</v>
      </c>
      <c r="B680" t="s">
        <v>359</v>
      </c>
      <c r="C680">
        <v>-16000</v>
      </c>
      <c r="D680" s="2">
        <v>43615</v>
      </c>
      <c r="E680" t="s">
        <v>27</v>
      </c>
      <c r="F680">
        <v>-16000</v>
      </c>
      <c r="G680">
        <v>0</v>
      </c>
    </row>
    <row r="681" spans="1:7" x14ac:dyDescent="0.3">
      <c r="A681" s="2">
        <v>43615</v>
      </c>
      <c r="B681" t="s">
        <v>360</v>
      </c>
      <c r="C681">
        <v>-5487.09</v>
      </c>
      <c r="D681" s="2">
        <v>43615</v>
      </c>
      <c r="E681" t="s">
        <v>27</v>
      </c>
      <c r="F681">
        <v>-5487.09</v>
      </c>
      <c r="G681">
        <v>0</v>
      </c>
    </row>
    <row r="682" spans="1:7" x14ac:dyDescent="0.3">
      <c r="A682" s="2">
        <v>43615</v>
      </c>
      <c r="B682" t="s">
        <v>361</v>
      </c>
      <c r="C682">
        <v>600</v>
      </c>
      <c r="D682" s="2">
        <v>43615</v>
      </c>
      <c r="E682" t="s">
        <v>25</v>
      </c>
      <c r="F682">
        <v>600</v>
      </c>
      <c r="G682">
        <v>0</v>
      </c>
    </row>
    <row r="683" spans="1:7" x14ac:dyDescent="0.3">
      <c r="A683" s="2">
        <v>43615</v>
      </c>
      <c r="B683" t="s">
        <v>362</v>
      </c>
      <c r="C683">
        <v>-35</v>
      </c>
      <c r="D683" s="2">
        <v>43615</v>
      </c>
      <c r="E683" t="s">
        <v>27</v>
      </c>
      <c r="F683">
        <v>-35</v>
      </c>
      <c r="G683">
        <v>0</v>
      </c>
    </row>
    <row r="684" spans="1:7" x14ac:dyDescent="0.3">
      <c r="A684" s="2">
        <v>43615</v>
      </c>
      <c r="B684" t="s">
        <v>363</v>
      </c>
      <c r="C684">
        <v>-5400</v>
      </c>
      <c r="D684" s="2">
        <v>43615</v>
      </c>
      <c r="E684" t="s">
        <v>27</v>
      </c>
      <c r="F684">
        <v>-5400</v>
      </c>
      <c r="G684">
        <v>0</v>
      </c>
    </row>
    <row r="685" spans="1:7" x14ac:dyDescent="0.3">
      <c r="A685" s="2">
        <v>43615</v>
      </c>
      <c r="B685" t="s">
        <v>364</v>
      </c>
      <c r="C685">
        <v>-29.89</v>
      </c>
      <c r="D685" s="2">
        <v>43615</v>
      </c>
      <c r="E685" t="s">
        <v>27</v>
      </c>
      <c r="F685">
        <v>-29.89</v>
      </c>
      <c r="G685">
        <v>0</v>
      </c>
    </row>
    <row r="686" spans="1:7" x14ac:dyDescent="0.3">
      <c r="A686" s="2">
        <v>43615</v>
      </c>
      <c r="B686" t="s">
        <v>365</v>
      </c>
      <c r="C686">
        <v>-31.68</v>
      </c>
      <c r="D686" s="2">
        <v>43615</v>
      </c>
      <c r="E686" t="s">
        <v>27</v>
      </c>
      <c r="F686">
        <v>-31.68</v>
      </c>
      <c r="G686">
        <v>0</v>
      </c>
    </row>
    <row r="687" spans="1:7" x14ac:dyDescent="0.3">
      <c r="A687" s="2">
        <v>43615</v>
      </c>
      <c r="B687" t="s">
        <v>366</v>
      </c>
      <c r="C687">
        <v>-17.88</v>
      </c>
      <c r="D687" s="2">
        <v>43615</v>
      </c>
      <c r="E687" t="s">
        <v>27</v>
      </c>
      <c r="F687">
        <v>-17.88</v>
      </c>
      <c r="G687">
        <v>0</v>
      </c>
    </row>
    <row r="688" spans="1:7" x14ac:dyDescent="0.3">
      <c r="A688" s="2">
        <v>43615</v>
      </c>
      <c r="B688" t="s">
        <v>24</v>
      </c>
      <c r="C688">
        <v>860</v>
      </c>
      <c r="D688" s="2">
        <v>43615</v>
      </c>
      <c r="E688" t="s">
        <v>25</v>
      </c>
      <c r="F688">
        <v>860</v>
      </c>
      <c r="G688">
        <v>0</v>
      </c>
    </row>
    <row r="689" spans="1:7" x14ac:dyDescent="0.3">
      <c r="A689" s="2">
        <v>43616</v>
      </c>
      <c r="B689" t="s">
        <v>24</v>
      </c>
      <c r="C689">
        <v>-365</v>
      </c>
      <c r="D689" s="2">
        <v>43616</v>
      </c>
      <c r="E689" t="s">
        <v>27</v>
      </c>
      <c r="F689">
        <v>-365</v>
      </c>
      <c r="G689">
        <v>0</v>
      </c>
    </row>
    <row r="690" spans="1:7" x14ac:dyDescent="0.3">
      <c r="A690" s="2">
        <v>43616</v>
      </c>
      <c r="B690" t="s">
        <v>367</v>
      </c>
      <c r="C690">
        <v>-21.63</v>
      </c>
      <c r="D690" s="2">
        <v>43616</v>
      </c>
      <c r="E690" t="s">
        <v>27</v>
      </c>
      <c r="F690">
        <v>-21.63</v>
      </c>
      <c r="G690">
        <v>0</v>
      </c>
    </row>
    <row r="691" spans="1:7" x14ac:dyDescent="0.3">
      <c r="A691" s="2">
        <v>43616</v>
      </c>
      <c r="B691" t="s">
        <v>368</v>
      </c>
      <c r="C691">
        <v>-500</v>
      </c>
      <c r="D691" s="2">
        <v>43616</v>
      </c>
      <c r="E691" t="s">
        <v>27</v>
      </c>
      <c r="F691">
        <v>-500</v>
      </c>
      <c r="G691">
        <v>0</v>
      </c>
    </row>
    <row r="692" spans="1:7" x14ac:dyDescent="0.3">
      <c r="A692" s="2">
        <v>43616</v>
      </c>
      <c r="B692" t="s">
        <v>369</v>
      </c>
      <c r="C692">
        <v>-750</v>
      </c>
      <c r="D692" s="2">
        <v>43616</v>
      </c>
      <c r="E692" t="s">
        <v>27</v>
      </c>
      <c r="F692">
        <v>-750</v>
      </c>
      <c r="G692">
        <v>0</v>
      </c>
    </row>
    <row r="693" spans="1:7" x14ac:dyDescent="0.3">
      <c r="A693" s="2">
        <v>43616</v>
      </c>
      <c r="B693" t="s">
        <v>370</v>
      </c>
      <c r="C693">
        <v>-80</v>
      </c>
      <c r="D693" s="2">
        <v>43616</v>
      </c>
      <c r="E693" t="s">
        <v>27</v>
      </c>
      <c r="F693">
        <v>-80</v>
      </c>
      <c r="G693">
        <v>0</v>
      </c>
    </row>
    <row r="694" spans="1:7" x14ac:dyDescent="0.3">
      <c r="A694" s="2">
        <v>43616</v>
      </c>
      <c r="B694" t="s">
        <v>371</v>
      </c>
      <c r="C694">
        <v>-18.5</v>
      </c>
      <c r="D694" s="2">
        <v>43616</v>
      </c>
      <c r="E694" t="s">
        <v>27</v>
      </c>
      <c r="F694">
        <v>-18.5</v>
      </c>
      <c r="G694">
        <v>0</v>
      </c>
    </row>
    <row r="695" spans="1:7" x14ac:dyDescent="0.3">
      <c r="A695" s="2">
        <v>43616</v>
      </c>
      <c r="B695" t="s">
        <v>372</v>
      </c>
      <c r="C695">
        <v>-16</v>
      </c>
      <c r="D695" s="2">
        <v>43616</v>
      </c>
      <c r="E695" t="s">
        <v>27</v>
      </c>
      <c r="F695">
        <v>-16</v>
      </c>
      <c r="G695">
        <v>0</v>
      </c>
    </row>
    <row r="696" spans="1:7" x14ac:dyDescent="0.3">
      <c r="A696" s="2">
        <v>43619</v>
      </c>
      <c r="B696" t="s">
        <v>373</v>
      </c>
      <c r="C696">
        <v>-55</v>
      </c>
      <c r="D696" s="2">
        <v>43619</v>
      </c>
      <c r="E696" t="s">
        <v>27</v>
      </c>
      <c r="F696">
        <v>-55</v>
      </c>
      <c r="G696">
        <v>0</v>
      </c>
    </row>
    <row r="697" spans="1:7" x14ac:dyDescent="0.3">
      <c r="A697" s="2">
        <v>43619</v>
      </c>
      <c r="B697" t="s">
        <v>53</v>
      </c>
      <c r="C697">
        <v>-768.63</v>
      </c>
      <c r="D697" s="2">
        <v>43619</v>
      </c>
      <c r="E697" t="s">
        <v>27</v>
      </c>
      <c r="F697">
        <v>-768.63</v>
      </c>
      <c r="G697">
        <v>0</v>
      </c>
    </row>
    <row r="698" spans="1:7" x14ac:dyDescent="0.3">
      <c r="A698" s="2">
        <v>43619</v>
      </c>
      <c r="B698" t="s">
        <v>24</v>
      </c>
      <c r="C698">
        <v>610</v>
      </c>
      <c r="D698" s="2">
        <v>43619</v>
      </c>
      <c r="E698" t="s">
        <v>25</v>
      </c>
      <c r="F698">
        <v>610</v>
      </c>
      <c r="G698">
        <v>0</v>
      </c>
    </row>
    <row r="699" spans="1:7" x14ac:dyDescent="0.3">
      <c r="A699" s="2">
        <v>43619</v>
      </c>
      <c r="B699" t="s">
        <v>24</v>
      </c>
      <c r="C699">
        <v>-126.25</v>
      </c>
      <c r="D699" s="2">
        <v>43619</v>
      </c>
      <c r="E699" t="s">
        <v>27</v>
      </c>
      <c r="F699">
        <v>-126.25</v>
      </c>
      <c r="G699">
        <v>0</v>
      </c>
    </row>
    <row r="700" spans="1:7" x14ac:dyDescent="0.3">
      <c r="A700" s="2">
        <v>43619</v>
      </c>
      <c r="B700" t="s">
        <v>374</v>
      </c>
      <c r="C700">
        <v>-49.15</v>
      </c>
      <c r="D700" s="2">
        <v>43619</v>
      </c>
      <c r="E700" t="s">
        <v>27</v>
      </c>
      <c r="F700">
        <v>-49.15</v>
      </c>
      <c r="G700">
        <v>0</v>
      </c>
    </row>
    <row r="701" spans="1:7" x14ac:dyDescent="0.3">
      <c r="A701" s="2">
        <v>43619</v>
      </c>
      <c r="B701" t="s">
        <v>24</v>
      </c>
      <c r="C701">
        <v>85</v>
      </c>
      <c r="D701" s="2">
        <v>43619</v>
      </c>
      <c r="E701" t="s">
        <v>25</v>
      </c>
      <c r="F701">
        <v>85</v>
      </c>
      <c r="G701">
        <v>0</v>
      </c>
    </row>
    <row r="702" spans="1:7" x14ac:dyDescent="0.3">
      <c r="A702" s="2">
        <v>43619</v>
      </c>
      <c r="B702" t="s">
        <v>375</v>
      </c>
      <c r="C702">
        <v>-90.77</v>
      </c>
      <c r="D702" s="2">
        <v>43619</v>
      </c>
      <c r="E702" t="s">
        <v>27</v>
      </c>
      <c r="F702">
        <v>-90.77</v>
      </c>
      <c r="G702">
        <v>0</v>
      </c>
    </row>
    <row r="703" spans="1:7" x14ac:dyDescent="0.3">
      <c r="A703" s="2">
        <v>43619</v>
      </c>
      <c r="B703" t="s">
        <v>376</v>
      </c>
      <c r="C703">
        <v>-20.399999999999999</v>
      </c>
      <c r="D703" s="2">
        <v>43619</v>
      </c>
      <c r="E703" t="s">
        <v>27</v>
      </c>
      <c r="F703">
        <v>-20.399999999999999</v>
      </c>
      <c r="G703">
        <v>0</v>
      </c>
    </row>
    <row r="704" spans="1:7" x14ac:dyDescent="0.3">
      <c r="A704" s="2">
        <v>43621</v>
      </c>
      <c r="B704" t="s">
        <v>29</v>
      </c>
      <c r="C704">
        <v>-34.950000000000003</v>
      </c>
      <c r="D704" s="2">
        <v>43621</v>
      </c>
      <c r="E704" t="s">
        <v>27</v>
      </c>
      <c r="F704">
        <v>-34.950000000000003</v>
      </c>
      <c r="G704">
        <v>0</v>
      </c>
    </row>
    <row r="705" spans="1:7" x14ac:dyDescent="0.3">
      <c r="A705" s="2">
        <v>43621</v>
      </c>
      <c r="B705" t="s">
        <v>24</v>
      </c>
      <c r="C705">
        <v>430</v>
      </c>
      <c r="D705" s="2">
        <v>43621</v>
      </c>
      <c r="E705" t="s">
        <v>25</v>
      </c>
      <c r="F705">
        <v>430</v>
      </c>
      <c r="G705">
        <v>0</v>
      </c>
    </row>
    <row r="706" spans="1:7" x14ac:dyDescent="0.3">
      <c r="A706" s="2">
        <v>43622</v>
      </c>
      <c r="B706" t="s">
        <v>24</v>
      </c>
      <c r="C706">
        <v>123.75</v>
      </c>
      <c r="D706" s="2">
        <v>43622</v>
      </c>
      <c r="E706" t="s">
        <v>25</v>
      </c>
      <c r="F706">
        <v>123.75</v>
      </c>
      <c r="G706">
        <v>0</v>
      </c>
    </row>
    <row r="707" spans="1:7" x14ac:dyDescent="0.3">
      <c r="A707" s="2">
        <v>43623</v>
      </c>
      <c r="B707" t="s">
        <v>24</v>
      </c>
      <c r="C707">
        <v>201.25</v>
      </c>
      <c r="D707" s="2">
        <v>43623</v>
      </c>
      <c r="E707" t="s">
        <v>25</v>
      </c>
      <c r="F707">
        <v>201.25</v>
      </c>
      <c r="G707">
        <v>0</v>
      </c>
    </row>
    <row r="708" spans="1:7" x14ac:dyDescent="0.3">
      <c r="A708" s="2">
        <v>43626</v>
      </c>
      <c r="B708" t="s">
        <v>377</v>
      </c>
      <c r="C708">
        <v>-9.99</v>
      </c>
      <c r="D708" s="2">
        <v>43626</v>
      </c>
      <c r="E708" t="s">
        <v>27</v>
      </c>
      <c r="F708">
        <v>-9.99</v>
      </c>
      <c r="G708">
        <v>0</v>
      </c>
    </row>
    <row r="709" spans="1:7" x14ac:dyDescent="0.3">
      <c r="A709" s="2">
        <v>43626</v>
      </c>
      <c r="B709" t="s">
        <v>24</v>
      </c>
      <c r="C709">
        <v>500</v>
      </c>
      <c r="D709" s="2">
        <v>43626</v>
      </c>
      <c r="E709" t="s">
        <v>25</v>
      </c>
      <c r="F709">
        <v>500</v>
      </c>
      <c r="G709">
        <v>0</v>
      </c>
    </row>
    <row r="710" spans="1:7" x14ac:dyDescent="0.3">
      <c r="A710" s="2">
        <v>43626</v>
      </c>
      <c r="B710" t="s">
        <v>378</v>
      </c>
      <c r="C710">
        <v>-343.1</v>
      </c>
      <c r="D710" s="2">
        <v>43626</v>
      </c>
      <c r="E710" t="s">
        <v>27</v>
      </c>
      <c r="F710">
        <v>-343.1</v>
      </c>
      <c r="G710">
        <v>0</v>
      </c>
    </row>
    <row r="711" spans="1:7" x14ac:dyDescent="0.3">
      <c r="A711" s="2">
        <v>43626</v>
      </c>
      <c r="B711" t="s">
        <v>379</v>
      </c>
      <c r="C711">
        <v>-25.07</v>
      </c>
      <c r="D711" s="2">
        <v>43626</v>
      </c>
      <c r="E711" t="s">
        <v>27</v>
      </c>
      <c r="F711">
        <v>-25.07</v>
      </c>
      <c r="G711">
        <v>0</v>
      </c>
    </row>
    <row r="712" spans="1:7" x14ac:dyDescent="0.3">
      <c r="A712" s="2">
        <v>43626</v>
      </c>
      <c r="B712" t="s">
        <v>380</v>
      </c>
      <c r="C712">
        <v>-34.14</v>
      </c>
      <c r="D712" s="2">
        <v>43626</v>
      </c>
      <c r="E712" t="s">
        <v>27</v>
      </c>
      <c r="F712">
        <v>-34.14</v>
      </c>
      <c r="G712">
        <v>0</v>
      </c>
    </row>
    <row r="713" spans="1:7" x14ac:dyDescent="0.3">
      <c r="A713" s="2">
        <v>43626</v>
      </c>
      <c r="B713" t="s">
        <v>24</v>
      </c>
      <c r="C713">
        <v>1400</v>
      </c>
      <c r="D713" s="2">
        <v>43626</v>
      </c>
      <c r="E713" t="s">
        <v>25</v>
      </c>
      <c r="F713">
        <v>1400</v>
      </c>
      <c r="G713">
        <v>0</v>
      </c>
    </row>
    <row r="714" spans="1:7" x14ac:dyDescent="0.3">
      <c r="A714" s="2">
        <v>43626</v>
      </c>
      <c r="B714" t="s">
        <v>381</v>
      </c>
      <c r="C714">
        <v>-11.16</v>
      </c>
      <c r="D714" s="2">
        <v>43626</v>
      </c>
      <c r="E714" t="s">
        <v>27</v>
      </c>
      <c r="F714">
        <v>-11.16</v>
      </c>
      <c r="G714">
        <v>0</v>
      </c>
    </row>
    <row r="715" spans="1:7" x14ac:dyDescent="0.3">
      <c r="A715" s="2">
        <v>43626</v>
      </c>
      <c r="B715" t="s">
        <v>47</v>
      </c>
      <c r="C715">
        <v>960</v>
      </c>
      <c r="D715" s="2">
        <v>43626</v>
      </c>
      <c r="E715" t="s">
        <v>25</v>
      </c>
      <c r="F715">
        <v>960</v>
      </c>
      <c r="G715">
        <v>0</v>
      </c>
    </row>
    <row r="716" spans="1:7" x14ac:dyDescent="0.3">
      <c r="A716" s="2">
        <v>43626</v>
      </c>
      <c r="B716" t="s">
        <v>381</v>
      </c>
      <c r="C716">
        <v>-8.7899999999999991</v>
      </c>
      <c r="D716" s="2">
        <v>43626</v>
      </c>
      <c r="E716" t="s">
        <v>27</v>
      </c>
      <c r="F716">
        <v>-8.7899999999999991</v>
      </c>
      <c r="G716">
        <v>0</v>
      </c>
    </row>
    <row r="717" spans="1:7" x14ac:dyDescent="0.3">
      <c r="A717" s="2">
        <v>43627</v>
      </c>
      <c r="B717" t="s">
        <v>382</v>
      </c>
      <c r="C717">
        <v>-239.47</v>
      </c>
      <c r="D717" s="2">
        <v>43627</v>
      </c>
      <c r="E717" t="s">
        <v>27</v>
      </c>
      <c r="F717">
        <v>-239.47</v>
      </c>
      <c r="G717">
        <v>0</v>
      </c>
    </row>
    <row r="718" spans="1:7" x14ac:dyDescent="0.3">
      <c r="A718" s="2">
        <v>43627</v>
      </c>
      <c r="B718" t="s">
        <v>24</v>
      </c>
      <c r="C718">
        <v>563.75</v>
      </c>
      <c r="D718" s="2">
        <v>43627</v>
      </c>
      <c r="E718" t="s">
        <v>25</v>
      </c>
      <c r="F718">
        <v>563.75</v>
      </c>
      <c r="G718">
        <v>0</v>
      </c>
    </row>
    <row r="719" spans="1:7" x14ac:dyDescent="0.3">
      <c r="A719" s="2">
        <v>43628</v>
      </c>
      <c r="B719" t="s">
        <v>24</v>
      </c>
      <c r="C719">
        <v>100</v>
      </c>
      <c r="D719" s="2">
        <v>43628</v>
      </c>
      <c r="E719" t="s">
        <v>25</v>
      </c>
      <c r="F719">
        <v>100</v>
      </c>
      <c r="G719">
        <v>0</v>
      </c>
    </row>
    <row r="720" spans="1:7" x14ac:dyDescent="0.3">
      <c r="A720" s="2">
        <v>43628</v>
      </c>
      <c r="B720" t="s">
        <v>383</v>
      </c>
      <c r="C720">
        <v>-641.88</v>
      </c>
      <c r="D720" s="2">
        <v>43628</v>
      </c>
      <c r="E720" t="s">
        <v>27</v>
      </c>
      <c r="F720">
        <v>-641.88</v>
      </c>
      <c r="G720">
        <v>0</v>
      </c>
    </row>
    <row r="721" spans="1:7" x14ac:dyDescent="0.3">
      <c r="A721" s="2">
        <v>43629</v>
      </c>
      <c r="B721" t="s">
        <v>384</v>
      </c>
      <c r="C721">
        <v>-10.76</v>
      </c>
      <c r="D721" s="2">
        <v>43629</v>
      </c>
      <c r="E721" t="s">
        <v>27</v>
      </c>
      <c r="F721">
        <v>-10.76</v>
      </c>
      <c r="G721">
        <v>0</v>
      </c>
    </row>
    <row r="722" spans="1:7" x14ac:dyDescent="0.3">
      <c r="A722" s="2">
        <v>43629</v>
      </c>
      <c r="B722" t="s">
        <v>385</v>
      </c>
      <c r="C722">
        <v>-13.99</v>
      </c>
      <c r="D722" s="2">
        <v>43629</v>
      </c>
      <c r="E722" t="s">
        <v>27</v>
      </c>
      <c r="F722">
        <v>-13.99</v>
      </c>
      <c r="G722">
        <v>0</v>
      </c>
    </row>
    <row r="723" spans="1:7" x14ac:dyDescent="0.3">
      <c r="A723" s="2">
        <v>43629</v>
      </c>
      <c r="B723" t="s">
        <v>24</v>
      </c>
      <c r="C723">
        <v>500</v>
      </c>
      <c r="D723" s="2">
        <v>43629</v>
      </c>
      <c r="E723" t="s">
        <v>25</v>
      </c>
      <c r="F723">
        <v>500</v>
      </c>
      <c r="G723">
        <v>0</v>
      </c>
    </row>
    <row r="724" spans="1:7" x14ac:dyDescent="0.3">
      <c r="A724" s="2">
        <v>43630</v>
      </c>
      <c r="B724" t="s">
        <v>24</v>
      </c>
      <c r="C724">
        <v>123.75</v>
      </c>
      <c r="D724" s="2">
        <v>43630</v>
      </c>
      <c r="E724" t="s">
        <v>25</v>
      </c>
      <c r="F724">
        <v>123.75</v>
      </c>
      <c r="G724">
        <v>0</v>
      </c>
    </row>
    <row r="725" spans="1:7" x14ac:dyDescent="0.3">
      <c r="A725" s="2">
        <v>43630</v>
      </c>
      <c r="B725" t="s">
        <v>386</v>
      </c>
      <c r="C725">
        <v>-69.12</v>
      </c>
      <c r="D725" s="2">
        <v>43630</v>
      </c>
      <c r="E725" t="s">
        <v>27</v>
      </c>
      <c r="F725">
        <v>-69.12</v>
      </c>
      <c r="G725">
        <v>0</v>
      </c>
    </row>
    <row r="726" spans="1:7" x14ac:dyDescent="0.3">
      <c r="A726" s="2">
        <v>43630</v>
      </c>
      <c r="B726" t="s">
        <v>387</v>
      </c>
      <c r="C726">
        <v>-166.96</v>
      </c>
      <c r="D726" s="2">
        <v>43630</v>
      </c>
      <c r="E726" t="s">
        <v>27</v>
      </c>
      <c r="F726">
        <v>-166.96</v>
      </c>
      <c r="G726">
        <v>0</v>
      </c>
    </row>
    <row r="727" spans="1:7" x14ac:dyDescent="0.3">
      <c r="A727" s="2">
        <v>43630</v>
      </c>
      <c r="B727" t="s">
        <v>40</v>
      </c>
      <c r="C727">
        <v>-85.62</v>
      </c>
      <c r="D727" s="2">
        <v>43630</v>
      </c>
      <c r="E727" t="s">
        <v>27</v>
      </c>
      <c r="F727">
        <v>-85.62</v>
      </c>
      <c r="G727">
        <v>0</v>
      </c>
    </row>
    <row r="728" spans="1:7" x14ac:dyDescent="0.3">
      <c r="A728" s="2">
        <v>43630</v>
      </c>
      <c r="B728" t="s">
        <v>38</v>
      </c>
      <c r="C728">
        <v>-14.4</v>
      </c>
      <c r="D728" s="2">
        <v>43630</v>
      </c>
      <c r="E728" t="s">
        <v>27</v>
      </c>
      <c r="F728">
        <v>-14.4</v>
      </c>
      <c r="G728">
        <v>0</v>
      </c>
    </row>
    <row r="729" spans="1:7" x14ac:dyDescent="0.3">
      <c r="A729" s="2">
        <v>43633</v>
      </c>
      <c r="B729" t="s">
        <v>388</v>
      </c>
      <c r="C729">
        <v>-12.28</v>
      </c>
      <c r="D729" s="2">
        <v>43633</v>
      </c>
      <c r="E729" t="s">
        <v>27</v>
      </c>
      <c r="F729">
        <v>-12.28</v>
      </c>
      <c r="G729">
        <v>0</v>
      </c>
    </row>
    <row r="730" spans="1:7" x14ac:dyDescent="0.3">
      <c r="A730" s="2">
        <v>43633</v>
      </c>
      <c r="B730" t="s">
        <v>24</v>
      </c>
      <c r="C730">
        <v>323.75</v>
      </c>
      <c r="D730" s="2">
        <v>43633</v>
      </c>
      <c r="E730" t="s">
        <v>25</v>
      </c>
      <c r="F730">
        <v>323.75</v>
      </c>
      <c r="G730">
        <v>0</v>
      </c>
    </row>
    <row r="731" spans="1:7" x14ac:dyDescent="0.3">
      <c r="A731" s="2">
        <v>43633</v>
      </c>
      <c r="B731" t="s">
        <v>389</v>
      </c>
      <c r="C731">
        <v>-5517.78</v>
      </c>
      <c r="D731" s="2">
        <v>43633</v>
      </c>
      <c r="E731" t="s">
        <v>27</v>
      </c>
      <c r="F731">
        <v>-5517.78</v>
      </c>
      <c r="G731">
        <v>0</v>
      </c>
    </row>
    <row r="732" spans="1:7" x14ac:dyDescent="0.3">
      <c r="A732" s="2">
        <v>43633</v>
      </c>
      <c r="B732" t="s">
        <v>43</v>
      </c>
      <c r="C732">
        <v>-33</v>
      </c>
      <c r="D732" s="2">
        <v>43633</v>
      </c>
      <c r="E732" t="s">
        <v>27</v>
      </c>
      <c r="F732">
        <v>-33</v>
      </c>
      <c r="G732">
        <v>0</v>
      </c>
    </row>
    <row r="733" spans="1:7" x14ac:dyDescent="0.3">
      <c r="A733" s="2">
        <v>43633</v>
      </c>
      <c r="B733" t="s">
        <v>24</v>
      </c>
      <c r="C733">
        <v>330</v>
      </c>
      <c r="D733" s="2">
        <v>43633</v>
      </c>
      <c r="E733" t="s">
        <v>25</v>
      </c>
      <c r="F733">
        <v>330</v>
      </c>
      <c r="G733">
        <v>0</v>
      </c>
    </row>
    <row r="734" spans="1:7" x14ac:dyDescent="0.3">
      <c r="A734" s="2">
        <v>43635</v>
      </c>
      <c r="B734" t="s">
        <v>24</v>
      </c>
      <c r="C734">
        <v>2125</v>
      </c>
      <c r="D734" s="2">
        <v>43635</v>
      </c>
      <c r="E734" t="s">
        <v>25</v>
      </c>
      <c r="F734">
        <v>2125</v>
      </c>
      <c r="G734">
        <v>0</v>
      </c>
    </row>
    <row r="735" spans="1:7" x14ac:dyDescent="0.3">
      <c r="A735" s="2">
        <v>43636</v>
      </c>
      <c r="B735" t="s">
        <v>24</v>
      </c>
      <c r="C735">
        <v>247.5</v>
      </c>
      <c r="D735" s="2">
        <v>43636</v>
      </c>
      <c r="E735" t="s">
        <v>25</v>
      </c>
      <c r="F735">
        <v>247.5</v>
      </c>
      <c r="G735">
        <v>0</v>
      </c>
    </row>
    <row r="736" spans="1:7" x14ac:dyDescent="0.3">
      <c r="A736" s="2">
        <v>43640</v>
      </c>
      <c r="B736" t="s">
        <v>31</v>
      </c>
      <c r="C736">
        <v>2450</v>
      </c>
      <c r="D736" s="2">
        <v>43640</v>
      </c>
      <c r="E736" t="s">
        <v>25</v>
      </c>
      <c r="F736">
        <v>2450</v>
      </c>
      <c r="G736">
        <v>0</v>
      </c>
    </row>
    <row r="737" spans="1:7" x14ac:dyDescent="0.3">
      <c r="A737" s="2">
        <v>43640</v>
      </c>
      <c r="B737" t="s">
        <v>390</v>
      </c>
      <c r="C737">
        <v>-75.98</v>
      </c>
      <c r="D737" s="2">
        <v>43640</v>
      </c>
      <c r="E737" t="s">
        <v>27</v>
      </c>
      <c r="F737">
        <v>-75.98</v>
      </c>
      <c r="G737">
        <v>0</v>
      </c>
    </row>
    <row r="738" spans="1:7" x14ac:dyDescent="0.3">
      <c r="A738" s="2">
        <v>43640</v>
      </c>
      <c r="B738" t="s">
        <v>24</v>
      </c>
      <c r="C738">
        <v>25</v>
      </c>
      <c r="D738" s="2">
        <v>43640</v>
      </c>
      <c r="E738" t="s">
        <v>25</v>
      </c>
      <c r="F738">
        <v>25</v>
      </c>
      <c r="G738">
        <v>0</v>
      </c>
    </row>
    <row r="739" spans="1:7" x14ac:dyDescent="0.3">
      <c r="A739" s="2">
        <v>43640</v>
      </c>
      <c r="B739" t="s">
        <v>24</v>
      </c>
      <c r="C739">
        <v>100</v>
      </c>
      <c r="D739" s="2">
        <v>43640</v>
      </c>
      <c r="E739" t="s">
        <v>25</v>
      </c>
      <c r="F739">
        <v>100</v>
      </c>
      <c r="G739">
        <v>0</v>
      </c>
    </row>
    <row r="740" spans="1:7" x14ac:dyDescent="0.3">
      <c r="A740" s="2">
        <v>43641</v>
      </c>
      <c r="B740" t="s">
        <v>52</v>
      </c>
      <c r="C740">
        <v>-225</v>
      </c>
      <c r="D740" s="2">
        <v>43641</v>
      </c>
      <c r="E740" t="s">
        <v>27</v>
      </c>
      <c r="F740">
        <v>-225</v>
      </c>
      <c r="G740">
        <v>0</v>
      </c>
    </row>
    <row r="741" spans="1:7" x14ac:dyDescent="0.3">
      <c r="A741" s="2">
        <v>43642</v>
      </c>
      <c r="B741" t="s">
        <v>391</v>
      </c>
      <c r="C741">
        <v>-9137.6200000000008</v>
      </c>
      <c r="D741" s="2">
        <v>43642</v>
      </c>
      <c r="E741" t="s">
        <v>27</v>
      </c>
      <c r="F741">
        <v>-9137.6200000000008</v>
      </c>
      <c r="G741">
        <v>0</v>
      </c>
    </row>
    <row r="742" spans="1:7" x14ac:dyDescent="0.3">
      <c r="A742" s="2">
        <v>43642</v>
      </c>
      <c r="B742" t="s">
        <v>392</v>
      </c>
      <c r="C742">
        <v>-27763.78</v>
      </c>
      <c r="D742" s="2">
        <v>43642</v>
      </c>
      <c r="E742" t="s">
        <v>27</v>
      </c>
      <c r="F742">
        <v>-27763.78</v>
      </c>
      <c r="G742">
        <v>0</v>
      </c>
    </row>
    <row r="743" spans="1:7" x14ac:dyDescent="0.3">
      <c r="A743" s="2">
        <v>43642</v>
      </c>
      <c r="B743" t="s">
        <v>48</v>
      </c>
      <c r="C743">
        <v>-59.87</v>
      </c>
      <c r="D743" s="2">
        <v>43642</v>
      </c>
      <c r="E743" t="s">
        <v>27</v>
      </c>
      <c r="F743">
        <v>-59.87</v>
      </c>
      <c r="G743">
        <v>0</v>
      </c>
    </row>
    <row r="744" spans="1:7" x14ac:dyDescent="0.3">
      <c r="A744" s="2">
        <v>43642</v>
      </c>
      <c r="B744" t="s">
        <v>24</v>
      </c>
      <c r="C744">
        <v>580</v>
      </c>
      <c r="D744" s="2">
        <v>43642</v>
      </c>
      <c r="E744" t="s">
        <v>25</v>
      </c>
      <c r="F744">
        <v>580</v>
      </c>
      <c r="G744">
        <v>0</v>
      </c>
    </row>
    <row r="745" spans="1:7" x14ac:dyDescent="0.3">
      <c r="A745" s="2">
        <v>43642</v>
      </c>
      <c r="B745" t="s">
        <v>393</v>
      </c>
      <c r="C745">
        <v>-41.71</v>
      </c>
      <c r="D745" s="2">
        <v>43642</v>
      </c>
      <c r="E745" t="s">
        <v>27</v>
      </c>
      <c r="F745">
        <v>-41.71</v>
      </c>
      <c r="G745">
        <v>0</v>
      </c>
    </row>
    <row r="746" spans="1:7" x14ac:dyDescent="0.3">
      <c r="A746" s="2">
        <v>43642</v>
      </c>
      <c r="B746" t="s">
        <v>394</v>
      </c>
      <c r="C746">
        <v>-3060</v>
      </c>
      <c r="D746" s="2">
        <v>43642</v>
      </c>
      <c r="E746" t="s">
        <v>27</v>
      </c>
      <c r="F746">
        <v>-3060</v>
      </c>
      <c r="G746">
        <v>0</v>
      </c>
    </row>
    <row r="747" spans="1:7" x14ac:dyDescent="0.3">
      <c r="A747" s="2">
        <v>43644</v>
      </c>
      <c r="B747" t="s">
        <v>24</v>
      </c>
      <c r="C747">
        <v>800</v>
      </c>
      <c r="D747" s="2">
        <v>43644</v>
      </c>
      <c r="E747" t="s">
        <v>25</v>
      </c>
      <c r="F747">
        <v>800</v>
      </c>
      <c r="G747">
        <v>0</v>
      </c>
    </row>
    <row r="748" spans="1:7" x14ac:dyDescent="0.3">
      <c r="A748" s="2">
        <v>43644</v>
      </c>
      <c r="B748" t="s">
        <v>50</v>
      </c>
      <c r="C748">
        <v>-70.77</v>
      </c>
      <c r="D748" s="2">
        <v>43644</v>
      </c>
      <c r="E748" t="s">
        <v>27</v>
      </c>
      <c r="F748">
        <v>-70.77</v>
      </c>
      <c r="G748">
        <v>0</v>
      </c>
    </row>
    <row r="749" spans="1:7" x14ac:dyDescent="0.3">
      <c r="A749" s="2">
        <v>43647</v>
      </c>
      <c r="B749" t="s">
        <v>24</v>
      </c>
      <c r="C749">
        <v>220</v>
      </c>
      <c r="D749" s="2">
        <v>43647</v>
      </c>
      <c r="E749" t="s">
        <v>25</v>
      </c>
      <c r="F749">
        <v>220</v>
      </c>
      <c r="G749">
        <v>0</v>
      </c>
    </row>
    <row r="750" spans="1:7" x14ac:dyDescent="0.3">
      <c r="A750" s="2">
        <v>43647</v>
      </c>
      <c r="B750" t="s">
        <v>24</v>
      </c>
      <c r="C750">
        <v>240</v>
      </c>
      <c r="D750" s="2">
        <v>43647</v>
      </c>
      <c r="E750" t="s">
        <v>25</v>
      </c>
      <c r="F750">
        <v>240</v>
      </c>
      <c r="G750">
        <v>0</v>
      </c>
    </row>
    <row r="751" spans="1:7" x14ac:dyDescent="0.3">
      <c r="A751" s="2">
        <v>43647</v>
      </c>
      <c r="B751" t="s">
        <v>24</v>
      </c>
      <c r="C751">
        <v>420</v>
      </c>
      <c r="D751" s="2">
        <v>43647</v>
      </c>
      <c r="E751" t="s">
        <v>25</v>
      </c>
      <c r="F751">
        <v>420</v>
      </c>
      <c r="G751">
        <v>0</v>
      </c>
    </row>
    <row r="752" spans="1:7" x14ac:dyDescent="0.3">
      <c r="A752" s="2">
        <v>43648</v>
      </c>
      <c r="B752" t="s">
        <v>54</v>
      </c>
      <c r="C752">
        <v>-55</v>
      </c>
      <c r="D752" s="2">
        <v>43648</v>
      </c>
      <c r="E752" t="s">
        <v>27</v>
      </c>
      <c r="F752">
        <v>-55</v>
      </c>
      <c r="G752">
        <v>0</v>
      </c>
    </row>
    <row r="753" spans="1:7" x14ac:dyDescent="0.3">
      <c r="A753" s="2">
        <v>43648</v>
      </c>
      <c r="B753" t="s">
        <v>53</v>
      </c>
      <c r="C753">
        <v>-547.42999999999995</v>
      </c>
      <c r="D753" s="2">
        <v>43648</v>
      </c>
      <c r="E753" t="s">
        <v>27</v>
      </c>
      <c r="F753">
        <v>-547.42999999999995</v>
      </c>
      <c r="G753">
        <v>0</v>
      </c>
    </row>
    <row r="754" spans="1:7" x14ac:dyDescent="0.3">
      <c r="A754" s="2">
        <v>43649</v>
      </c>
      <c r="B754" t="s">
        <v>56</v>
      </c>
      <c r="C754">
        <v>-34.950000000000003</v>
      </c>
      <c r="D754" s="2">
        <v>43649</v>
      </c>
      <c r="E754" t="s">
        <v>27</v>
      </c>
      <c r="F754">
        <v>-34.950000000000003</v>
      </c>
      <c r="G754">
        <v>0</v>
      </c>
    </row>
    <row r="755" spans="1:7" x14ac:dyDescent="0.3">
      <c r="A755" s="2">
        <v>43649</v>
      </c>
      <c r="B755" t="s">
        <v>24</v>
      </c>
      <c r="C755">
        <v>182.5</v>
      </c>
      <c r="D755" s="2">
        <v>43649</v>
      </c>
      <c r="E755" t="s">
        <v>25</v>
      </c>
      <c r="F755">
        <v>182.5</v>
      </c>
      <c r="G755">
        <v>0</v>
      </c>
    </row>
    <row r="756" spans="1:7" x14ac:dyDescent="0.3">
      <c r="A756" s="2">
        <v>43651</v>
      </c>
      <c r="B756" t="s">
        <v>24</v>
      </c>
      <c r="C756">
        <v>282.5</v>
      </c>
      <c r="D756" s="2">
        <v>43651</v>
      </c>
      <c r="E756" t="s">
        <v>25</v>
      </c>
      <c r="F756">
        <v>282.5</v>
      </c>
      <c r="G756">
        <v>0</v>
      </c>
    </row>
    <row r="757" spans="1:7" x14ac:dyDescent="0.3">
      <c r="A757" s="2">
        <v>43651</v>
      </c>
      <c r="B757" t="s">
        <v>24</v>
      </c>
      <c r="C757">
        <v>82.5</v>
      </c>
      <c r="D757" s="2">
        <v>43651</v>
      </c>
      <c r="E757" t="s">
        <v>25</v>
      </c>
      <c r="F757">
        <v>82.5</v>
      </c>
      <c r="G757">
        <v>0</v>
      </c>
    </row>
    <row r="758" spans="1:7" x14ac:dyDescent="0.3">
      <c r="A758" s="2">
        <v>43654</v>
      </c>
      <c r="B758" t="s">
        <v>24</v>
      </c>
      <c r="C758">
        <v>1900</v>
      </c>
      <c r="D758" s="2">
        <v>43654</v>
      </c>
      <c r="E758" t="s">
        <v>25</v>
      </c>
      <c r="F758">
        <v>1900</v>
      </c>
      <c r="G758">
        <v>0</v>
      </c>
    </row>
    <row r="759" spans="1:7" x14ac:dyDescent="0.3">
      <c r="A759" s="2">
        <v>43654</v>
      </c>
      <c r="B759" t="s">
        <v>31</v>
      </c>
      <c r="C759">
        <v>225</v>
      </c>
      <c r="D759" s="2">
        <v>43654</v>
      </c>
      <c r="E759" t="s">
        <v>25</v>
      </c>
      <c r="F759">
        <v>225</v>
      </c>
      <c r="G759">
        <v>0</v>
      </c>
    </row>
    <row r="760" spans="1:7" x14ac:dyDescent="0.3">
      <c r="A760" s="2">
        <v>43654</v>
      </c>
      <c r="B760" t="s">
        <v>24</v>
      </c>
      <c r="C760">
        <v>550</v>
      </c>
      <c r="D760" s="2">
        <v>43654</v>
      </c>
      <c r="E760" t="s">
        <v>25</v>
      </c>
      <c r="F760">
        <v>550</v>
      </c>
      <c r="G760">
        <v>0</v>
      </c>
    </row>
    <row r="761" spans="1:7" x14ac:dyDescent="0.3">
      <c r="A761" s="2">
        <v>43655</v>
      </c>
      <c r="B761" t="s">
        <v>24</v>
      </c>
      <c r="C761">
        <v>547.5</v>
      </c>
      <c r="D761" s="2">
        <v>43655</v>
      </c>
      <c r="E761" t="s">
        <v>25</v>
      </c>
      <c r="F761">
        <v>547.5</v>
      </c>
      <c r="G761">
        <v>0</v>
      </c>
    </row>
    <row r="762" spans="1:7" x14ac:dyDescent="0.3">
      <c r="A762" s="2">
        <v>43656</v>
      </c>
      <c r="B762" t="s">
        <v>24</v>
      </c>
      <c r="C762">
        <v>1815</v>
      </c>
      <c r="D762" s="2">
        <v>43656</v>
      </c>
      <c r="E762" t="s">
        <v>25</v>
      </c>
      <c r="F762">
        <v>1815</v>
      </c>
      <c r="G762">
        <v>0</v>
      </c>
    </row>
    <row r="763" spans="1:7" x14ac:dyDescent="0.3">
      <c r="A763" s="2">
        <v>43657</v>
      </c>
      <c r="B763" t="s">
        <v>395</v>
      </c>
      <c r="C763">
        <v>-9.99</v>
      </c>
      <c r="D763" s="2">
        <v>43657</v>
      </c>
      <c r="E763" t="s">
        <v>27</v>
      </c>
      <c r="F763">
        <v>-9.99</v>
      </c>
      <c r="G763">
        <v>0</v>
      </c>
    </row>
    <row r="764" spans="1:7" x14ac:dyDescent="0.3">
      <c r="A764" s="2">
        <v>43657</v>
      </c>
      <c r="B764" t="s">
        <v>24</v>
      </c>
      <c r="C764">
        <v>1580</v>
      </c>
      <c r="D764" s="2">
        <v>43657</v>
      </c>
      <c r="E764" t="s">
        <v>25</v>
      </c>
      <c r="F764">
        <v>1580</v>
      </c>
      <c r="G764">
        <v>0</v>
      </c>
    </row>
    <row r="765" spans="1:7" x14ac:dyDescent="0.3">
      <c r="A765" s="2">
        <v>43657</v>
      </c>
      <c r="B765" t="s">
        <v>396</v>
      </c>
      <c r="C765">
        <v>-26.76</v>
      </c>
      <c r="D765" s="2">
        <v>43657</v>
      </c>
      <c r="E765" t="s">
        <v>27</v>
      </c>
      <c r="F765">
        <v>-26.76</v>
      </c>
      <c r="G765">
        <v>0</v>
      </c>
    </row>
    <row r="766" spans="1:7" x14ac:dyDescent="0.3">
      <c r="A766" s="2">
        <v>43658</v>
      </c>
      <c r="B766" t="s">
        <v>24</v>
      </c>
      <c r="C766">
        <v>1682.5</v>
      </c>
      <c r="D766" s="2">
        <v>43658</v>
      </c>
      <c r="E766" t="s">
        <v>25</v>
      </c>
      <c r="F766">
        <v>1682.5</v>
      </c>
      <c r="G766">
        <v>0</v>
      </c>
    </row>
    <row r="767" spans="1:7" x14ac:dyDescent="0.3">
      <c r="A767" s="2">
        <v>43661</v>
      </c>
      <c r="B767" t="s">
        <v>67</v>
      </c>
      <c r="C767">
        <v>-75.98</v>
      </c>
      <c r="D767" s="2">
        <v>43661</v>
      </c>
      <c r="E767" t="s">
        <v>27</v>
      </c>
      <c r="F767">
        <v>-75.98</v>
      </c>
      <c r="G767">
        <v>0</v>
      </c>
    </row>
    <row r="768" spans="1:7" x14ac:dyDescent="0.3">
      <c r="A768" s="2">
        <v>43661</v>
      </c>
      <c r="B768" t="s">
        <v>71</v>
      </c>
      <c r="C768">
        <v>-90.44</v>
      </c>
      <c r="D768" s="2">
        <v>43661</v>
      </c>
      <c r="E768" t="s">
        <v>27</v>
      </c>
      <c r="F768">
        <v>-90.44</v>
      </c>
      <c r="G768">
        <v>0</v>
      </c>
    </row>
    <row r="769" spans="1:7" x14ac:dyDescent="0.3">
      <c r="A769" s="2">
        <v>43661</v>
      </c>
      <c r="B769" t="s">
        <v>24</v>
      </c>
      <c r="C769">
        <v>1852.5</v>
      </c>
      <c r="D769" s="2">
        <v>43661</v>
      </c>
      <c r="E769" t="s">
        <v>25</v>
      </c>
      <c r="F769">
        <v>1852.5</v>
      </c>
      <c r="G769">
        <v>0</v>
      </c>
    </row>
    <row r="770" spans="1:7" x14ac:dyDescent="0.3">
      <c r="A770" s="2">
        <v>43661</v>
      </c>
      <c r="B770" t="s">
        <v>24</v>
      </c>
      <c r="C770">
        <v>10085</v>
      </c>
      <c r="D770" s="2">
        <v>43661</v>
      </c>
      <c r="E770" t="s">
        <v>25</v>
      </c>
      <c r="F770">
        <v>10085</v>
      </c>
      <c r="G770">
        <v>0</v>
      </c>
    </row>
    <row r="771" spans="1:7" x14ac:dyDescent="0.3">
      <c r="A771" s="2">
        <v>43661</v>
      </c>
      <c r="B771" t="s">
        <v>70</v>
      </c>
      <c r="C771">
        <v>-14.4</v>
      </c>
      <c r="D771" s="2">
        <v>43661</v>
      </c>
      <c r="E771" t="s">
        <v>27</v>
      </c>
      <c r="F771">
        <v>-14.4</v>
      </c>
      <c r="G771">
        <v>0</v>
      </c>
    </row>
    <row r="772" spans="1:7" x14ac:dyDescent="0.3">
      <c r="A772" s="2">
        <v>43661</v>
      </c>
      <c r="B772" t="s">
        <v>397</v>
      </c>
      <c r="C772">
        <v>-15.99</v>
      </c>
      <c r="D772" s="2">
        <v>43661</v>
      </c>
      <c r="E772" t="s">
        <v>27</v>
      </c>
      <c r="F772">
        <v>-15.99</v>
      </c>
      <c r="G772">
        <v>0</v>
      </c>
    </row>
    <row r="773" spans="1:7" x14ac:dyDescent="0.3">
      <c r="A773" s="2">
        <v>43661</v>
      </c>
      <c r="B773" t="s">
        <v>24</v>
      </c>
      <c r="C773">
        <v>10252.5</v>
      </c>
      <c r="D773" s="2">
        <v>43661</v>
      </c>
      <c r="E773" t="s">
        <v>25</v>
      </c>
      <c r="F773">
        <v>10252.5</v>
      </c>
      <c r="G773">
        <v>0</v>
      </c>
    </row>
    <row r="774" spans="1:7" x14ac:dyDescent="0.3">
      <c r="A774" s="2">
        <v>43662</v>
      </c>
      <c r="B774" t="s">
        <v>24</v>
      </c>
      <c r="C774">
        <v>1482.5</v>
      </c>
      <c r="D774" s="2">
        <v>43662</v>
      </c>
      <c r="E774" t="s">
        <v>25</v>
      </c>
      <c r="F774">
        <v>1482.5</v>
      </c>
      <c r="G774">
        <v>0</v>
      </c>
    </row>
    <row r="775" spans="1:7" x14ac:dyDescent="0.3">
      <c r="A775" s="2">
        <v>43662</v>
      </c>
      <c r="B775" t="s">
        <v>68</v>
      </c>
      <c r="C775">
        <v>-37</v>
      </c>
      <c r="D775" s="2">
        <v>43662</v>
      </c>
      <c r="E775" t="s">
        <v>27</v>
      </c>
      <c r="F775">
        <v>-37</v>
      </c>
      <c r="G775">
        <v>0</v>
      </c>
    </row>
    <row r="776" spans="1:7" x14ac:dyDescent="0.3">
      <c r="A776" s="2">
        <v>43663</v>
      </c>
      <c r="B776" t="s">
        <v>24</v>
      </c>
      <c r="C776">
        <v>29550</v>
      </c>
      <c r="D776" s="2">
        <v>43663</v>
      </c>
      <c r="E776" t="s">
        <v>25</v>
      </c>
      <c r="F776">
        <v>29550</v>
      </c>
      <c r="G776">
        <v>0</v>
      </c>
    </row>
    <row r="777" spans="1:7" x14ac:dyDescent="0.3">
      <c r="A777" s="2">
        <v>43664</v>
      </c>
      <c r="B777" t="s">
        <v>24</v>
      </c>
      <c r="C777">
        <v>3630</v>
      </c>
      <c r="D777" s="2">
        <v>43664</v>
      </c>
      <c r="E777" t="s">
        <v>25</v>
      </c>
      <c r="F777">
        <v>3630</v>
      </c>
      <c r="G777">
        <v>0</v>
      </c>
    </row>
    <row r="778" spans="1:7" x14ac:dyDescent="0.3">
      <c r="A778" s="2">
        <v>43664</v>
      </c>
      <c r="B778" t="s">
        <v>398</v>
      </c>
      <c r="C778">
        <v>-49.07</v>
      </c>
      <c r="D778" s="2">
        <v>43664</v>
      </c>
      <c r="E778" t="s">
        <v>27</v>
      </c>
      <c r="F778">
        <v>-49.07</v>
      </c>
      <c r="G778">
        <v>0</v>
      </c>
    </row>
    <row r="779" spans="1:7" x14ac:dyDescent="0.3">
      <c r="A779" s="2">
        <v>43665</v>
      </c>
      <c r="B779" t="s">
        <v>24</v>
      </c>
      <c r="C779">
        <v>8602.5</v>
      </c>
      <c r="D779" s="2">
        <v>43665</v>
      </c>
      <c r="E779" t="s">
        <v>25</v>
      </c>
      <c r="F779">
        <v>8602.5</v>
      </c>
      <c r="G779">
        <v>0</v>
      </c>
    </row>
    <row r="780" spans="1:7" x14ac:dyDescent="0.3">
      <c r="A780" s="2">
        <v>43668</v>
      </c>
      <c r="B780" t="s">
        <v>24</v>
      </c>
      <c r="C780">
        <v>602.5</v>
      </c>
      <c r="D780" s="2">
        <v>43668</v>
      </c>
      <c r="E780" t="s">
        <v>25</v>
      </c>
      <c r="F780">
        <v>602.5</v>
      </c>
      <c r="G780">
        <v>0</v>
      </c>
    </row>
    <row r="781" spans="1:7" x14ac:dyDescent="0.3">
      <c r="A781" s="2">
        <v>43668</v>
      </c>
      <c r="B781" t="s">
        <v>399</v>
      </c>
      <c r="C781">
        <v>-4830</v>
      </c>
      <c r="D781" s="2">
        <v>43668</v>
      </c>
      <c r="E781" t="s">
        <v>27</v>
      </c>
      <c r="F781">
        <v>-4830</v>
      </c>
      <c r="G781">
        <v>0</v>
      </c>
    </row>
    <row r="782" spans="1:7" x14ac:dyDescent="0.3">
      <c r="A782" s="2">
        <v>43668</v>
      </c>
      <c r="B782" t="s">
        <v>400</v>
      </c>
      <c r="C782">
        <v>-6602.12</v>
      </c>
      <c r="D782" s="2">
        <v>43668</v>
      </c>
      <c r="E782" t="s">
        <v>27</v>
      </c>
      <c r="F782">
        <v>-6602.12</v>
      </c>
      <c r="G782">
        <v>0</v>
      </c>
    </row>
    <row r="783" spans="1:7" x14ac:dyDescent="0.3">
      <c r="A783" s="2">
        <v>43668</v>
      </c>
      <c r="B783" t="s">
        <v>401</v>
      </c>
      <c r="C783">
        <v>-2500</v>
      </c>
      <c r="D783" s="2">
        <v>43668</v>
      </c>
      <c r="E783" t="s">
        <v>27</v>
      </c>
      <c r="F783">
        <v>-2500</v>
      </c>
      <c r="G783">
        <v>0</v>
      </c>
    </row>
    <row r="784" spans="1:7" x14ac:dyDescent="0.3">
      <c r="A784" s="2">
        <v>43668</v>
      </c>
      <c r="B784" t="s">
        <v>402</v>
      </c>
      <c r="C784">
        <v>-23.25</v>
      </c>
      <c r="D784" s="2">
        <v>43668</v>
      </c>
      <c r="E784" t="s">
        <v>27</v>
      </c>
      <c r="F784">
        <v>-23.25</v>
      </c>
      <c r="G784">
        <v>0</v>
      </c>
    </row>
    <row r="785" spans="1:7" x14ac:dyDescent="0.3">
      <c r="A785" s="2">
        <v>43668</v>
      </c>
      <c r="B785" t="s">
        <v>24</v>
      </c>
      <c r="C785">
        <v>240</v>
      </c>
      <c r="D785" s="2">
        <v>43668</v>
      </c>
      <c r="E785" t="s">
        <v>25</v>
      </c>
      <c r="F785">
        <v>240</v>
      </c>
      <c r="G785">
        <v>0</v>
      </c>
    </row>
    <row r="786" spans="1:7" x14ac:dyDescent="0.3">
      <c r="A786" s="2">
        <v>43668</v>
      </c>
      <c r="B786" t="s">
        <v>403</v>
      </c>
      <c r="C786">
        <v>-765</v>
      </c>
      <c r="D786" s="2">
        <v>43668</v>
      </c>
      <c r="E786" t="s">
        <v>27</v>
      </c>
      <c r="F786">
        <v>-765</v>
      </c>
      <c r="G786">
        <v>0</v>
      </c>
    </row>
    <row r="787" spans="1:7" x14ac:dyDescent="0.3">
      <c r="A787" s="2">
        <v>43668</v>
      </c>
      <c r="B787" t="s">
        <v>24</v>
      </c>
      <c r="C787">
        <v>100</v>
      </c>
      <c r="D787" s="2">
        <v>43668</v>
      </c>
      <c r="E787" t="s">
        <v>25</v>
      </c>
      <c r="F787">
        <v>100</v>
      </c>
      <c r="G787">
        <v>0</v>
      </c>
    </row>
    <row r="788" spans="1:7" x14ac:dyDescent="0.3">
      <c r="A788" s="2">
        <v>43668</v>
      </c>
      <c r="B788" t="s">
        <v>404</v>
      </c>
      <c r="C788">
        <v>-3750</v>
      </c>
      <c r="D788" s="2">
        <v>43668</v>
      </c>
      <c r="E788" t="s">
        <v>27</v>
      </c>
      <c r="F788">
        <v>-3750</v>
      </c>
      <c r="G788">
        <v>0</v>
      </c>
    </row>
    <row r="789" spans="1:7" x14ac:dyDescent="0.3">
      <c r="A789" s="2">
        <v>43669</v>
      </c>
      <c r="B789" t="s">
        <v>24</v>
      </c>
      <c r="C789">
        <v>-435</v>
      </c>
      <c r="D789" s="2">
        <v>43669</v>
      </c>
      <c r="E789" t="s">
        <v>27</v>
      </c>
      <c r="F789">
        <v>-435</v>
      </c>
      <c r="G789">
        <v>0</v>
      </c>
    </row>
    <row r="790" spans="1:7" x14ac:dyDescent="0.3">
      <c r="A790" s="2">
        <v>43670</v>
      </c>
      <c r="B790" t="s">
        <v>24</v>
      </c>
      <c r="C790">
        <v>232.5</v>
      </c>
      <c r="D790" s="2">
        <v>43670</v>
      </c>
      <c r="E790" t="s">
        <v>25</v>
      </c>
      <c r="F790">
        <v>232.5</v>
      </c>
      <c r="G790">
        <v>0</v>
      </c>
    </row>
    <row r="791" spans="1:7" x14ac:dyDescent="0.3">
      <c r="A791" s="2">
        <v>43671</v>
      </c>
      <c r="B791" t="s">
        <v>47</v>
      </c>
      <c r="C791">
        <v>770</v>
      </c>
      <c r="D791" s="2">
        <v>43671</v>
      </c>
      <c r="E791" t="s">
        <v>25</v>
      </c>
      <c r="F791">
        <v>770</v>
      </c>
      <c r="G791">
        <v>0</v>
      </c>
    </row>
    <row r="792" spans="1:7" x14ac:dyDescent="0.3">
      <c r="A792" s="2">
        <v>43671</v>
      </c>
      <c r="B792" t="s">
        <v>405</v>
      </c>
      <c r="C792">
        <v>-4.5</v>
      </c>
      <c r="D792" s="2">
        <v>43671</v>
      </c>
      <c r="E792" t="s">
        <v>27</v>
      </c>
      <c r="F792">
        <v>-4.5</v>
      </c>
      <c r="G792">
        <v>0</v>
      </c>
    </row>
    <row r="793" spans="1:7" x14ac:dyDescent="0.3">
      <c r="A793" s="2">
        <v>43672</v>
      </c>
      <c r="B793" t="s">
        <v>406</v>
      </c>
      <c r="C793">
        <v>-420.26</v>
      </c>
      <c r="D793" s="2">
        <v>43672</v>
      </c>
      <c r="E793" t="s">
        <v>27</v>
      </c>
      <c r="F793">
        <v>-420.26</v>
      </c>
      <c r="G793">
        <v>0</v>
      </c>
    </row>
    <row r="794" spans="1:7" x14ac:dyDescent="0.3">
      <c r="A794" s="2">
        <v>43672</v>
      </c>
      <c r="B794" t="s">
        <v>80</v>
      </c>
      <c r="C794">
        <v>-59.87</v>
      </c>
      <c r="D794" s="2">
        <v>43672</v>
      </c>
      <c r="E794" t="s">
        <v>27</v>
      </c>
      <c r="F794">
        <v>-59.87</v>
      </c>
      <c r="G794">
        <v>0</v>
      </c>
    </row>
    <row r="795" spans="1:7" x14ac:dyDescent="0.3">
      <c r="A795" s="2">
        <v>43675</v>
      </c>
      <c r="B795" t="s">
        <v>83</v>
      </c>
      <c r="C795">
        <v>-70.77</v>
      </c>
      <c r="D795" s="2">
        <v>43675</v>
      </c>
      <c r="E795" t="s">
        <v>27</v>
      </c>
      <c r="F795">
        <v>-70.77</v>
      </c>
      <c r="G795">
        <v>0</v>
      </c>
    </row>
    <row r="796" spans="1:7" x14ac:dyDescent="0.3">
      <c r="A796" s="2">
        <v>43675</v>
      </c>
      <c r="B796" t="s">
        <v>24</v>
      </c>
      <c r="C796">
        <v>60</v>
      </c>
      <c r="D796" s="2">
        <v>43675</v>
      </c>
      <c r="E796" t="s">
        <v>25</v>
      </c>
      <c r="F796">
        <v>60</v>
      </c>
      <c r="G796">
        <v>0</v>
      </c>
    </row>
    <row r="797" spans="1:7" x14ac:dyDescent="0.3">
      <c r="A797" s="2">
        <v>43675</v>
      </c>
      <c r="B797" t="s">
        <v>24</v>
      </c>
      <c r="C797">
        <v>442.5</v>
      </c>
      <c r="D797" s="2">
        <v>43675</v>
      </c>
      <c r="E797" t="s">
        <v>25</v>
      </c>
      <c r="F797">
        <v>442.5</v>
      </c>
      <c r="G797">
        <v>0</v>
      </c>
    </row>
    <row r="798" spans="1:7" x14ac:dyDescent="0.3">
      <c r="A798" s="2">
        <v>43676</v>
      </c>
      <c r="B798" t="s">
        <v>24</v>
      </c>
      <c r="C798">
        <v>20</v>
      </c>
      <c r="D798" s="2">
        <v>43676</v>
      </c>
      <c r="E798" t="s">
        <v>25</v>
      </c>
      <c r="F798">
        <v>20</v>
      </c>
      <c r="G798">
        <v>0</v>
      </c>
    </row>
    <row r="799" spans="1:7" x14ac:dyDescent="0.3">
      <c r="A799" s="2">
        <v>43677</v>
      </c>
      <c r="B799" t="s">
        <v>24</v>
      </c>
      <c r="C799">
        <v>40</v>
      </c>
      <c r="D799" s="2">
        <v>43677</v>
      </c>
      <c r="E799" t="s">
        <v>25</v>
      </c>
      <c r="F799">
        <v>40</v>
      </c>
      <c r="G799">
        <v>0</v>
      </c>
    </row>
    <row r="800" spans="1:7" x14ac:dyDescent="0.3">
      <c r="A800" s="2">
        <v>43678</v>
      </c>
      <c r="B800" t="s">
        <v>24</v>
      </c>
      <c r="C800">
        <v>165</v>
      </c>
      <c r="D800" s="2">
        <v>43678</v>
      </c>
      <c r="E800" t="s">
        <v>25</v>
      </c>
      <c r="F800">
        <v>165</v>
      </c>
      <c r="G800">
        <v>0</v>
      </c>
    </row>
    <row r="801" spans="1:7" x14ac:dyDescent="0.3">
      <c r="A801" s="2">
        <v>43679</v>
      </c>
      <c r="B801" t="s">
        <v>407</v>
      </c>
      <c r="C801">
        <v>-99.99</v>
      </c>
      <c r="D801" s="2">
        <v>43679</v>
      </c>
      <c r="E801" t="s">
        <v>27</v>
      </c>
      <c r="F801">
        <v>-99.99</v>
      </c>
      <c r="G801">
        <v>0</v>
      </c>
    </row>
    <row r="802" spans="1:7" x14ac:dyDescent="0.3">
      <c r="A802" s="2">
        <v>43679</v>
      </c>
      <c r="B802" t="s">
        <v>84</v>
      </c>
      <c r="C802">
        <v>-55</v>
      </c>
      <c r="D802" s="2">
        <v>43679</v>
      </c>
      <c r="E802" t="s">
        <v>27</v>
      </c>
      <c r="F802">
        <v>-55</v>
      </c>
      <c r="G802">
        <v>0</v>
      </c>
    </row>
    <row r="803" spans="1:7" x14ac:dyDescent="0.3">
      <c r="A803" s="2">
        <v>43679</v>
      </c>
      <c r="B803" t="s">
        <v>24</v>
      </c>
      <c r="C803">
        <v>20</v>
      </c>
      <c r="D803" s="2">
        <v>43679</v>
      </c>
      <c r="E803" t="s">
        <v>25</v>
      </c>
      <c r="F803">
        <v>20</v>
      </c>
      <c r="G803">
        <v>0</v>
      </c>
    </row>
    <row r="804" spans="1:7" x14ac:dyDescent="0.3">
      <c r="A804" s="2">
        <v>43679</v>
      </c>
      <c r="B804" t="s">
        <v>53</v>
      </c>
      <c r="C804">
        <v>-3459.55</v>
      </c>
      <c r="D804" s="2">
        <v>43679</v>
      </c>
      <c r="E804" t="s">
        <v>27</v>
      </c>
      <c r="F804">
        <v>-3459.55</v>
      </c>
      <c r="G804">
        <v>0</v>
      </c>
    </row>
    <row r="805" spans="1:7" x14ac:dyDescent="0.3">
      <c r="A805" s="2">
        <v>43682</v>
      </c>
      <c r="B805" t="s">
        <v>85</v>
      </c>
      <c r="C805">
        <v>-34.950000000000003</v>
      </c>
      <c r="D805" s="2">
        <v>43682</v>
      </c>
      <c r="E805" t="s">
        <v>27</v>
      </c>
      <c r="F805">
        <v>-34.950000000000003</v>
      </c>
      <c r="G805">
        <v>0</v>
      </c>
    </row>
    <row r="806" spans="1:7" x14ac:dyDescent="0.3">
      <c r="A806" s="2">
        <v>43682</v>
      </c>
      <c r="B806" t="s">
        <v>24</v>
      </c>
      <c r="C806">
        <v>185</v>
      </c>
      <c r="D806" s="2">
        <v>43682</v>
      </c>
      <c r="E806" t="s">
        <v>25</v>
      </c>
      <c r="F806">
        <v>185</v>
      </c>
      <c r="G806">
        <v>0</v>
      </c>
    </row>
    <row r="807" spans="1:7" x14ac:dyDescent="0.3">
      <c r="A807" s="2">
        <v>43682</v>
      </c>
      <c r="B807" t="s">
        <v>24</v>
      </c>
      <c r="C807">
        <v>402.5</v>
      </c>
      <c r="D807" s="2">
        <v>43682</v>
      </c>
      <c r="E807" t="s">
        <v>25</v>
      </c>
      <c r="F807">
        <v>402.5</v>
      </c>
      <c r="G807">
        <v>0</v>
      </c>
    </row>
    <row r="808" spans="1:7" x14ac:dyDescent="0.3">
      <c r="A808" s="2">
        <v>43683</v>
      </c>
      <c r="B808" t="s">
        <v>24</v>
      </c>
      <c r="C808">
        <v>250</v>
      </c>
      <c r="D808" s="2">
        <v>43683</v>
      </c>
      <c r="E808" t="s">
        <v>25</v>
      </c>
      <c r="F808">
        <v>250</v>
      </c>
      <c r="G808">
        <v>0</v>
      </c>
    </row>
    <row r="809" spans="1:7" x14ac:dyDescent="0.3">
      <c r="A809" s="2">
        <v>43684</v>
      </c>
      <c r="B809" t="s">
        <v>24</v>
      </c>
      <c r="C809">
        <v>600</v>
      </c>
      <c r="D809" s="2">
        <v>43684</v>
      </c>
      <c r="E809" t="s">
        <v>25</v>
      </c>
      <c r="F809">
        <v>600</v>
      </c>
      <c r="G809">
        <v>0</v>
      </c>
    </row>
    <row r="810" spans="1:7" x14ac:dyDescent="0.3">
      <c r="A810" s="2">
        <v>43685</v>
      </c>
      <c r="B810" t="s">
        <v>24</v>
      </c>
      <c r="C810">
        <v>102.5</v>
      </c>
      <c r="D810" s="2">
        <v>43685</v>
      </c>
      <c r="E810" t="s">
        <v>25</v>
      </c>
      <c r="F810">
        <v>102.5</v>
      </c>
      <c r="G810">
        <v>0</v>
      </c>
    </row>
    <row r="811" spans="1:7" x14ac:dyDescent="0.3">
      <c r="A811" s="2">
        <v>43685</v>
      </c>
      <c r="B811" t="s">
        <v>408</v>
      </c>
      <c r="C811">
        <v>-7.35</v>
      </c>
      <c r="D811" s="2">
        <v>43685</v>
      </c>
      <c r="E811" t="s">
        <v>27</v>
      </c>
      <c r="F811">
        <v>-7.35</v>
      </c>
      <c r="G811">
        <v>0</v>
      </c>
    </row>
    <row r="812" spans="1:7" x14ac:dyDescent="0.3">
      <c r="A812" s="2">
        <v>43685</v>
      </c>
      <c r="B812" t="s">
        <v>409</v>
      </c>
      <c r="C812">
        <v>-36.729999999999997</v>
      </c>
      <c r="D812" s="2">
        <v>43685</v>
      </c>
      <c r="E812" t="s">
        <v>27</v>
      </c>
      <c r="F812">
        <v>-36.729999999999997</v>
      </c>
      <c r="G812">
        <v>0</v>
      </c>
    </row>
    <row r="813" spans="1:7" x14ac:dyDescent="0.3">
      <c r="A813" s="2">
        <v>43686</v>
      </c>
      <c r="B813" t="s">
        <v>24</v>
      </c>
      <c r="C813">
        <v>182.5</v>
      </c>
      <c r="D813" s="2">
        <v>43686</v>
      </c>
      <c r="E813" t="s">
        <v>25</v>
      </c>
      <c r="F813">
        <v>182.5</v>
      </c>
      <c r="G813">
        <v>0</v>
      </c>
    </row>
    <row r="814" spans="1:7" x14ac:dyDescent="0.3">
      <c r="A814" s="2">
        <v>43689</v>
      </c>
      <c r="B814" t="s">
        <v>24</v>
      </c>
      <c r="C814">
        <v>20</v>
      </c>
      <c r="D814" s="2">
        <v>43689</v>
      </c>
      <c r="E814" t="s">
        <v>25</v>
      </c>
      <c r="F814">
        <v>20</v>
      </c>
      <c r="G814">
        <v>0</v>
      </c>
    </row>
    <row r="815" spans="1:7" x14ac:dyDescent="0.3">
      <c r="A815" s="2">
        <v>43689</v>
      </c>
      <c r="B815" t="s">
        <v>24</v>
      </c>
      <c r="C815">
        <v>572.5</v>
      </c>
      <c r="D815" s="2">
        <v>43689</v>
      </c>
      <c r="E815" t="s">
        <v>25</v>
      </c>
      <c r="F815">
        <v>572.5</v>
      </c>
      <c r="G815">
        <v>0</v>
      </c>
    </row>
    <row r="816" spans="1:7" x14ac:dyDescent="0.3">
      <c r="A816" s="2">
        <v>43689</v>
      </c>
      <c r="B816" t="s">
        <v>410</v>
      </c>
      <c r="C816">
        <v>-73.06</v>
      </c>
      <c r="D816" s="2">
        <v>43689</v>
      </c>
      <c r="E816" t="s">
        <v>27</v>
      </c>
      <c r="F816">
        <v>-73.06</v>
      </c>
      <c r="G816">
        <v>0</v>
      </c>
    </row>
    <row r="817" spans="1:7" x14ac:dyDescent="0.3">
      <c r="A817" s="2">
        <v>43689</v>
      </c>
      <c r="B817" t="s">
        <v>24</v>
      </c>
      <c r="C817">
        <v>122.5</v>
      </c>
      <c r="D817" s="2">
        <v>43689</v>
      </c>
      <c r="E817" t="s">
        <v>25</v>
      </c>
      <c r="F817">
        <v>122.5</v>
      </c>
      <c r="G817">
        <v>0</v>
      </c>
    </row>
    <row r="818" spans="1:7" x14ac:dyDescent="0.3">
      <c r="A818" s="2">
        <v>43689</v>
      </c>
      <c r="B818" t="s">
        <v>411</v>
      </c>
      <c r="C818">
        <v>-9.99</v>
      </c>
      <c r="D818" s="2">
        <v>43689</v>
      </c>
      <c r="E818" t="s">
        <v>27</v>
      </c>
      <c r="F818">
        <v>-9.99</v>
      </c>
      <c r="G818">
        <v>0</v>
      </c>
    </row>
    <row r="819" spans="1:7" x14ac:dyDescent="0.3">
      <c r="A819" s="2">
        <v>43690</v>
      </c>
      <c r="B819" t="s">
        <v>24</v>
      </c>
      <c r="C819">
        <v>20</v>
      </c>
      <c r="D819" s="2">
        <v>43690</v>
      </c>
      <c r="E819" t="s">
        <v>25</v>
      </c>
      <c r="F819">
        <v>20</v>
      </c>
      <c r="G819">
        <v>0</v>
      </c>
    </row>
    <row r="820" spans="1:7" x14ac:dyDescent="0.3">
      <c r="A820" s="2">
        <v>43691</v>
      </c>
      <c r="B820" t="s">
        <v>24</v>
      </c>
      <c r="C820">
        <v>225</v>
      </c>
      <c r="D820" s="2">
        <v>43691</v>
      </c>
      <c r="E820" t="s">
        <v>25</v>
      </c>
      <c r="F820">
        <v>225</v>
      </c>
      <c r="G820">
        <v>0</v>
      </c>
    </row>
    <row r="821" spans="1:7" x14ac:dyDescent="0.3">
      <c r="A821" s="2">
        <v>43691</v>
      </c>
      <c r="B821" t="s">
        <v>89</v>
      </c>
      <c r="C821">
        <v>-14.4</v>
      </c>
      <c r="D821" s="2">
        <v>43691</v>
      </c>
      <c r="E821" t="s">
        <v>27</v>
      </c>
      <c r="F821">
        <v>-14.4</v>
      </c>
      <c r="G821">
        <v>0</v>
      </c>
    </row>
    <row r="822" spans="1:7" x14ac:dyDescent="0.3">
      <c r="A822" s="2">
        <v>43691</v>
      </c>
      <c r="B822" t="s">
        <v>91</v>
      </c>
      <c r="C822">
        <v>-90.44</v>
      </c>
      <c r="D822" s="2">
        <v>43691</v>
      </c>
      <c r="E822" t="s">
        <v>27</v>
      </c>
      <c r="F822">
        <v>-90.44</v>
      </c>
      <c r="G822">
        <v>0</v>
      </c>
    </row>
    <row r="823" spans="1:7" x14ac:dyDescent="0.3">
      <c r="A823" s="2">
        <v>43692</v>
      </c>
      <c r="B823" t="s">
        <v>24</v>
      </c>
      <c r="C823">
        <v>165</v>
      </c>
      <c r="D823" s="2">
        <v>43692</v>
      </c>
      <c r="E823" t="s">
        <v>25</v>
      </c>
      <c r="F823">
        <v>165</v>
      </c>
      <c r="G823">
        <v>0</v>
      </c>
    </row>
    <row r="824" spans="1:7" x14ac:dyDescent="0.3">
      <c r="A824" s="2">
        <v>43692</v>
      </c>
      <c r="B824" t="s">
        <v>412</v>
      </c>
      <c r="C824">
        <v>-15.99</v>
      </c>
      <c r="D824" s="2">
        <v>43692</v>
      </c>
      <c r="E824" t="s">
        <v>27</v>
      </c>
      <c r="F824">
        <v>-15.99</v>
      </c>
      <c r="G824">
        <v>0</v>
      </c>
    </row>
    <row r="825" spans="1:7" x14ac:dyDescent="0.3">
      <c r="A825" s="2">
        <v>43693</v>
      </c>
      <c r="B825" t="s">
        <v>92</v>
      </c>
      <c r="C825">
        <v>-37</v>
      </c>
      <c r="D825" s="2">
        <v>43693</v>
      </c>
      <c r="E825" t="s">
        <v>27</v>
      </c>
      <c r="F825">
        <v>-37</v>
      </c>
      <c r="G825">
        <v>0</v>
      </c>
    </row>
    <row r="826" spans="1:7" x14ac:dyDescent="0.3">
      <c r="A826" s="2">
        <v>43693</v>
      </c>
      <c r="B826" t="s">
        <v>413</v>
      </c>
      <c r="C826">
        <v>-0.2</v>
      </c>
      <c r="D826" s="2">
        <v>43693</v>
      </c>
      <c r="E826" t="s">
        <v>27</v>
      </c>
      <c r="F826">
        <v>-0.2</v>
      </c>
      <c r="G826">
        <v>0</v>
      </c>
    </row>
    <row r="827" spans="1:7" x14ac:dyDescent="0.3">
      <c r="A827" s="2">
        <v>43693</v>
      </c>
      <c r="B827" t="s">
        <v>413</v>
      </c>
      <c r="C827">
        <v>0.18</v>
      </c>
      <c r="D827" s="2">
        <v>43693</v>
      </c>
      <c r="E827" t="s">
        <v>25</v>
      </c>
      <c r="F827">
        <v>0.18</v>
      </c>
      <c r="G827">
        <v>0</v>
      </c>
    </row>
    <row r="828" spans="1:7" x14ac:dyDescent="0.3">
      <c r="A828" s="2">
        <v>43693</v>
      </c>
      <c r="B828" t="s">
        <v>413</v>
      </c>
      <c r="C828">
        <v>0.02</v>
      </c>
      <c r="D828" s="2">
        <v>43693</v>
      </c>
      <c r="E828" t="s">
        <v>25</v>
      </c>
      <c r="F828">
        <v>0.02</v>
      </c>
      <c r="G828">
        <v>0</v>
      </c>
    </row>
    <row r="829" spans="1:7" x14ac:dyDescent="0.3">
      <c r="A829" s="2">
        <v>43693</v>
      </c>
      <c r="B829" t="s">
        <v>24</v>
      </c>
      <c r="C829">
        <v>250</v>
      </c>
      <c r="D829" s="2">
        <v>43693</v>
      </c>
      <c r="E829" t="s">
        <v>25</v>
      </c>
      <c r="F829">
        <v>250</v>
      </c>
      <c r="G829">
        <v>0</v>
      </c>
    </row>
    <row r="830" spans="1:7" x14ac:dyDescent="0.3">
      <c r="A830" s="2">
        <v>43696</v>
      </c>
      <c r="B830" t="s">
        <v>24</v>
      </c>
      <c r="C830">
        <v>155</v>
      </c>
      <c r="D830" s="2">
        <v>43696</v>
      </c>
      <c r="E830" t="s">
        <v>25</v>
      </c>
      <c r="F830">
        <v>155</v>
      </c>
      <c r="G830">
        <v>0</v>
      </c>
    </row>
    <row r="831" spans="1:7" x14ac:dyDescent="0.3">
      <c r="A831" s="2">
        <v>43696</v>
      </c>
      <c r="B831" t="s">
        <v>24</v>
      </c>
      <c r="C831">
        <v>585</v>
      </c>
      <c r="D831" s="2">
        <v>43696</v>
      </c>
      <c r="E831" t="s">
        <v>25</v>
      </c>
      <c r="F831">
        <v>585</v>
      </c>
      <c r="G831">
        <v>0</v>
      </c>
    </row>
    <row r="832" spans="1:7" x14ac:dyDescent="0.3">
      <c r="A832" s="2">
        <v>43696</v>
      </c>
      <c r="B832" t="s">
        <v>414</v>
      </c>
      <c r="C832">
        <v>1529.3</v>
      </c>
      <c r="D832" s="2">
        <v>43696</v>
      </c>
      <c r="E832" t="s">
        <v>25</v>
      </c>
      <c r="F832">
        <v>1529.3</v>
      </c>
      <c r="G832">
        <v>0</v>
      </c>
    </row>
    <row r="833" spans="1:7" x14ac:dyDescent="0.3">
      <c r="A833" s="2">
        <v>43698</v>
      </c>
      <c r="B833" t="s">
        <v>24</v>
      </c>
      <c r="C833">
        <v>1022.5</v>
      </c>
      <c r="D833" s="2">
        <v>43698</v>
      </c>
      <c r="E833" t="s">
        <v>25</v>
      </c>
      <c r="F833">
        <v>1022.5</v>
      </c>
      <c r="G833">
        <v>0</v>
      </c>
    </row>
    <row r="834" spans="1:7" x14ac:dyDescent="0.3">
      <c r="A834" s="2">
        <v>43699</v>
      </c>
      <c r="B834" t="s">
        <v>24</v>
      </c>
      <c r="C834">
        <v>40</v>
      </c>
      <c r="D834" s="2">
        <v>43699</v>
      </c>
      <c r="E834" t="s">
        <v>25</v>
      </c>
      <c r="F834">
        <v>40</v>
      </c>
      <c r="G834">
        <v>0</v>
      </c>
    </row>
    <row r="835" spans="1:7" x14ac:dyDescent="0.3">
      <c r="A835" s="2">
        <v>43700</v>
      </c>
      <c r="B835" t="s">
        <v>24</v>
      </c>
      <c r="C835">
        <v>587.5</v>
      </c>
      <c r="D835" s="2">
        <v>43700</v>
      </c>
      <c r="E835" t="s">
        <v>25</v>
      </c>
      <c r="F835">
        <v>587.5</v>
      </c>
      <c r="G835">
        <v>0</v>
      </c>
    </row>
    <row r="836" spans="1:7" x14ac:dyDescent="0.3">
      <c r="A836" s="2">
        <v>43703</v>
      </c>
      <c r="B836" t="s">
        <v>415</v>
      </c>
      <c r="C836">
        <v>-10000</v>
      </c>
      <c r="D836" s="2">
        <v>43703</v>
      </c>
      <c r="E836" t="s">
        <v>27</v>
      </c>
      <c r="F836">
        <v>-10000</v>
      </c>
      <c r="G836">
        <v>0</v>
      </c>
    </row>
    <row r="837" spans="1:7" x14ac:dyDescent="0.3">
      <c r="A837" s="2">
        <v>43703</v>
      </c>
      <c r="B837" t="s">
        <v>24</v>
      </c>
      <c r="C837">
        <v>270</v>
      </c>
      <c r="D837" s="2">
        <v>43703</v>
      </c>
      <c r="E837" t="s">
        <v>25</v>
      </c>
      <c r="F837">
        <v>270</v>
      </c>
      <c r="G837">
        <v>0</v>
      </c>
    </row>
    <row r="838" spans="1:7" x14ac:dyDescent="0.3">
      <c r="A838" s="2">
        <v>43703</v>
      </c>
      <c r="B838" t="s">
        <v>24</v>
      </c>
      <c r="C838">
        <v>260</v>
      </c>
      <c r="D838" s="2">
        <v>43703</v>
      </c>
      <c r="E838" t="s">
        <v>25</v>
      </c>
      <c r="F838">
        <v>260</v>
      </c>
      <c r="G838">
        <v>0</v>
      </c>
    </row>
    <row r="839" spans="1:7" x14ac:dyDescent="0.3">
      <c r="A839" s="2">
        <v>43703</v>
      </c>
      <c r="B839" t="s">
        <v>416</v>
      </c>
      <c r="C839">
        <v>-8010.44</v>
      </c>
      <c r="D839" s="2">
        <v>43703</v>
      </c>
      <c r="E839" t="s">
        <v>27</v>
      </c>
      <c r="F839">
        <v>-8010.44</v>
      </c>
      <c r="G839">
        <v>0</v>
      </c>
    </row>
    <row r="840" spans="1:7" x14ac:dyDescent="0.3">
      <c r="A840" s="2">
        <v>43704</v>
      </c>
      <c r="B840" t="s">
        <v>24</v>
      </c>
      <c r="C840">
        <v>102.5</v>
      </c>
      <c r="D840" s="2">
        <v>43703</v>
      </c>
      <c r="E840" t="s">
        <v>25</v>
      </c>
      <c r="F840">
        <v>102.5</v>
      </c>
      <c r="G840">
        <v>0</v>
      </c>
    </row>
    <row r="841" spans="1:7" x14ac:dyDescent="0.3">
      <c r="A841" s="2">
        <v>43705</v>
      </c>
      <c r="B841" t="s">
        <v>24</v>
      </c>
      <c r="C841">
        <v>205</v>
      </c>
      <c r="D841" s="2">
        <v>43704</v>
      </c>
      <c r="E841" t="s">
        <v>25</v>
      </c>
      <c r="F841">
        <v>205</v>
      </c>
      <c r="G841">
        <v>0</v>
      </c>
    </row>
    <row r="842" spans="1:7" x14ac:dyDescent="0.3">
      <c r="A842" s="2">
        <v>43705</v>
      </c>
      <c r="B842" t="s">
        <v>417</v>
      </c>
      <c r="C842">
        <v>-59.87</v>
      </c>
      <c r="D842" s="2">
        <v>43705</v>
      </c>
      <c r="E842" t="s">
        <v>27</v>
      </c>
      <c r="F842">
        <v>-59.87</v>
      </c>
      <c r="G842">
        <v>0</v>
      </c>
    </row>
    <row r="843" spans="1:7" x14ac:dyDescent="0.3">
      <c r="A843" s="2">
        <v>43706</v>
      </c>
      <c r="B843" t="s">
        <v>31</v>
      </c>
      <c r="C843">
        <v>5900</v>
      </c>
      <c r="D843" s="2">
        <v>43706</v>
      </c>
      <c r="E843" t="s">
        <v>25</v>
      </c>
      <c r="F843">
        <v>5900</v>
      </c>
      <c r="G843">
        <v>0</v>
      </c>
    </row>
    <row r="844" spans="1:7" x14ac:dyDescent="0.3">
      <c r="A844" s="2">
        <v>43706</v>
      </c>
      <c r="B844" t="s">
        <v>31</v>
      </c>
      <c r="C844">
        <v>9200</v>
      </c>
      <c r="D844" s="2">
        <v>43706</v>
      </c>
      <c r="E844" t="s">
        <v>25</v>
      </c>
      <c r="F844">
        <v>9200</v>
      </c>
      <c r="G844">
        <v>0</v>
      </c>
    </row>
    <row r="845" spans="1:7" x14ac:dyDescent="0.3">
      <c r="A845" s="2">
        <v>43706</v>
      </c>
      <c r="B845" t="s">
        <v>97</v>
      </c>
      <c r="C845">
        <v>-70.77</v>
      </c>
      <c r="D845" s="2">
        <v>43706</v>
      </c>
      <c r="E845" t="s">
        <v>27</v>
      </c>
      <c r="F845">
        <v>-70.77</v>
      </c>
      <c r="G845">
        <v>0</v>
      </c>
    </row>
    <row r="846" spans="1:7" x14ac:dyDescent="0.3">
      <c r="A846" s="2">
        <v>43706</v>
      </c>
      <c r="B846" t="s">
        <v>24</v>
      </c>
      <c r="C846">
        <v>595</v>
      </c>
      <c r="D846" s="2">
        <v>43706</v>
      </c>
      <c r="E846" t="s">
        <v>25</v>
      </c>
      <c r="F846">
        <v>595</v>
      </c>
      <c r="G846">
        <v>0</v>
      </c>
    </row>
    <row r="847" spans="1:7" x14ac:dyDescent="0.3">
      <c r="A847" s="2">
        <v>43711</v>
      </c>
      <c r="B847" t="s">
        <v>24</v>
      </c>
      <c r="C847">
        <v>82.5</v>
      </c>
      <c r="D847" s="2">
        <v>43711</v>
      </c>
      <c r="E847" t="s">
        <v>25</v>
      </c>
      <c r="F847">
        <v>82.5</v>
      </c>
      <c r="G847">
        <v>0</v>
      </c>
    </row>
    <row r="848" spans="1:7" x14ac:dyDescent="0.3">
      <c r="A848" s="2">
        <v>43711</v>
      </c>
      <c r="B848" t="s">
        <v>53</v>
      </c>
      <c r="C848">
        <v>-357.29</v>
      </c>
      <c r="D848" s="2">
        <v>43711</v>
      </c>
      <c r="E848" t="s">
        <v>27</v>
      </c>
      <c r="F848">
        <v>-357.29</v>
      </c>
      <c r="G848">
        <v>0</v>
      </c>
    </row>
    <row r="849" spans="1:7" x14ac:dyDescent="0.3">
      <c r="A849" s="2">
        <v>43711</v>
      </c>
      <c r="B849" t="s">
        <v>100</v>
      </c>
      <c r="C849">
        <v>-55</v>
      </c>
      <c r="D849" s="2">
        <v>43711</v>
      </c>
      <c r="E849" t="s">
        <v>27</v>
      </c>
      <c r="F849">
        <v>-55</v>
      </c>
      <c r="G849">
        <v>0</v>
      </c>
    </row>
    <row r="850" spans="1:7" x14ac:dyDescent="0.3">
      <c r="A850" s="2">
        <v>43711</v>
      </c>
      <c r="B850" t="s">
        <v>24</v>
      </c>
      <c r="C850">
        <v>82.5</v>
      </c>
      <c r="D850" s="2">
        <v>43711</v>
      </c>
      <c r="E850" t="s">
        <v>25</v>
      </c>
      <c r="F850">
        <v>82.5</v>
      </c>
      <c r="G850">
        <v>0</v>
      </c>
    </row>
    <row r="851" spans="1:7" x14ac:dyDescent="0.3">
      <c r="A851" s="2">
        <v>43711</v>
      </c>
      <c r="B851" t="s">
        <v>24</v>
      </c>
      <c r="C851">
        <v>170</v>
      </c>
      <c r="D851" s="2">
        <v>43711</v>
      </c>
      <c r="E851" t="s">
        <v>25</v>
      </c>
      <c r="F851">
        <v>170</v>
      </c>
      <c r="G851">
        <v>0</v>
      </c>
    </row>
    <row r="852" spans="1:7" x14ac:dyDescent="0.3">
      <c r="A852" s="2">
        <v>43713</v>
      </c>
      <c r="B852" t="s">
        <v>418</v>
      </c>
      <c r="C852">
        <v>-71.97</v>
      </c>
      <c r="D852" s="2">
        <v>43713</v>
      </c>
      <c r="E852" t="s">
        <v>27</v>
      </c>
      <c r="F852">
        <v>-71.97</v>
      </c>
      <c r="G852">
        <v>0</v>
      </c>
    </row>
    <row r="853" spans="1:7" x14ac:dyDescent="0.3">
      <c r="A853" s="2">
        <v>43713</v>
      </c>
      <c r="B853" t="s">
        <v>419</v>
      </c>
      <c r="C853">
        <v>-47.46</v>
      </c>
      <c r="D853" s="2">
        <v>43713</v>
      </c>
      <c r="E853" t="s">
        <v>27</v>
      </c>
      <c r="F853">
        <v>-47.46</v>
      </c>
      <c r="G853">
        <v>0</v>
      </c>
    </row>
    <row r="854" spans="1:7" x14ac:dyDescent="0.3">
      <c r="A854" s="2">
        <v>43713</v>
      </c>
      <c r="B854" t="s">
        <v>24</v>
      </c>
      <c r="C854">
        <v>40</v>
      </c>
      <c r="D854" s="2">
        <v>43713</v>
      </c>
      <c r="E854" t="s">
        <v>25</v>
      </c>
      <c r="F854">
        <v>40</v>
      </c>
      <c r="G854">
        <v>0</v>
      </c>
    </row>
    <row r="855" spans="1:7" x14ac:dyDescent="0.3">
      <c r="A855" s="2">
        <v>43713</v>
      </c>
      <c r="B855" t="s">
        <v>102</v>
      </c>
      <c r="C855">
        <v>-34.950000000000003</v>
      </c>
      <c r="D855" s="2">
        <v>43713</v>
      </c>
      <c r="E855" t="s">
        <v>27</v>
      </c>
      <c r="F855">
        <v>-34.950000000000003</v>
      </c>
      <c r="G855">
        <v>0</v>
      </c>
    </row>
    <row r="856" spans="1:7" x14ac:dyDescent="0.3">
      <c r="A856" s="2">
        <v>43714</v>
      </c>
      <c r="B856" t="s">
        <v>24</v>
      </c>
      <c r="C856">
        <v>715</v>
      </c>
      <c r="D856" s="2">
        <v>43714</v>
      </c>
      <c r="E856" t="s">
        <v>25</v>
      </c>
      <c r="F856">
        <v>715</v>
      </c>
      <c r="G856">
        <v>0</v>
      </c>
    </row>
    <row r="857" spans="1:7" x14ac:dyDescent="0.3">
      <c r="A857" s="2">
        <v>43717</v>
      </c>
      <c r="B857" t="s">
        <v>420</v>
      </c>
      <c r="C857">
        <v>-15000</v>
      </c>
      <c r="D857" s="2">
        <v>43717</v>
      </c>
      <c r="E857" t="s">
        <v>27</v>
      </c>
      <c r="F857">
        <v>-15000</v>
      </c>
      <c r="G857">
        <v>0</v>
      </c>
    </row>
    <row r="858" spans="1:7" x14ac:dyDescent="0.3">
      <c r="A858" s="2">
        <v>43717</v>
      </c>
      <c r="B858" t="s">
        <v>421</v>
      </c>
      <c r="C858">
        <v>-4442</v>
      </c>
      <c r="D858" s="2">
        <v>43717</v>
      </c>
      <c r="E858" t="s">
        <v>27</v>
      </c>
      <c r="F858">
        <v>-4442</v>
      </c>
      <c r="G858">
        <v>0</v>
      </c>
    </row>
    <row r="859" spans="1:7" x14ac:dyDescent="0.3">
      <c r="A859" s="2">
        <v>43717</v>
      </c>
      <c r="B859" t="s">
        <v>24</v>
      </c>
      <c r="C859">
        <v>285</v>
      </c>
      <c r="D859" s="2">
        <v>43717</v>
      </c>
      <c r="E859" t="s">
        <v>25</v>
      </c>
      <c r="F859">
        <v>285</v>
      </c>
      <c r="G859">
        <v>0</v>
      </c>
    </row>
    <row r="860" spans="1:7" x14ac:dyDescent="0.3">
      <c r="A860" s="2">
        <v>43717</v>
      </c>
      <c r="B860" t="s">
        <v>24</v>
      </c>
      <c r="C860">
        <v>320</v>
      </c>
      <c r="D860" s="2">
        <v>43717</v>
      </c>
      <c r="E860" t="s">
        <v>25</v>
      </c>
      <c r="F860">
        <v>320</v>
      </c>
      <c r="G860">
        <v>0</v>
      </c>
    </row>
    <row r="861" spans="1:7" x14ac:dyDescent="0.3">
      <c r="A861" s="2">
        <v>43718</v>
      </c>
      <c r="B861" t="s">
        <v>422</v>
      </c>
      <c r="C861">
        <v>-54.05</v>
      </c>
      <c r="D861" s="2">
        <v>43718</v>
      </c>
      <c r="E861" t="s">
        <v>27</v>
      </c>
      <c r="F861">
        <v>-54.05</v>
      </c>
      <c r="G861">
        <v>0</v>
      </c>
    </row>
    <row r="862" spans="1:7" x14ac:dyDescent="0.3">
      <c r="A862" s="2">
        <v>43718</v>
      </c>
      <c r="B862" t="s">
        <v>24</v>
      </c>
      <c r="C862">
        <v>470</v>
      </c>
      <c r="D862" s="2">
        <v>43718</v>
      </c>
      <c r="E862" t="s">
        <v>25</v>
      </c>
      <c r="F862">
        <v>470</v>
      </c>
      <c r="G862">
        <v>0</v>
      </c>
    </row>
    <row r="863" spans="1:7" x14ac:dyDescent="0.3">
      <c r="A863" s="2">
        <v>43719</v>
      </c>
      <c r="B863" t="s">
        <v>423</v>
      </c>
      <c r="C863">
        <v>-9.99</v>
      </c>
      <c r="D863" s="2">
        <v>43719</v>
      </c>
      <c r="E863" t="s">
        <v>27</v>
      </c>
      <c r="F863">
        <v>-9.99</v>
      </c>
      <c r="G863">
        <v>0</v>
      </c>
    </row>
    <row r="864" spans="1:7" x14ac:dyDescent="0.3">
      <c r="A864" s="2">
        <v>43719</v>
      </c>
      <c r="B864" t="s">
        <v>24</v>
      </c>
      <c r="C864">
        <v>885</v>
      </c>
      <c r="D864" s="2">
        <v>43719</v>
      </c>
      <c r="E864" t="s">
        <v>25</v>
      </c>
      <c r="F864">
        <v>885</v>
      </c>
      <c r="G864">
        <v>0</v>
      </c>
    </row>
    <row r="865" spans="1:7" x14ac:dyDescent="0.3">
      <c r="A865" s="2">
        <v>43719</v>
      </c>
      <c r="B865" t="s">
        <v>424</v>
      </c>
      <c r="C865">
        <v>-20.21</v>
      </c>
      <c r="D865" s="2">
        <v>43719</v>
      </c>
      <c r="E865" t="s">
        <v>27</v>
      </c>
      <c r="F865">
        <v>-20.21</v>
      </c>
      <c r="G865">
        <v>0</v>
      </c>
    </row>
    <row r="866" spans="1:7" x14ac:dyDescent="0.3">
      <c r="A866" s="2">
        <v>43720</v>
      </c>
      <c r="B866" t="s">
        <v>24</v>
      </c>
      <c r="C866">
        <v>200</v>
      </c>
      <c r="D866" s="2">
        <v>43719</v>
      </c>
      <c r="E866" t="s">
        <v>25</v>
      </c>
      <c r="F866">
        <v>200</v>
      </c>
      <c r="G866">
        <v>0</v>
      </c>
    </row>
    <row r="867" spans="1:7" x14ac:dyDescent="0.3">
      <c r="A867" s="2">
        <v>43720</v>
      </c>
      <c r="B867" t="s">
        <v>425</v>
      </c>
      <c r="C867">
        <v>-501</v>
      </c>
      <c r="D867" s="2">
        <v>43720</v>
      </c>
      <c r="E867" t="s">
        <v>27</v>
      </c>
      <c r="F867">
        <v>-501</v>
      </c>
      <c r="G867">
        <v>0</v>
      </c>
    </row>
    <row r="868" spans="1:7" x14ac:dyDescent="0.3">
      <c r="A868" s="2">
        <v>43721</v>
      </c>
      <c r="B868" t="s">
        <v>103</v>
      </c>
      <c r="C868">
        <v>-15.99</v>
      </c>
      <c r="D868" s="2">
        <v>43721</v>
      </c>
      <c r="E868" t="s">
        <v>27</v>
      </c>
      <c r="F868">
        <v>-15.99</v>
      </c>
      <c r="G868">
        <v>0</v>
      </c>
    </row>
    <row r="869" spans="1:7" x14ac:dyDescent="0.3">
      <c r="A869" s="2">
        <v>43721</v>
      </c>
      <c r="B869" t="s">
        <v>24</v>
      </c>
      <c r="C869">
        <v>705</v>
      </c>
      <c r="D869" s="2">
        <v>43721</v>
      </c>
      <c r="E869" t="s">
        <v>25</v>
      </c>
      <c r="F869">
        <v>705</v>
      </c>
      <c r="G869">
        <v>0</v>
      </c>
    </row>
    <row r="870" spans="1:7" x14ac:dyDescent="0.3">
      <c r="A870" s="2">
        <v>43724</v>
      </c>
      <c r="B870" t="s">
        <v>24</v>
      </c>
      <c r="C870">
        <v>80</v>
      </c>
      <c r="D870" s="2">
        <v>43721</v>
      </c>
      <c r="E870" t="s">
        <v>25</v>
      </c>
      <c r="F870">
        <v>80</v>
      </c>
      <c r="G870">
        <v>0</v>
      </c>
    </row>
    <row r="871" spans="1:7" x14ac:dyDescent="0.3">
      <c r="A871" s="2">
        <v>43724</v>
      </c>
      <c r="B871" t="s">
        <v>426</v>
      </c>
      <c r="C871">
        <v>-79.81</v>
      </c>
      <c r="D871" s="2">
        <v>43724</v>
      </c>
      <c r="E871" t="s">
        <v>27</v>
      </c>
      <c r="F871">
        <v>-79.81</v>
      </c>
      <c r="G871">
        <v>0</v>
      </c>
    </row>
    <row r="872" spans="1:7" x14ac:dyDescent="0.3">
      <c r="A872" s="2">
        <v>43724</v>
      </c>
      <c r="B872" t="s">
        <v>106</v>
      </c>
      <c r="C872">
        <v>-37</v>
      </c>
      <c r="D872" s="2">
        <v>43724</v>
      </c>
      <c r="E872" t="s">
        <v>27</v>
      </c>
      <c r="F872">
        <v>-37</v>
      </c>
      <c r="G872">
        <v>0</v>
      </c>
    </row>
    <row r="873" spans="1:7" x14ac:dyDescent="0.3">
      <c r="A873" s="2">
        <v>43724</v>
      </c>
      <c r="B873" t="s">
        <v>24</v>
      </c>
      <c r="C873">
        <v>190</v>
      </c>
      <c r="D873" s="2">
        <v>43724</v>
      </c>
      <c r="E873" t="s">
        <v>25</v>
      </c>
      <c r="F873">
        <v>190</v>
      </c>
      <c r="G873">
        <v>0</v>
      </c>
    </row>
    <row r="874" spans="1:7" x14ac:dyDescent="0.3">
      <c r="A874" s="2">
        <v>43724</v>
      </c>
      <c r="B874" t="s">
        <v>24</v>
      </c>
      <c r="C874">
        <v>560</v>
      </c>
      <c r="D874" s="2">
        <v>43724</v>
      </c>
      <c r="E874" t="s">
        <v>25</v>
      </c>
      <c r="F874">
        <v>560</v>
      </c>
      <c r="G874">
        <v>0</v>
      </c>
    </row>
    <row r="875" spans="1:7" x14ac:dyDescent="0.3">
      <c r="A875" s="2">
        <v>43724</v>
      </c>
      <c r="B875" t="s">
        <v>104</v>
      </c>
      <c r="C875">
        <v>-90.44</v>
      </c>
      <c r="D875" s="2">
        <v>43724</v>
      </c>
      <c r="E875" t="s">
        <v>27</v>
      </c>
      <c r="F875">
        <v>-90.44</v>
      </c>
      <c r="G875">
        <v>0</v>
      </c>
    </row>
    <row r="876" spans="1:7" x14ac:dyDescent="0.3">
      <c r="A876" s="2">
        <v>43724</v>
      </c>
      <c r="B876" t="s">
        <v>105</v>
      </c>
      <c r="C876">
        <v>-14.4</v>
      </c>
      <c r="D876" s="2">
        <v>43724</v>
      </c>
      <c r="E876" t="s">
        <v>27</v>
      </c>
      <c r="F876">
        <v>-14.4</v>
      </c>
      <c r="G876">
        <v>0</v>
      </c>
    </row>
    <row r="877" spans="1:7" x14ac:dyDescent="0.3">
      <c r="A877" s="2">
        <v>43725</v>
      </c>
      <c r="B877" t="s">
        <v>24</v>
      </c>
      <c r="C877">
        <v>20</v>
      </c>
      <c r="D877" s="2">
        <v>43725</v>
      </c>
      <c r="E877" t="s">
        <v>25</v>
      </c>
      <c r="F877">
        <v>20</v>
      </c>
      <c r="G877">
        <v>0</v>
      </c>
    </row>
    <row r="878" spans="1:7" x14ac:dyDescent="0.3">
      <c r="A878" s="2">
        <v>43725</v>
      </c>
      <c r="B878" t="s">
        <v>427</v>
      </c>
      <c r="C878">
        <v>-50.2</v>
      </c>
      <c r="D878" s="2">
        <v>43725</v>
      </c>
      <c r="E878" t="s">
        <v>27</v>
      </c>
      <c r="F878">
        <v>-50.2</v>
      </c>
      <c r="G878">
        <v>0</v>
      </c>
    </row>
    <row r="879" spans="1:7" x14ac:dyDescent="0.3">
      <c r="A879" s="2">
        <v>43726</v>
      </c>
      <c r="B879" t="s">
        <v>24</v>
      </c>
      <c r="C879">
        <v>845</v>
      </c>
      <c r="D879" s="2">
        <v>43726</v>
      </c>
      <c r="E879" t="s">
        <v>25</v>
      </c>
      <c r="F879">
        <v>845</v>
      </c>
      <c r="G879">
        <v>0</v>
      </c>
    </row>
    <row r="880" spans="1:7" x14ac:dyDescent="0.3">
      <c r="A880" s="2">
        <v>43726</v>
      </c>
      <c r="B880" t="s">
        <v>428</v>
      </c>
      <c r="C880">
        <v>-8.42</v>
      </c>
      <c r="D880" s="2">
        <v>43726</v>
      </c>
      <c r="E880" t="s">
        <v>27</v>
      </c>
      <c r="F880">
        <v>-8.42</v>
      </c>
      <c r="G880">
        <v>0</v>
      </c>
    </row>
    <row r="881" spans="1:7" x14ac:dyDescent="0.3">
      <c r="A881" s="2">
        <v>43727</v>
      </c>
      <c r="B881" t="s">
        <v>24</v>
      </c>
      <c r="C881">
        <v>1000</v>
      </c>
      <c r="D881" s="2">
        <v>43726</v>
      </c>
      <c r="E881" t="s">
        <v>25</v>
      </c>
      <c r="F881">
        <v>1000</v>
      </c>
      <c r="G881">
        <v>0</v>
      </c>
    </row>
    <row r="882" spans="1:7" x14ac:dyDescent="0.3">
      <c r="A882" s="2">
        <v>43728</v>
      </c>
      <c r="B882" t="s">
        <v>24</v>
      </c>
      <c r="C882">
        <v>500</v>
      </c>
      <c r="D882" s="2">
        <v>43728</v>
      </c>
      <c r="E882" t="s">
        <v>25</v>
      </c>
      <c r="F882">
        <v>500</v>
      </c>
      <c r="G882">
        <v>0</v>
      </c>
    </row>
    <row r="883" spans="1:7" x14ac:dyDescent="0.3">
      <c r="A883" s="2">
        <v>43731</v>
      </c>
      <c r="B883" t="s">
        <v>24</v>
      </c>
      <c r="C883">
        <v>300</v>
      </c>
      <c r="D883" s="2">
        <v>43731</v>
      </c>
      <c r="E883" t="s">
        <v>25</v>
      </c>
      <c r="F883">
        <v>300</v>
      </c>
      <c r="G883">
        <v>0</v>
      </c>
    </row>
    <row r="884" spans="1:7" x14ac:dyDescent="0.3">
      <c r="A884" s="2">
        <v>43731</v>
      </c>
      <c r="B884" t="s">
        <v>24</v>
      </c>
      <c r="C884">
        <v>490</v>
      </c>
      <c r="D884" s="2">
        <v>43731</v>
      </c>
      <c r="E884" t="s">
        <v>25</v>
      </c>
      <c r="F884">
        <v>490</v>
      </c>
      <c r="G884">
        <v>0</v>
      </c>
    </row>
    <row r="885" spans="1:7" x14ac:dyDescent="0.3">
      <c r="A885" s="2">
        <v>43731</v>
      </c>
      <c r="B885" t="s">
        <v>24</v>
      </c>
      <c r="C885">
        <v>900</v>
      </c>
      <c r="D885" s="2">
        <v>43731</v>
      </c>
      <c r="E885" t="s">
        <v>25</v>
      </c>
      <c r="F885">
        <v>900</v>
      </c>
      <c r="G885">
        <v>0</v>
      </c>
    </row>
    <row r="886" spans="1:7" x14ac:dyDescent="0.3">
      <c r="A886" s="2">
        <v>43732</v>
      </c>
      <c r="B886" t="s">
        <v>429</v>
      </c>
      <c r="C886">
        <v>-390</v>
      </c>
      <c r="D886" s="2">
        <v>43732</v>
      </c>
      <c r="E886" t="s">
        <v>27</v>
      </c>
      <c r="F886">
        <v>-390</v>
      </c>
      <c r="G886">
        <v>0</v>
      </c>
    </row>
    <row r="887" spans="1:7" x14ac:dyDescent="0.3">
      <c r="A887" s="2">
        <v>43732</v>
      </c>
      <c r="B887" t="s">
        <v>430</v>
      </c>
      <c r="C887">
        <v>-28.32</v>
      </c>
      <c r="D887" s="2">
        <v>43732</v>
      </c>
      <c r="E887" t="s">
        <v>27</v>
      </c>
      <c r="F887">
        <v>-28.32</v>
      </c>
      <c r="G887">
        <v>0</v>
      </c>
    </row>
    <row r="888" spans="1:7" x14ac:dyDescent="0.3">
      <c r="A888" s="2">
        <v>43733</v>
      </c>
      <c r="B888" t="s">
        <v>24</v>
      </c>
      <c r="C888">
        <v>482.5</v>
      </c>
      <c r="D888" s="2">
        <v>43733</v>
      </c>
      <c r="E888" t="s">
        <v>25</v>
      </c>
      <c r="F888">
        <v>482.5</v>
      </c>
      <c r="G888">
        <v>0</v>
      </c>
    </row>
    <row r="889" spans="1:7" x14ac:dyDescent="0.3">
      <c r="A889" s="2">
        <v>43734</v>
      </c>
      <c r="B889" t="s">
        <v>24</v>
      </c>
      <c r="C889">
        <v>260</v>
      </c>
      <c r="D889" s="2">
        <v>43734</v>
      </c>
      <c r="E889" t="s">
        <v>25</v>
      </c>
      <c r="F889">
        <v>260</v>
      </c>
      <c r="G889">
        <v>0</v>
      </c>
    </row>
    <row r="890" spans="1:7" x14ac:dyDescent="0.3">
      <c r="A890" s="2">
        <v>43734</v>
      </c>
      <c r="B890" t="s">
        <v>110</v>
      </c>
      <c r="C890">
        <v>-54.99</v>
      </c>
      <c r="D890" s="2">
        <v>43734</v>
      </c>
      <c r="E890" t="s">
        <v>27</v>
      </c>
      <c r="F890">
        <v>-54.99</v>
      </c>
      <c r="G890">
        <v>0</v>
      </c>
    </row>
    <row r="891" spans="1:7" x14ac:dyDescent="0.3">
      <c r="A891" s="2">
        <v>43735</v>
      </c>
      <c r="B891" t="s">
        <v>24</v>
      </c>
      <c r="C891">
        <v>732.5</v>
      </c>
      <c r="D891" s="2">
        <v>43735</v>
      </c>
      <c r="E891" t="s">
        <v>25</v>
      </c>
      <c r="F891">
        <v>732.5</v>
      </c>
      <c r="G891">
        <v>0</v>
      </c>
    </row>
    <row r="892" spans="1:7" x14ac:dyDescent="0.3">
      <c r="A892" s="2">
        <v>43738</v>
      </c>
      <c r="B892" t="s">
        <v>24</v>
      </c>
      <c r="C892">
        <v>82.5</v>
      </c>
      <c r="D892" s="2">
        <v>43736</v>
      </c>
      <c r="E892" t="s">
        <v>25</v>
      </c>
      <c r="F892">
        <v>82.5</v>
      </c>
      <c r="G892">
        <v>0</v>
      </c>
    </row>
    <row r="893" spans="1:7" x14ac:dyDescent="0.3">
      <c r="A893" s="2">
        <v>43738</v>
      </c>
      <c r="B893" t="s">
        <v>24</v>
      </c>
      <c r="C893">
        <v>7332.5</v>
      </c>
      <c r="D893" s="2">
        <v>43738</v>
      </c>
      <c r="E893" t="s">
        <v>25</v>
      </c>
      <c r="F893">
        <v>7332.5</v>
      </c>
      <c r="G893">
        <v>0</v>
      </c>
    </row>
    <row r="894" spans="1:7" x14ac:dyDescent="0.3">
      <c r="A894" s="2">
        <v>43738</v>
      </c>
      <c r="B894" t="s">
        <v>24</v>
      </c>
      <c r="C894">
        <v>2832.5</v>
      </c>
      <c r="D894" s="2">
        <v>43738</v>
      </c>
      <c r="E894" t="s">
        <v>25</v>
      </c>
      <c r="F894">
        <v>2832.5</v>
      </c>
      <c r="G894">
        <v>0</v>
      </c>
    </row>
    <row r="895" spans="1:7" x14ac:dyDescent="0.3">
      <c r="A895" s="2">
        <v>43738</v>
      </c>
      <c r="B895" t="s">
        <v>111</v>
      </c>
      <c r="C895">
        <v>-70.77</v>
      </c>
      <c r="D895" s="2">
        <v>43738</v>
      </c>
      <c r="E895" t="s">
        <v>27</v>
      </c>
      <c r="F895">
        <v>-70.77</v>
      </c>
      <c r="G895">
        <v>0</v>
      </c>
    </row>
    <row r="896" spans="1:7" x14ac:dyDescent="0.3">
      <c r="A896" s="2">
        <v>43740</v>
      </c>
      <c r="B896" t="s">
        <v>53</v>
      </c>
      <c r="C896">
        <v>-922.68</v>
      </c>
      <c r="D896" s="2">
        <v>43740</v>
      </c>
      <c r="E896" t="s">
        <v>27</v>
      </c>
      <c r="F896">
        <v>-922.68</v>
      </c>
      <c r="G896">
        <v>0</v>
      </c>
    </row>
    <row r="897" spans="1:7" x14ac:dyDescent="0.3">
      <c r="A897" s="2">
        <v>43740</v>
      </c>
      <c r="B897" t="s">
        <v>31</v>
      </c>
      <c r="C897">
        <v>150</v>
      </c>
      <c r="D897" s="2">
        <v>43740</v>
      </c>
      <c r="E897" t="s">
        <v>25</v>
      </c>
      <c r="F897">
        <v>150</v>
      </c>
      <c r="G897">
        <v>0</v>
      </c>
    </row>
    <row r="898" spans="1:7" x14ac:dyDescent="0.3">
      <c r="A898" s="2">
        <v>43740</v>
      </c>
      <c r="B898" t="s">
        <v>24</v>
      </c>
      <c r="C898">
        <v>8200</v>
      </c>
      <c r="D898" s="2">
        <v>43740</v>
      </c>
      <c r="E898" t="s">
        <v>25</v>
      </c>
      <c r="F898">
        <v>8200</v>
      </c>
      <c r="G898">
        <v>0</v>
      </c>
    </row>
    <row r="899" spans="1:7" x14ac:dyDescent="0.3">
      <c r="A899" s="2">
        <v>43740</v>
      </c>
      <c r="B899" t="s">
        <v>112</v>
      </c>
      <c r="C899">
        <v>-55</v>
      </c>
      <c r="D899" s="2">
        <v>43740</v>
      </c>
      <c r="E899" t="s">
        <v>27</v>
      </c>
      <c r="F899">
        <v>-55</v>
      </c>
      <c r="G899">
        <v>0</v>
      </c>
    </row>
    <row r="900" spans="1:7" x14ac:dyDescent="0.3">
      <c r="A900" s="2">
        <v>43741</v>
      </c>
      <c r="B900" t="s">
        <v>24</v>
      </c>
      <c r="C900">
        <v>6896.25</v>
      </c>
      <c r="D900" s="2">
        <v>43741</v>
      </c>
      <c r="E900" t="s">
        <v>25</v>
      </c>
      <c r="F900">
        <v>6896.25</v>
      </c>
      <c r="G900">
        <v>0</v>
      </c>
    </row>
    <row r="901" spans="1:7" x14ac:dyDescent="0.3">
      <c r="A901" s="2">
        <v>43741</v>
      </c>
      <c r="B901" t="s">
        <v>431</v>
      </c>
      <c r="C901">
        <v>440</v>
      </c>
      <c r="D901" s="2">
        <v>43741</v>
      </c>
      <c r="E901" t="s">
        <v>25</v>
      </c>
      <c r="F901">
        <v>440</v>
      </c>
      <c r="G901">
        <v>0</v>
      </c>
    </row>
    <row r="902" spans="1:7" x14ac:dyDescent="0.3">
      <c r="A902" s="2">
        <v>43741</v>
      </c>
      <c r="B902" t="s">
        <v>113</v>
      </c>
      <c r="C902">
        <v>-34.950000000000003</v>
      </c>
      <c r="D902" s="2">
        <v>43741</v>
      </c>
      <c r="E902" t="s">
        <v>27</v>
      </c>
      <c r="F902">
        <v>-34.950000000000003</v>
      </c>
      <c r="G902">
        <v>0</v>
      </c>
    </row>
    <row r="903" spans="1:7" x14ac:dyDescent="0.3">
      <c r="A903" s="2">
        <v>43742</v>
      </c>
      <c r="B903" t="s">
        <v>432</v>
      </c>
      <c r="C903">
        <v>-69.510000000000005</v>
      </c>
      <c r="D903" s="2">
        <v>43742</v>
      </c>
      <c r="E903" t="s">
        <v>27</v>
      </c>
      <c r="F903">
        <v>-69.510000000000005</v>
      </c>
      <c r="G903">
        <v>0</v>
      </c>
    </row>
    <row r="904" spans="1:7" x14ac:dyDescent="0.3">
      <c r="A904" s="2">
        <v>43742</v>
      </c>
      <c r="B904" t="s">
        <v>433</v>
      </c>
      <c r="C904">
        <v>-14.1</v>
      </c>
      <c r="D904" s="2">
        <v>43742</v>
      </c>
      <c r="E904" t="s">
        <v>27</v>
      </c>
      <c r="F904">
        <v>-14.1</v>
      </c>
      <c r="G904">
        <v>0</v>
      </c>
    </row>
    <row r="905" spans="1:7" x14ac:dyDescent="0.3">
      <c r="A905" s="2">
        <v>43742</v>
      </c>
      <c r="B905" t="s">
        <v>24</v>
      </c>
      <c r="C905">
        <v>2433.75</v>
      </c>
      <c r="D905" s="2">
        <v>43742</v>
      </c>
      <c r="E905" t="s">
        <v>25</v>
      </c>
      <c r="F905">
        <v>2433.75</v>
      </c>
      <c r="G905">
        <v>0</v>
      </c>
    </row>
    <row r="906" spans="1:7" x14ac:dyDescent="0.3">
      <c r="A906" s="2">
        <v>43742</v>
      </c>
      <c r="B906" t="s">
        <v>24</v>
      </c>
      <c r="C906">
        <v>-1300</v>
      </c>
      <c r="D906" s="2">
        <v>43742</v>
      </c>
      <c r="E906" t="s">
        <v>27</v>
      </c>
      <c r="F906">
        <v>-1300</v>
      </c>
      <c r="G906">
        <v>0</v>
      </c>
    </row>
    <row r="907" spans="1:7" x14ac:dyDescent="0.3">
      <c r="A907" s="2">
        <v>43745</v>
      </c>
      <c r="B907" t="s">
        <v>24</v>
      </c>
      <c r="C907">
        <v>662.5</v>
      </c>
      <c r="D907" s="2">
        <v>43745</v>
      </c>
      <c r="E907" t="s">
        <v>25</v>
      </c>
      <c r="F907">
        <v>662.5</v>
      </c>
      <c r="G907">
        <v>0</v>
      </c>
    </row>
    <row r="908" spans="1:7" x14ac:dyDescent="0.3">
      <c r="A908" s="2">
        <v>43745</v>
      </c>
      <c r="B908" t="s">
        <v>24</v>
      </c>
      <c r="C908">
        <v>675</v>
      </c>
      <c r="D908" s="2">
        <v>43745</v>
      </c>
      <c r="E908" t="s">
        <v>25</v>
      </c>
      <c r="F908">
        <v>675</v>
      </c>
      <c r="G908">
        <v>0</v>
      </c>
    </row>
    <row r="909" spans="1:7" x14ac:dyDescent="0.3">
      <c r="A909" s="2">
        <v>43745</v>
      </c>
      <c r="B909" t="s">
        <v>24</v>
      </c>
      <c r="C909">
        <v>-100</v>
      </c>
      <c r="D909" s="2">
        <v>43745</v>
      </c>
      <c r="E909" t="s">
        <v>27</v>
      </c>
      <c r="F909">
        <v>-100</v>
      </c>
      <c r="G909">
        <v>0</v>
      </c>
    </row>
    <row r="910" spans="1:7" x14ac:dyDescent="0.3">
      <c r="A910" s="2">
        <v>43746</v>
      </c>
      <c r="B910" t="s">
        <v>434</v>
      </c>
      <c r="C910">
        <v>-15.52</v>
      </c>
      <c r="D910" s="2">
        <v>43746</v>
      </c>
      <c r="E910" t="s">
        <v>27</v>
      </c>
      <c r="F910">
        <v>-15.52</v>
      </c>
      <c r="G910">
        <v>0</v>
      </c>
    </row>
    <row r="911" spans="1:7" x14ac:dyDescent="0.3">
      <c r="A911" s="2">
        <v>43747</v>
      </c>
      <c r="B911" t="s">
        <v>435</v>
      </c>
      <c r="C911">
        <v>-15.1</v>
      </c>
      <c r="D911" s="2">
        <v>43747</v>
      </c>
      <c r="E911" t="s">
        <v>27</v>
      </c>
      <c r="F911">
        <v>-15.1</v>
      </c>
      <c r="G911">
        <v>0</v>
      </c>
    </row>
    <row r="912" spans="1:7" x14ac:dyDescent="0.3">
      <c r="A912" s="2">
        <v>43747</v>
      </c>
      <c r="B912" t="s">
        <v>436</v>
      </c>
      <c r="C912">
        <v>-69.510000000000005</v>
      </c>
      <c r="D912" s="2">
        <v>43747</v>
      </c>
      <c r="E912" t="s">
        <v>27</v>
      </c>
      <c r="F912">
        <v>-69.510000000000005</v>
      </c>
      <c r="G912">
        <v>0</v>
      </c>
    </row>
    <row r="913" spans="1:7" x14ac:dyDescent="0.3">
      <c r="A913" s="2">
        <v>43747</v>
      </c>
      <c r="B913" t="s">
        <v>24</v>
      </c>
      <c r="C913">
        <v>206.25</v>
      </c>
      <c r="D913" s="2">
        <v>43747</v>
      </c>
      <c r="E913" t="s">
        <v>25</v>
      </c>
      <c r="F913">
        <v>206.25</v>
      </c>
      <c r="G913">
        <v>0</v>
      </c>
    </row>
    <row r="914" spans="1:7" x14ac:dyDescent="0.3">
      <c r="A914" s="2">
        <v>43748</v>
      </c>
      <c r="B914" t="s">
        <v>119</v>
      </c>
      <c r="C914">
        <v>-9.99</v>
      </c>
      <c r="D914" s="2">
        <v>43748</v>
      </c>
      <c r="E914" t="s">
        <v>27</v>
      </c>
      <c r="F914">
        <v>-9.99</v>
      </c>
      <c r="G914">
        <v>0</v>
      </c>
    </row>
    <row r="915" spans="1:7" x14ac:dyDescent="0.3">
      <c r="A915" s="2">
        <v>43748</v>
      </c>
      <c r="B915" t="s">
        <v>24</v>
      </c>
      <c r="C915">
        <v>400</v>
      </c>
      <c r="D915" s="2">
        <v>43748</v>
      </c>
      <c r="E915" t="s">
        <v>25</v>
      </c>
      <c r="F915">
        <v>400</v>
      </c>
      <c r="G915">
        <v>0</v>
      </c>
    </row>
    <row r="916" spans="1:7" x14ac:dyDescent="0.3">
      <c r="A916" s="2">
        <v>43749</v>
      </c>
      <c r="B916" t="s">
        <v>437</v>
      </c>
      <c r="C916">
        <v>-3.66</v>
      </c>
      <c r="D916" s="2">
        <v>43749</v>
      </c>
      <c r="E916" t="s">
        <v>27</v>
      </c>
      <c r="F916">
        <v>-3.66</v>
      </c>
      <c r="G916">
        <v>0</v>
      </c>
    </row>
    <row r="917" spans="1:7" x14ac:dyDescent="0.3">
      <c r="A917" s="2">
        <v>43749</v>
      </c>
      <c r="B917" t="s">
        <v>24</v>
      </c>
      <c r="C917">
        <v>315</v>
      </c>
      <c r="D917" s="2">
        <v>43749</v>
      </c>
      <c r="E917" t="s">
        <v>25</v>
      </c>
      <c r="F917">
        <v>315</v>
      </c>
      <c r="G917">
        <v>0</v>
      </c>
    </row>
    <row r="918" spans="1:7" x14ac:dyDescent="0.3">
      <c r="A918" s="2">
        <v>43749</v>
      </c>
      <c r="B918" t="s">
        <v>437</v>
      </c>
      <c r="C918">
        <v>-11.4</v>
      </c>
      <c r="D918" s="2">
        <v>43749</v>
      </c>
      <c r="E918" t="s">
        <v>27</v>
      </c>
      <c r="F918">
        <v>-11.4</v>
      </c>
      <c r="G918">
        <v>0</v>
      </c>
    </row>
    <row r="919" spans="1:7" x14ac:dyDescent="0.3">
      <c r="A919" s="2">
        <v>43749</v>
      </c>
      <c r="B919" t="s">
        <v>437</v>
      </c>
      <c r="C919">
        <v>-11.4</v>
      </c>
      <c r="D919" s="2">
        <v>43749</v>
      </c>
      <c r="E919" t="s">
        <v>27</v>
      </c>
      <c r="F919">
        <v>-11.4</v>
      </c>
      <c r="G919">
        <v>0</v>
      </c>
    </row>
    <row r="920" spans="1:7" x14ac:dyDescent="0.3">
      <c r="A920" s="2">
        <v>43749</v>
      </c>
      <c r="B920" t="s">
        <v>437</v>
      </c>
      <c r="C920">
        <v>-11.4</v>
      </c>
      <c r="D920" s="2">
        <v>43749</v>
      </c>
      <c r="E920" t="s">
        <v>27</v>
      </c>
      <c r="F920">
        <v>-11.4</v>
      </c>
      <c r="G920">
        <v>0</v>
      </c>
    </row>
    <row r="921" spans="1:7" x14ac:dyDescent="0.3">
      <c r="A921" s="2">
        <v>43749</v>
      </c>
      <c r="B921" t="s">
        <v>437</v>
      </c>
      <c r="C921">
        <v>-2.2000000000000002</v>
      </c>
      <c r="D921" s="2">
        <v>43749</v>
      </c>
      <c r="E921" t="s">
        <v>27</v>
      </c>
      <c r="F921">
        <v>-2.2000000000000002</v>
      </c>
      <c r="G921">
        <v>0</v>
      </c>
    </row>
    <row r="922" spans="1:7" x14ac:dyDescent="0.3">
      <c r="A922" s="2">
        <v>43753</v>
      </c>
      <c r="B922" t="s">
        <v>121</v>
      </c>
      <c r="C922">
        <v>-89.85</v>
      </c>
      <c r="D922" s="2">
        <v>43753</v>
      </c>
      <c r="E922" t="s">
        <v>27</v>
      </c>
      <c r="F922">
        <v>-89.85</v>
      </c>
      <c r="G922">
        <v>0</v>
      </c>
    </row>
    <row r="923" spans="1:7" x14ac:dyDescent="0.3">
      <c r="A923" s="2">
        <v>43753</v>
      </c>
      <c r="B923" t="s">
        <v>123</v>
      </c>
      <c r="C923">
        <v>-17.989999999999998</v>
      </c>
      <c r="D923" s="2">
        <v>43753</v>
      </c>
      <c r="E923" t="s">
        <v>27</v>
      </c>
      <c r="F923">
        <v>-17.989999999999998</v>
      </c>
      <c r="G923">
        <v>0</v>
      </c>
    </row>
    <row r="924" spans="1:7" x14ac:dyDescent="0.3">
      <c r="A924" s="2">
        <v>43753</v>
      </c>
      <c r="B924" t="s">
        <v>124</v>
      </c>
      <c r="C924">
        <v>-14.4</v>
      </c>
      <c r="D924" s="2">
        <v>43753</v>
      </c>
      <c r="E924" t="s">
        <v>27</v>
      </c>
      <c r="F924">
        <v>-14.4</v>
      </c>
      <c r="G924">
        <v>0</v>
      </c>
    </row>
    <row r="925" spans="1:7" x14ac:dyDescent="0.3">
      <c r="A925" s="2">
        <v>43753</v>
      </c>
      <c r="B925" t="s">
        <v>24</v>
      </c>
      <c r="C925">
        <v>206.25</v>
      </c>
      <c r="D925" s="2">
        <v>43753</v>
      </c>
      <c r="E925" t="s">
        <v>25</v>
      </c>
      <c r="F925">
        <v>206.25</v>
      </c>
      <c r="G925">
        <v>0</v>
      </c>
    </row>
    <row r="926" spans="1:7" x14ac:dyDescent="0.3">
      <c r="A926" s="2">
        <v>43754</v>
      </c>
      <c r="B926" t="s">
        <v>438</v>
      </c>
      <c r="C926">
        <v>-21.99</v>
      </c>
      <c r="D926" s="2">
        <v>43754</v>
      </c>
      <c r="E926" t="s">
        <v>27</v>
      </c>
      <c r="F926">
        <v>-21.99</v>
      </c>
      <c r="G926">
        <v>0</v>
      </c>
    </row>
    <row r="927" spans="1:7" x14ac:dyDescent="0.3">
      <c r="A927" s="2">
        <v>43754</v>
      </c>
      <c r="B927" t="s">
        <v>126</v>
      </c>
      <c r="C927">
        <v>-37</v>
      </c>
      <c r="D927" s="2">
        <v>43754</v>
      </c>
      <c r="E927" t="s">
        <v>27</v>
      </c>
      <c r="F927">
        <v>-37</v>
      </c>
      <c r="G927">
        <v>0</v>
      </c>
    </row>
    <row r="928" spans="1:7" x14ac:dyDescent="0.3">
      <c r="A928" s="2">
        <v>43754</v>
      </c>
      <c r="B928" t="s">
        <v>24</v>
      </c>
      <c r="C928">
        <v>750</v>
      </c>
      <c r="D928" s="2">
        <v>43754</v>
      </c>
      <c r="E928" t="s">
        <v>25</v>
      </c>
      <c r="F928">
        <v>750</v>
      </c>
      <c r="G928">
        <v>0</v>
      </c>
    </row>
    <row r="929" spans="1:7" x14ac:dyDescent="0.3">
      <c r="A929" s="2">
        <v>43755</v>
      </c>
      <c r="B929" t="s">
        <v>24</v>
      </c>
      <c r="C929">
        <v>450</v>
      </c>
      <c r="D929" s="2">
        <v>43755</v>
      </c>
      <c r="E929" t="s">
        <v>25</v>
      </c>
      <c r="F929">
        <v>450</v>
      </c>
      <c r="G929">
        <v>0</v>
      </c>
    </row>
    <row r="930" spans="1:7" x14ac:dyDescent="0.3">
      <c r="A930" s="2">
        <v>43756</v>
      </c>
      <c r="B930" t="s">
        <v>439</v>
      </c>
      <c r="C930">
        <v>-8760.36</v>
      </c>
      <c r="D930" s="2">
        <v>43756</v>
      </c>
      <c r="E930" t="s">
        <v>27</v>
      </c>
      <c r="F930">
        <v>-8760.36</v>
      </c>
      <c r="G930">
        <v>0</v>
      </c>
    </row>
    <row r="931" spans="1:7" x14ac:dyDescent="0.3">
      <c r="A931" s="2">
        <v>43759</v>
      </c>
      <c r="B931" t="s">
        <v>24</v>
      </c>
      <c r="C931">
        <v>500</v>
      </c>
      <c r="D931" s="2">
        <v>43759</v>
      </c>
      <c r="E931" t="s">
        <v>25</v>
      </c>
      <c r="F931">
        <v>500</v>
      </c>
      <c r="G931">
        <v>0</v>
      </c>
    </row>
    <row r="932" spans="1:7" x14ac:dyDescent="0.3">
      <c r="A932" s="2">
        <v>43761</v>
      </c>
      <c r="B932" t="s">
        <v>440</v>
      </c>
      <c r="C932">
        <v>-9.3000000000000007</v>
      </c>
      <c r="D932" s="2">
        <v>43761</v>
      </c>
      <c r="E932" t="s">
        <v>27</v>
      </c>
      <c r="F932">
        <v>-9.3000000000000007</v>
      </c>
      <c r="G932">
        <v>0</v>
      </c>
    </row>
    <row r="933" spans="1:7" x14ac:dyDescent="0.3">
      <c r="A933" s="2">
        <v>43761</v>
      </c>
      <c r="B933" t="s">
        <v>441</v>
      </c>
      <c r="C933">
        <v>-25.4</v>
      </c>
      <c r="D933" s="2">
        <v>43761</v>
      </c>
      <c r="E933" t="s">
        <v>27</v>
      </c>
      <c r="F933">
        <v>-25.4</v>
      </c>
      <c r="G933">
        <v>0</v>
      </c>
    </row>
    <row r="934" spans="1:7" x14ac:dyDescent="0.3">
      <c r="A934" s="2">
        <v>43761</v>
      </c>
      <c r="B934" t="s">
        <v>440</v>
      </c>
      <c r="C934">
        <v>-8.1999999999999993</v>
      </c>
      <c r="D934" s="2">
        <v>43761</v>
      </c>
      <c r="E934" t="s">
        <v>27</v>
      </c>
      <c r="F934">
        <v>-8.1999999999999993</v>
      </c>
      <c r="G934">
        <v>0</v>
      </c>
    </row>
    <row r="935" spans="1:7" x14ac:dyDescent="0.3">
      <c r="A935" s="2">
        <v>43761</v>
      </c>
      <c r="B935" t="s">
        <v>440</v>
      </c>
      <c r="C935">
        <v>-8</v>
      </c>
      <c r="D935" s="2">
        <v>43761</v>
      </c>
      <c r="E935" t="s">
        <v>27</v>
      </c>
      <c r="F935">
        <v>-8</v>
      </c>
      <c r="G935">
        <v>0</v>
      </c>
    </row>
    <row r="936" spans="1:7" x14ac:dyDescent="0.3">
      <c r="A936" s="2">
        <v>43761</v>
      </c>
      <c r="B936" t="s">
        <v>440</v>
      </c>
      <c r="C936">
        <v>-7.35</v>
      </c>
      <c r="D936" s="2">
        <v>43761</v>
      </c>
      <c r="E936" t="s">
        <v>27</v>
      </c>
      <c r="F936">
        <v>-7.35</v>
      </c>
      <c r="G936">
        <v>0</v>
      </c>
    </row>
    <row r="937" spans="1:7" x14ac:dyDescent="0.3">
      <c r="A937" s="2">
        <v>43761</v>
      </c>
      <c r="B937" t="s">
        <v>440</v>
      </c>
      <c r="C937">
        <v>-8.1999999999999993</v>
      </c>
      <c r="D937" s="2">
        <v>43761</v>
      </c>
      <c r="E937" t="s">
        <v>27</v>
      </c>
      <c r="F937">
        <v>-8.1999999999999993</v>
      </c>
      <c r="G937">
        <v>0</v>
      </c>
    </row>
    <row r="938" spans="1:7" x14ac:dyDescent="0.3">
      <c r="A938" s="2">
        <v>43762</v>
      </c>
      <c r="B938" t="s">
        <v>24</v>
      </c>
      <c r="C938">
        <v>948.75</v>
      </c>
      <c r="D938" s="2">
        <v>43762</v>
      </c>
      <c r="E938" t="s">
        <v>25</v>
      </c>
      <c r="F938">
        <v>948.75</v>
      </c>
      <c r="G938">
        <v>0</v>
      </c>
    </row>
    <row r="939" spans="1:7" x14ac:dyDescent="0.3">
      <c r="A939" s="2">
        <v>43763</v>
      </c>
      <c r="B939" t="s">
        <v>442</v>
      </c>
      <c r="C939">
        <v>-192.09</v>
      </c>
      <c r="D939" s="2">
        <v>43763</v>
      </c>
      <c r="E939" t="s">
        <v>27</v>
      </c>
      <c r="F939">
        <v>-192.09</v>
      </c>
      <c r="G939">
        <v>0</v>
      </c>
    </row>
    <row r="940" spans="1:7" x14ac:dyDescent="0.3">
      <c r="A940" s="2">
        <v>43763</v>
      </c>
      <c r="B940" t="s">
        <v>443</v>
      </c>
      <c r="C940">
        <v>-3750</v>
      </c>
      <c r="D940" s="2">
        <v>43763</v>
      </c>
      <c r="E940" t="s">
        <v>27</v>
      </c>
      <c r="F940">
        <v>-3750</v>
      </c>
      <c r="G940">
        <v>0</v>
      </c>
    </row>
    <row r="941" spans="1:7" x14ac:dyDescent="0.3">
      <c r="A941" s="2">
        <v>43763</v>
      </c>
      <c r="B941" t="s">
        <v>24</v>
      </c>
      <c r="C941">
        <v>412.5</v>
      </c>
      <c r="D941" s="2">
        <v>43763</v>
      </c>
      <c r="E941" t="s">
        <v>25</v>
      </c>
      <c r="F941">
        <v>412.5</v>
      </c>
      <c r="G941">
        <v>0</v>
      </c>
    </row>
    <row r="942" spans="1:7" x14ac:dyDescent="0.3">
      <c r="A942" s="2">
        <v>43766</v>
      </c>
      <c r="B942" t="s">
        <v>130</v>
      </c>
      <c r="C942">
        <v>-54.99</v>
      </c>
      <c r="D942" s="2">
        <v>43766</v>
      </c>
      <c r="E942" t="s">
        <v>27</v>
      </c>
      <c r="F942">
        <v>-54.99</v>
      </c>
      <c r="G942">
        <v>0</v>
      </c>
    </row>
    <row r="943" spans="1:7" x14ac:dyDescent="0.3">
      <c r="A943" s="2">
        <v>43766</v>
      </c>
      <c r="B943" t="s">
        <v>24</v>
      </c>
      <c r="C943">
        <v>250</v>
      </c>
      <c r="D943" s="2">
        <v>43766</v>
      </c>
      <c r="E943" t="s">
        <v>25</v>
      </c>
      <c r="F943">
        <v>250</v>
      </c>
      <c r="G943">
        <v>0</v>
      </c>
    </row>
    <row r="944" spans="1:7" x14ac:dyDescent="0.3">
      <c r="A944" s="2">
        <v>43766</v>
      </c>
      <c r="B944" t="s">
        <v>24</v>
      </c>
      <c r="C944">
        <v>581.25</v>
      </c>
      <c r="D944" s="2">
        <v>43766</v>
      </c>
      <c r="E944" t="s">
        <v>25</v>
      </c>
      <c r="F944">
        <v>581.25</v>
      </c>
      <c r="G944">
        <v>0</v>
      </c>
    </row>
    <row r="945" spans="1:7" x14ac:dyDescent="0.3">
      <c r="A945" s="2">
        <v>43766</v>
      </c>
      <c r="B945" t="s">
        <v>444</v>
      </c>
      <c r="C945">
        <v>-6995</v>
      </c>
      <c r="D945" s="2">
        <v>43766</v>
      </c>
      <c r="E945" t="s">
        <v>27</v>
      </c>
      <c r="F945">
        <v>-6995</v>
      </c>
      <c r="G945">
        <v>0</v>
      </c>
    </row>
    <row r="946" spans="1:7" x14ac:dyDescent="0.3">
      <c r="A946" s="2">
        <v>43766</v>
      </c>
      <c r="B946" t="s">
        <v>132</v>
      </c>
      <c r="C946">
        <v>-91.46</v>
      </c>
      <c r="D946" s="2">
        <v>43766</v>
      </c>
      <c r="E946" t="s">
        <v>27</v>
      </c>
      <c r="F946">
        <v>-91.46</v>
      </c>
      <c r="G946">
        <v>0</v>
      </c>
    </row>
    <row r="947" spans="1:7" x14ac:dyDescent="0.3">
      <c r="A947" s="2">
        <v>43767</v>
      </c>
      <c r="B947" t="s">
        <v>31</v>
      </c>
      <c r="C947">
        <v>1700</v>
      </c>
      <c r="D947" s="2">
        <v>43767</v>
      </c>
      <c r="E947" t="s">
        <v>25</v>
      </c>
      <c r="F947">
        <v>1700</v>
      </c>
      <c r="G947">
        <v>0</v>
      </c>
    </row>
    <row r="948" spans="1:7" x14ac:dyDescent="0.3">
      <c r="A948" s="2">
        <v>43767</v>
      </c>
      <c r="B948" t="s">
        <v>31</v>
      </c>
      <c r="C948">
        <v>4000</v>
      </c>
      <c r="D948" s="2">
        <v>43767</v>
      </c>
      <c r="E948" t="s">
        <v>25</v>
      </c>
      <c r="F948">
        <v>4000</v>
      </c>
      <c r="G948">
        <v>0</v>
      </c>
    </row>
    <row r="949" spans="1:7" x14ac:dyDescent="0.3">
      <c r="A949" s="2">
        <v>43767</v>
      </c>
      <c r="B949" t="s">
        <v>133</v>
      </c>
      <c r="C949">
        <v>-39.99</v>
      </c>
      <c r="D949" s="2">
        <v>43767</v>
      </c>
      <c r="E949" t="s">
        <v>27</v>
      </c>
      <c r="F949">
        <v>-39.99</v>
      </c>
      <c r="G949">
        <v>0</v>
      </c>
    </row>
    <row r="950" spans="1:7" x14ac:dyDescent="0.3">
      <c r="A950" s="2">
        <v>43767</v>
      </c>
      <c r="B950" t="s">
        <v>445</v>
      </c>
      <c r="C950">
        <v>-20.16</v>
      </c>
      <c r="D950" s="2">
        <v>43767</v>
      </c>
      <c r="E950" t="s">
        <v>27</v>
      </c>
      <c r="F950">
        <v>-20.16</v>
      </c>
      <c r="G950">
        <v>0</v>
      </c>
    </row>
    <row r="951" spans="1:7" x14ac:dyDescent="0.3">
      <c r="A951" s="2">
        <v>43767</v>
      </c>
      <c r="B951" t="s">
        <v>446</v>
      </c>
      <c r="C951">
        <v>-18.95</v>
      </c>
      <c r="D951" s="2">
        <v>43767</v>
      </c>
      <c r="E951" t="s">
        <v>27</v>
      </c>
      <c r="F951">
        <v>-18.95</v>
      </c>
      <c r="G951">
        <v>0</v>
      </c>
    </row>
    <row r="952" spans="1:7" x14ac:dyDescent="0.3">
      <c r="A952" s="2">
        <v>43767</v>
      </c>
      <c r="B952" t="s">
        <v>131</v>
      </c>
      <c r="C952">
        <v>-70.77</v>
      </c>
      <c r="D952" s="2">
        <v>43767</v>
      </c>
      <c r="E952" t="s">
        <v>27</v>
      </c>
      <c r="F952">
        <v>-70.77</v>
      </c>
      <c r="G952">
        <v>0</v>
      </c>
    </row>
    <row r="953" spans="1:7" x14ac:dyDescent="0.3">
      <c r="A953" s="2">
        <v>43768</v>
      </c>
      <c r="B953" t="s">
        <v>24</v>
      </c>
      <c r="C953">
        <v>206.25</v>
      </c>
      <c r="D953" s="2">
        <v>43766</v>
      </c>
      <c r="E953" t="s">
        <v>25</v>
      </c>
      <c r="F953">
        <v>206.25</v>
      </c>
      <c r="G953">
        <v>0</v>
      </c>
    </row>
    <row r="954" spans="1:7" x14ac:dyDescent="0.3">
      <c r="A954" s="2">
        <v>43769</v>
      </c>
      <c r="B954" t="s">
        <v>24</v>
      </c>
      <c r="C954">
        <v>165</v>
      </c>
      <c r="D954" s="2">
        <v>43769</v>
      </c>
      <c r="E954" t="s">
        <v>25</v>
      </c>
      <c r="F954">
        <v>165</v>
      </c>
      <c r="G954">
        <v>0</v>
      </c>
    </row>
    <row r="955" spans="1:7" x14ac:dyDescent="0.3">
      <c r="A955" s="2">
        <v>43770</v>
      </c>
      <c r="B955" t="s">
        <v>24</v>
      </c>
      <c r="C955">
        <v>375</v>
      </c>
      <c r="D955" s="2">
        <v>43770</v>
      </c>
      <c r="E955" t="s">
        <v>25</v>
      </c>
      <c r="F955">
        <v>375</v>
      </c>
      <c r="G955">
        <v>0</v>
      </c>
    </row>
    <row r="956" spans="1:7" x14ac:dyDescent="0.3">
      <c r="A956" s="2">
        <v>43773</v>
      </c>
      <c r="B956" t="s">
        <v>53</v>
      </c>
      <c r="C956">
        <v>-1147.1300000000001</v>
      </c>
      <c r="D956" s="2">
        <v>43773</v>
      </c>
      <c r="E956" t="s">
        <v>27</v>
      </c>
      <c r="F956">
        <v>-1147.1300000000001</v>
      </c>
      <c r="G956">
        <v>0</v>
      </c>
    </row>
    <row r="957" spans="1:7" x14ac:dyDescent="0.3">
      <c r="A957" s="2">
        <v>43773</v>
      </c>
      <c r="B957" t="s">
        <v>24</v>
      </c>
      <c r="C957">
        <v>540</v>
      </c>
      <c r="D957" s="2">
        <v>43776</v>
      </c>
      <c r="E957" t="s">
        <v>25</v>
      </c>
      <c r="F957">
        <v>540</v>
      </c>
      <c r="G957">
        <v>0</v>
      </c>
    </row>
    <row r="958" spans="1:7" x14ac:dyDescent="0.3">
      <c r="A958" s="2">
        <v>43773</v>
      </c>
      <c r="B958" t="s">
        <v>24</v>
      </c>
      <c r="C958">
        <v>206.25</v>
      </c>
      <c r="D958" s="2">
        <v>43775</v>
      </c>
      <c r="E958" t="s">
        <v>25</v>
      </c>
      <c r="F958">
        <v>206.25</v>
      </c>
      <c r="G958">
        <v>0</v>
      </c>
    </row>
    <row r="959" spans="1:7" x14ac:dyDescent="0.3">
      <c r="A959" s="2">
        <v>43773</v>
      </c>
      <c r="B959" t="s">
        <v>137</v>
      </c>
      <c r="C959">
        <v>-55</v>
      </c>
      <c r="D959" s="2">
        <v>43773</v>
      </c>
      <c r="E959" t="s">
        <v>27</v>
      </c>
      <c r="F959">
        <v>-55</v>
      </c>
      <c r="G959">
        <v>0</v>
      </c>
    </row>
    <row r="960" spans="1:7" x14ac:dyDescent="0.3">
      <c r="A960" s="2">
        <v>43774</v>
      </c>
      <c r="B960" t="s">
        <v>138</v>
      </c>
      <c r="C960">
        <v>-34.950000000000003</v>
      </c>
      <c r="D960" s="2">
        <v>43774</v>
      </c>
      <c r="E960" t="s">
        <v>27</v>
      </c>
      <c r="F960">
        <v>-34.950000000000003</v>
      </c>
      <c r="G960">
        <v>0</v>
      </c>
    </row>
    <row r="961" spans="1:7" x14ac:dyDescent="0.3">
      <c r="A961" s="2">
        <v>43775</v>
      </c>
      <c r="B961" t="s">
        <v>24</v>
      </c>
      <c r="C961">
        <v>206.25</v>
      </c>
      <c r="D961" s="2">
        <v>43776</v>
      </c>
      <c r="E961" t="s">
        <v>25</v>
      </c>
      <c r="F961">
        <v>206.25</v>
      </c>
      <c r="G961">
        <v>0</v>
      </c>
    </row>
    <row r="962" spans="1:7" x14ac:dyDescent="0.3">
      <c r="A962" s="2">
        <v>43776</v>
      </c>
      <c r="B962" t="s">
        <v>24</v>
      </c>
      <c r="C962">
        <v>412.5</v>
      </c>
      <c r="D962" s="2">
        <v>43776</v>
      </c>
      <c r="E962" t="s">
        <v>25</v>
      </c>
      <c r="F962">
        <v>412.5</v>
      </c>
      <c r="G962">
        <v>0</v>
      </c>
    </row>
    <row r="963" spans="1:7" x14ac:dyDescent="0.3">
      <c r="A963" s="2">
        <v>43776</v>
      </c>
      <c r="B963" t="s">
        <v>447</v>
      </c>
      <c r="C963">
        <v>-30.6</v>
      </c>
      <c r="D963" s="2">
        <v>43776</v>
      </c>
      <c r="E963" t="s">
        <v>27</v>
      </c>
      <c r="F963">
        <v>-30.6</v>
      </c>
      <c r="G963">
        <v>0</v>
      </c>
    </row>
    <row r="964" spans="1:7" x14ac:dyDescent="0.3">
      <c r="A964" s="2">
        <v>43777</v>
      </c>
      <c r="B964" t="s">
        <v>24</v>
      </c>
      <c r="C964">
        <v>4200</v>
      </c>
      <c r="D964" s="2">
        <v>43777</v>
      </c>
      <c r="E964" t="s">
        <v>25</v>
      </c>
      <c r="F964">
        <v>4200</v>
      </c>
      <c r="G964">
        <v>0</v>
      </c>
    </row>
    <row r="965" spans="1:7" x14ac:dyDescent="0.3">
      <c r="A965" s="2">
        <v>43781</v>
      </c>
      <c r="B965" t="s">
        <v>448</v>
      </c>
      <c r="C965">
        <v>-9.99</v>
      </c>
      <c r="D965" s="2">
        <v>43781</v>
      </c>
      <c r="E965" t="s">
        <v>27</v>
      </c>
      <c r="F965">
        <v>-9.99</v>
      </c>
      <c r="G965">
        <v>0</v>
      </c>
    </row>
    <row r="966" spans="1:7" x14ac:dyDescent="0.3">
      <c r="A966" s="2">
        <v>43781</v>
      </c>
      <c r="B966" t="s">
        <v>449</v>
      </c>
      <c r="C966">
        <v>-24.1</v>
      </c>
      <c r="D966" s="2">
        <v>43781</v>
      </c>
      <c r="E966" t="s">
        <v>27</v>
      </c>
      <c r="F966">
        <v>-24.1</v>
      </c>
      <c r="G966">
        <v>0</v>
      </c>
    </row>
    <row r="967" spans="1:7" x14ac:dyDescent="0.3">
      <c r="A967" s="2">
        <v>43781</v>
      </c>
      <c r="B967" t="s">
        <v>450</v>
      </c>
      <c r="C967">
        <v>-23.42</v>
      </c>
      <c r="D967" s="2">
        <v>43781</v>
      </c>
      <c r="E967" t="s">
        <v>27</v>
      </c>
      <c r="F967">
        <v>-23.42</v>
      </c>
      <c r="G967">
        <v>0</v>
      </c>
    </row>
    <row r="968" spans="1:7" x14ac:dyDescent="0.3">
      <c r="A968" s="2">
        <v>43781</v>
      </c>
      <c r="B968" t="s">
        <v>24</v>
      </c>
      <c r="C968">
        <v>165</v>
      </c>
      <c r="D968" s="2">
        <v>43781</v>
      </c>
      <c r="E968" t="s">
        <v>25</v>
      </c>
      <c r="F968">
        <v>165</v>
      </c>
      <c r="G968">
        <v>0</v>
      </c>
    </row>
    <row r="969" spans="1:7" x14ac:dyDescent="0.3">
      <c r="A969" s="2">
        <v>43781</v>
      </c>
      <c r="B969" t="s">
        <v>24</v>
      </c>
      <c r="C969">
        <v>1500</v>
      </c>
      <c r="D969" s="2">
        <v>43781</v>
      </c>
      <c r="E969" t="s">
        <v>25</v>
      </c>
      <c r="F969">
        <v>1500</v>
      </c>
      <c r="G969">
        <v>0</v>
      </c>
    </row>
    <row r="970" spans="1:7" x14ac:dyDescent="0.3">
      <c r="A970" s="2">
        <v>43782</v>
      </c>
      <c r="B970" t="s">
        <v>142</v>
      </c>
      <c r="C970">
        <v>-17.989999999999998</v>
      </c>
      <c r="D970" s="2">
        <v>43782</v>
      </c>
      <c r="E970" t="s">
        <v>27</v>
      </c>
      <c r="F970">
        <v>-17.989999999999998</v>
      </c>
      <c r="G970">
        <v>0</v>
      </c>
    </row>
    <row r="971" spans="1:7" x14ac:dyDescent="0.3">
      <c r="A971" s="2">
        <v>43782</v>
      </c>
      <c r="B971" t="s">
        <v>24</v>
      </c>
      <c r="C971">
        <v>1500</v>
      </c>
      <c r="D971" s="2">
        <v>43782</v>
      </c>
      <c r="E971" t="s">
        <v>25</v>
      </c>
      <c r="F971">
        <v>1500</v>
      </c>
      <c r="G971">
        <v>0</v>
      </c>
    </row>
    <row r="972" spans="1:7" x14ac:dyDescent="0.3">
      <c r="A972" s="2">
        <v>43783</v>
      </c>
      <c r="B972" t="s">
        <v>144</v>
      </c>
      <c r="C972">
        <v>-14.4</v>
      </c>
      <c r="D972" s="2">
        <v>43783</v>
      </c>
      <c r="E972" t="s">
        <v>27</v>
      </c>
      <c r="F972">
        <v>-14.4</v>
      </c>
      <c r="G972">
        <v>0</v>
      </c>
    </row>
    <row r="973" spans="1:7" x14ac:dyDescent="0.3">
      <c r="A973" s="2">
        <v>43783</v>
      </c>
      <c r="B973" t="s">
        <v>24</v>
      </c>
      <c r="C973">
        <v>165</v>
      </c>
      <c r="D973" s="2">
        <v>43783</v>
      </c>
      <c r="E973" t="s">
        <v>25</v>
      </c>
      <c r="F973">
        <v>165</v>
      </c>
      <c r="G973">
        <v>0</v>
      </c>
    </row>
    <row r="974" spans="1:7" x14ac:dyDescent="0.3">
      <c r="A974" s="2">
        <v>43783</v>
      </c>
      <c r="B974" t="s">
        <v>143</v>
      </c>
      <c r="C974">
        <v>-89.85</v>
      </c>
      <c r="D974" s="2">
        <v>43783</v>
      </c>
      <c r="E974" t="s">
        <v>27</v>
      </c>
      <c r="F974">
        <v>-89.85</v>
      </c>
      <c r="G974">
        <v>0</v>
      </c>
    </row>
    <row r="975" spans="1:7" x14ac:dyDescent="0.3">
      <c r="A975" s="2">
        <v>43784</v>
      </c>
      <c r="B975" t="s">
        <v>24</v>
      </c>
      <c r="C975">
        <v>536.25</v>
      </c>
      <c r="D975" s="2">
        <v>43784</v>
      </c>
      <c r="E975" t="s">
        <v>25</v>
      </c>
      <c r="F975">
        <v>536.25</v>
      </c>
      <c r="G975">
        <v>0</v>
      </c>
    </row>
    <row r="976" spans="1:7" x14ac:dyDescent="0.3">
      <c r="A976" s="2">
        <v>43784</v>
      </c>
      <c r="B976" t="s">
        <v>451</v>
      </c>
      <c r="C976">
        <v>-57.4</v>
      </c>
      <c r="D976" s="2">
        <v>43784</v>
      </c>
      <c r="E976" t="s">
        <v>27</v>
      </c>
      <c r="F976">
        <v>-57.4</v>
      </c>
      <c r="G976">
        <v>0</v>
      </c>
    </row>
    <row r="977" spans="1:7" x14ac:dyDescent="0.3">
      <c r="A977" s="2">
        <v>43784</v>
      </c>
      <c r="B977" t="s">
        <v>451</v>
      </c>
      <c r="C977">
        <v>-39.5</v>
      </c>
      <c r="D977" s="2">
        <v>43784</v>
      </c>
      <c r="E977" t="s">
        <v>27</v>
      </c>
      <c r="F977">
        <v>-39.5</v>
      </c>
      <c r="G977">
        <v>0</v>
      </c>
    </row>
    <row r="978" spans="1:7" x14ac:dyDescent="0.3">
      <c r="A978" s="2">
        <v>43784</v>
      </c>
      <c r="B978" t="s">
        <v>451</v>
      </c>
      <c r="C978">
        <v>-44.1</v>
      </c>
      <c r="D978" s="2">
        <v>43784</v>
      </c>
      <c r="E978" t="s">
        <v>27</v>
      </c>
      <c r="F978">
        <v>-44.1</v>
      </c>
      <c r="G978">
        <v>0</v>
      </c>
    </row>
    <row r="979" spans="1:7" x14ac:dyDescent="0.3">
      <c r="A979" s="2">
        <v>43787</v>
      </c>
      <c r="B979" t="s">
        <v>31</v>
      </c>
      <c r="C979">
        <v>2400</v>
      </c>
      <c r="D979" s="2">
        <v>43787</v>
      </c>
      <c r="E979" t="s">
        <v>25</v>
      </c>
      <c r="F979">
        <v>2400</v>
      </c>
      <c r="G979">
        <v>0</v>
      </c>
    </row>
    <row r="980" spans="1:7" x14ac:dyDescent="0.3">
      <c r="A980" s="2">
        <v>43787</v>
      </c>
      <c r="B980" t="s">
        <v>452</v>
      </c>
      <c r="C980">
        <v>-5388.55</v>
      </c>
      <c r="D980" s="2">
        <v>43787</v>
      </c>
      <c r="E980" t="s">
        <v>27</v>
      </c>
      <c r="F980">
        <v>-5388.55</v>
      </c>
      <c r="G980">
        <v>0</v>
      </c>
    </row>
    <row r="981" spans="1:7" x14ac:dyDescent="0.3">
      <c r="A981" s="2">
        <v>43787</v>
      </c>
      <c r="B981" t="s">
        <v>145</v>
      </c>
      <c r="C981">
        <v>-37</v>
      </c>
      <c r="D981" s="2">
        <v>43787</v>
      </c>
      <c r="E981" t="s">
        <v>27</v>
      </c>
      <c r="F981">
        <v>-37</v>
      </c>
      <c r="G981">
        <v>0</v>
      </c>
    </row>
    <row r="982" spans="1:7" x14ac:dyDescent="0.3">
      <c r="A982" s="2">
        <v>43787</v>
      </c>
      <c r="B982" t="s">
        <v>453</v>
      </c>
      <c r="C982">
        <v>-5100</v>
      </c>
      <c r="D982" s="2">
        <v>43787</v>
      </c>
      <c r="E982" t="s">
        <v>27</v>
      </c>
      <c r="F982">
        <v>-5100</v>
      </c>
      <c r="G982">
        <v>0</v>
      </c>
    </row>
    <row r="983" spans="1:7" x14ac:dyDescent="0.3">
      <c r="A983" s="2">
        <v>43788</v>
      </c>
      <c r="B983" t="s">
        <v>24</v>
      </c>
      <c r="C983">
        <v>1291.25</v>
      </c>
      <c r="D983" s="2">
        <v>43788</v>
      </c>
      <c r="E983" t="s">
        <v>25</v>
      </c>
      <c r="F983">
        <v>1291.25</v>
      </c>
      <c r="G983">
        <v>0</v>
      </c>
    </row>
    <row r="984" spans="1:7" x14ac:dyDescent="0.3">
      <c r="A984" s="2">
        <v>43789</v>
      </c>
      <c r="B984" t="s">
        <v>24</v>
      </c>
      <c r="C984">
        <v>34980</v>
      </c>
      <c r="D984" s="2">
        <v>43789</v>
      </c>
      <c r="E984" t="s">
        <v>25</v>
      </c>
      <c r="F984">
        <v>34980</v>
      </c>
      <c r="G984">
        <v>0</v>
      </c>
    </row>
    <row r="985" spans="1:7" x14ac:dyDescent="0.3">
      <c r="A985" s="2">
        <v>43790</v>
      </c>
      <c r="B985" t="s">
        <v>24</v>
      </c>
      <c r="C985">
        <v>8070</v>
      </c>
      <c r="D985" s="2">
        <v>43790</v>
      </c>
      <c r="E985" t="s">
        <v>25</v>
      </c>
      <c r="F985">
        <v>8070</v>
      </c>
      <c r="G985">
        <v>0</v>
      </c>
    </row>
    <row r="986" spans="1:7" x14ac:dyDescent="0.3">
      <c r="A986" s="2">
        <v>43791</v>
      </c>
      <c r="B986" t="s">
        <v>24</v>
      </c>
      <c r="C986">
        <v>3570</v>
      </c>
      <c r="D986" s="2">
        <v>43791</v>
      </c>
      <c r="E986" t="s">
        <v>25</v>
      </c>
      <c r="F986">
        <v>3570</v>
      </c>
      <c r="G986">
        <v>0</v>
      </c>
    </row>
    <row r="987" spans="1:7" x14ac:dyDescent="0.3">
      <c r="A987" s="2">
        <v>43794</v>
      </c>
      <c r="B987" t="s">
        <v>454</v>
      </c>
      <c r="C987">
        <v>-207.5</v>
      </c>
      <c r="D987" s="2">
        <v>43794</v>
      </c>
      <c r="E987" t="s">
        <v>27</v>
      </c>
      <c r="F987">
        <v>-207.5</v>
      </c>
      <c r="G987">
        <v>0</v>
      </c>
    </row>
    <row r="988" spans="1:7" x14ac:dyDescent="0.3">
      <c r="A988" s="2">
        <v>43794</v>
      </c>
      <c r="B988" t="s">
        <v>24</v>
      </c>
      <c r="C988">
        <v>795</v>
      </c>
      <c r="D988" s="2">
        <v>43794</v>
      </c>
      <c r="E988" t="s">
        <v>25</v>
      </c>
      <c r="F988">
        <v>795</v>
      </c>
      <c r="G988">
        <v>0</v>
      </c>
    </row>
    <row r="989" spans="1:7" x14ac:dyDescent="0.3">
      <c r="A989" s="2">
        <v>43794</v>
      </c>
      <c r="B989" t="s">
        <v>31</v>
      </c>
      <c r="C989">
        <v>5000</v>
      </c>
      <c r="D989" s="2">
        <v>43792</v>
      </c>
      <c r="E989" t="s">
        <v>25</v>
      </c>
      <c r="F989">
        <v>5000</v>
      </c>
      <c r="G989">
        <v>0</v>
      </c>
    </row>
    <row r="990" spans="1:7" x14ac:dyDescent="0.3">
      <c r="A990" s="2">
        <v>43794</v>
      </c>
      <c r="B990" t="s">
        <v>24</v>
      </c>
      <c r="C990">
        <v>825</v>
      </c>
      <c r="D990" s="2">
        <v>43794</v>
      </c>
      <c r="E990" t="s">
        <v>25</v>
      </c>
      <c r="F990">
        <v>825</v>
      </c>
      <c r="G990">
        <v>0</v>
      </c>
    </row>
    <row r="991" spans="1:7" x14ac:dyDescent="0.3">
      <c r="A991" s="2">
        <v>43794</v>
      </c>
      <c r="B991" t="s">
        <v>24</v>
      </c>
      <c r="C991">
        <v>1230</v>
      </c>
      <c r="D991" s="2">
        <v>43794</v>
      </c>
      <c r="E991" t="s">
        <v>25</v>
      </c>
      <c r="F991">
        <v>1230</v>
      </c>
      <c r="G991">
        <v>0</v>
      </c>
    </row>
    <row r="992" spans="1:7" x14ac:dyDescent="0.3">
      <c r="A992" s="2">
        <v>43794</v>
      </c>
      <c r="B992" t="s">
        <v>455</v>
      </c>
      <c r="C992">
        <v>-4.25</v>
      </c>
      <c r="D992" s="2">
        <v>43794</v>
      </c>
      <c r="E992" t="s">
        <v>27</v>
      </c>
      <c r="F992">
        <v>-4.25</v>
      </c>
      <c r="G992">
        <v>0</v>
      </c>
    </row>
    <row r="993" spans="1:7" x14ac:dyDescent="0.3">
      <c r="A993" s="2">
        <v>43794</v>
      </c>
      <c r="B993" t="s">
        <v>456</v>
      </c>
      <c r="C993">
        <v>-4.25</v>
      </c>
      <c r="D993" s="2">
        <v>43794</v>
      </c>
      <c r="E993" t="s">
        <v>27</v>
      </c>
      <c r="F993">
        <v>-4.25</v>
      </c>
      <c r="G993">
        <v>0</v>
      </c>
    </row>
    <row r="994" spans="1:7" x14ac:dyDescent="0.3">
      <c r="A994" s="2">
        <v>43794</v>
      </c>
      <c r="B994" t="s">
        <v>457</v>
      </c>
      <c r="C994">
        <v>-29.75</v>
      </c>
      <c r="D994" s="2">
        <v>43794</v>
      </c>
      <c r="E994" t="s">
        <v>27</v>
      </c>
      <c r="F994">
        <v>-29.75</v>
      </c>
      <c r="G994">
        <v>0</v>
      </c>
    </row>
    <row r="995" spans="1:7" x14ac:dyDescent="0.3">
      <c r="A995" s="2">
        <v>43795</v>
      </c>
      <c r="B995" t="s">
        <v>24</v>
      </c>
      <c r="C995">
        <v>330</v>
      </c>
      <c r="D995" s="2">
        <v>43795</v>
      </c>
      <c r="E995" t="s">
        <v>25</v>
      </c>
      <c r="F995">
        <v>330</v>
      </c>
      <c r="G995">
        <v>0</v>
      </c>
    </row>
    <row r="996" spans="1:7" x14ac:dyDescent="0.3">
      <c r="A996" s="2">
        <v>43795</v>
      </c>
      <c r="B996" t="s">
        <v>149</v>
      </c>
      <c r="C996">
        <v>-54.99</v>
      </c>
      <c r="D996" s="2">
        <v>43795</v>
      </c>
      <c r="E996" t="s">
        <v>27</v>
      </c>
      <c r="F996">
        <v>-54.99</v>
      </c>
      <c r="G996">
        <v>0</v>
      </c>
    </row>
    <row r="997" spans="1:7" x14ac:dyDescent="0.3">
      <c r="A997" s="2">
        <v>43795</v>
      </c>
      <c r="B997" t="s">
        <v>458</v>
      </c>
      <c r="C997">
        <v>-63.43</v>
      </c>
      <c r="D997" s="2">
        <v>43795</v>
      </c>
      <c r="E997" t="s">
        <v>27</v>
      </c>
      <c r="F997">
        <v>-63.43</v>
      </c>
      <c r="G997">
        <v>0</v>
      </c>
    </row>
    <row r="998" spans="1:7" x14ac:dyDescent="0.3">
      <c r="A998" s="2">
        <v>43796</v>
      </c>
      <c r="B998" t="s">
        <v>24</v>
      </c>
      <c r="C998">
        <v>8631.25</v>
      </c>
      <c r="D998" s="2">
        <v>43796</v>
      </c>
      <c r="E998" t="s">
        <v>25</v>
      </c>
      <c r="F998">
        <v>8631.25</v>
      </c>
      <c r="G998">
        <v>0</v>
      </c>
    </row>
    <row r="999" spans="1:7" x14ac:dyDescent="0.3">
      <c r="A999" s="2">
        <v>43796</v>
      </c>
      <c r="B999" t="s">
        <v>459</v>
      </c>
      <c r="C999">
        <v>-9.01</v>
      </c>
      <c r="D999" s="2">
        <v>43796</v>
      </c>
      <c r="E999" t="s">
        <v>27</v>
      </c>
      <c r="F999">
        <v>-9.01</v>
      </c>
      <c r="G999">
        <v>0</v>
      </c>
    </row>
    <row r="1000" spans="1:7" x14ac:dyDescent="0.3">
      <c r="A1000" s="2">
        <v>43796</v>
      </c>
      <c r="B1000" t="s">
        <v>460</v>
      </c>
      <c r="C1000">
        <v>-20.86</v>
      </c>
      <c r="D1000" s="2">
        <v>43796</v>
      </c>
      <c r="E1000" t="s">
        <v>27</v>
      </c>
      <c r="F1000">
        <v>-20.86</v>
      </c>
      <c r="G1000">
        <v>0</v>
      </c>
    </row>
    <row r="1001" spans="1:7" x14ac:dyDescent="0.3">
      <c r="A1001" s="2">
        <v>43796</v>
      </c>
      <c r="B1001" t="s">
        <v>461</v>
      </c>
      <c r="C1001">
        <v>-25.95</v>
      </c>
      <c r="D1001" s="2">
        <v>43796</v>
      </c>
      <c r="E1001" t="s">
        <v>27</v>
      </c>
      <c r="F1001">
        <v>-25.95</v>
      </c>
      <c r="G1001">
        <v>0</v>
      </c>
    </row>
    <row r="1002" spans="1:7" x14ac:dyDescent="0.3">
      <c r="A1002" s="2">
        <v>43798</v>
      </c>
      <c r="B1002" t="s">
        <v>156</v>
      </c>
      <c r="C1002">
        <v>-70.77</v>
      </c>
      <c r="D1002" s="2">
        <v>43798</v>
      </c>
      <c r="E1002" t="s">
        <v>27</v>
      </c>
      <c r="F1002">
        <v>-70.77</v>
      </c>
      <c r="G1002">
        <v>0</v>
      </c>
    </row>
    <row r="1003" spans="1:7" x14ac:dyDescent="0.3">
      <c r="A1003" s="2">
        <v>43798</v>
      </c>
      <c r="B1003" t="s">
        <v>24</v>
      </c>
      <c r="C1003">
        <v>1725</v>
      </c>
      <c r="D1003" s="2">
        <v>43798</v>
      </c>
      <c r="E1003" t="s">
        <v>25</v>
      </c>
      <c r="F1003">
        <v>1725</v>
      </c>
      <c r="G1003">
        <v>0</v>
      </c>
    </row>
    <row r="1004" spans="1:7" x14ac:dyDescent="0.3">
      <c r="A1004" s="2">
        <v>43798</v>
      </c>
      <c r="B1004" t="s">
        <v>24</v>
      </c>
      <c r="C1004">
        <v>5460</v>
      </c>
      <c r="D1004" s="2">
        <v>43798</v>
      </c>
      <c r="E1004" t="s">
        <v>25</v>
      </c>
      <c r="F1004">
        <v>5460</v>
      </c>
      <c r="G1004">
        <v>0</v>
      </c>
    </row>
    <row r="1005" spans="1:7" x14ac:dyDescent="0.3">
      <c r="A1005" s="2">
        <v>43798</v>
      </c>
      <c r="B1005" t="s">
        <v>462</v>
      </c>
      <c r="C1005">
        <v>-32.630000000000003</v>
      </c>
      <c r="D1005" s="2">
        <v>43798</v>
      </c>
      <c r="E1005" t="s">
        <v>27</v>
      </c>
      <c r="F1005">
        <v>-32.630000000000003</v>
      </c>
      <c r="G1005">
        <v>0</v>
      </c>
    </row>
    <row r="1006" spans="1:7" x14ac:dyDescent="0.3">
      <c r="A1006" s="2">
        <v>43801</v>
      </c>
      <c r="B1006" t="s">
        <v>161</v>
      </c>
      <c r="C1006">
        <v>-55</v>
      </c>
      <c r="D1006" s="2">
        <v>43801</v>
      </c>
      <c r="E1006" t="s">
        <v>27</v>
      </c>
      <c r="F1006">
        <v>-55</v>
      </c>
      <c r="G1006">
        <v>0</v>
      </c>
    </row>
    <row r="1007" spans="1:7" x14ac:dyDescent="0.3">
      <c r="A1007" s="2">
        <v>43801</v>
      </c>
      <c r="B1007" t="s">
        <v>24</v>
      </c>
      <c r="C1007">
        <v>495</v>
      </c>
      <c r="D1007" s="2">
        <v>43801</v>
      </c>
      <c r="E1007" t="s">
        <v>25</v>
      </c>
      <c r="F1007">
        <v>495</v>
      </c>
      <c r="G1007">
        <v>0</v>
      </c>
    </row>
    <row r="1008" spans="1:7" x14ac:dyDescent="0.3">
      <c r="A1008" s="2">
        <v>43801</v>
      </c>
      <c r="B1008" t="s">
        <v>463</v>
      </c>
      <c r="C1008">
        <v>-30.09</v>
      </c>
      <c r="D1008" s="2">
        <v>43801</v>
      </c>
      <c r="E1008" t="s">
        <v>27</v>
      </c>
      <c r="F1008">
        <v>-30.09</v>
      </c>
      <c r="G1008">
        <v>0</v>
      </c>
    </row>
    <row r="1009" spans="1:7" x14ac:dyDescent="0.3">
      <c r="A1009" s="2">
        <v>43801</v>
      </c>
      <c r="B1009" t="s">
        <v>24</v>
      </c>
      <c r="C1009">
        <v>300</v>
      </c>
      <c r="D1009" s="2">
        <v>43801</v>
      </c>
      <c r="E1009" t="s">
        <v>25</v>
      </c>
      <c r="F1009">
        <v>300</v>
      </c>
      <c r="G1009">
        <v>0</v>
      </c>
    </row>
    <row r="1010" spans="1:7" x14ac:dyDescent="0.3">
      <c r="A1010" s="2">
        <v>43801</v>
      </c>
      <c r="B1010" t="s">
        <v>53</v>
      </c>
      <c r="C1010">
        <v>-3387.39</v>
      </c>
      <c r="D1010" s="2">
        <v>43801</v>
      </c>
      <c r="E1010" t="s">
        <v>27</v>
      </c>
      <c r="F1010">
        <v>-3387.39</v>
      </c>
      <c r="G1010">
        <v>0</v>
      </c>
    </row>
    <row r="1011" spans="1:7" x14ac:dyDescent="0.3">
      <c r="A1011" s="2">
        <v>43802</v>
      </c>
      <c r="B1011" t="s">
        <v>24</v>
      </c>
      <c r="C1011">
        <v>660</v>
      </c>
      <c r="D1011" s="2">
        <v>43802</v>
      </c>
      <c r="E1011" t="s">
        <v>25</v>
      </c>
      <c r="F1011">
        <v>660</v>
      </c>
      <c r="G1011">
        <v>0</v>
      </c>
    </row>
    <row r="1012" spans="1:7" x14ac:dyDescent="0.3">
      <c r="A1012" s="2">
        <v>43802</v>
      </c>
      <c r="B1012" t="s">
        <v>24</v>
      </c>
      <c r="C1012">
        <v>536.25</v>
      </c>
      <c r="D1012" s="2">
        <v>43802</v>
      </c>
      <c r="E1012" t="s">
        <v>25</v>
      </c>
      <c r="F1012">
        <v>536.25</v>
      </c>
      <c r="G1012">
        <v>0</v>
      </c>
    </row>
    <row r="1013" spans="1:7" x14ac:dyDescent="0.3">
      <c r="A1013" s="2">
        <v>43803</v>
      </c>
      <c r="B1013" t="s">
        <v>162</v>
      </c>
      <c r="C1013">
        <v>-34.950000000000003</v>
      </c>
      <c r="D1013" s="2">
        <v>43803</v>
      </c>
      <c r="E1013" t="s">
        <v>27</v>
      </c>
      <c r="F1013">
        <v>-34.950000000000003</v>
      </c>
      <c r="G1013">
        <v>0</v>
      </c>
    </row>
    <row r="1014" spans="1:7" x14ac:dyDescent="0.3">
      <c r="A1014" s="2">
        <v>43803</v>
      </c>
      <c r="B1014" t="s">
        <v>24</v>
      </c>
      <c r="C1014">
        <v>1125</v>
      </c>
      <c r="D1014" s="2">
        <v>43803</v>
      </c>
      <c r="E1014" t="s">
        <v>25</v>
      </c>
      <c r="F1014">
        <v>1125</v>
      </c>
      <c r="G1014">
        <v>0</v>
      </c>
    </row>
    <row r="1015" spans="1:7" x14ac:dyDescent="0.3">
      <c r="A1015" s="2">
        <v>43804</v>
      </c>
      <c r="B1015" t="s">
        <v>24</v>
      </c>
      <c r="C1015">
        <v>907.5</v>
      </c>
      <c r="D1015" s="2">
        <v>43804</v>
      </c>
      <c r="E1015" t="s">
        <v>25</v>
      </c>
      <c r="F1015">
        <v>907.5</v>
      </c>
      <c r="G1015">
        <v>0</v>
      </c>
    </row>
    <row r="1016" spans="1:7" x14ac:dyDescent="0.3">
      <c r="A1016" s="2">
        <v>43805</v>
      </c>
      <c r="B1016" t="s">
        <v>24</v>
      </c>
      <c r="C1016">
        <v>840</v>
      </c>
      <c r="D1016" s="2">
        <v>43805</v>
      </c>
      <c r="E1016" t="s">
        <v>25</v>
      </c>
      <c r="F1016">
        <v>840</v>
      </c>
      <c r="G1016">
        <v>0</v>
      </c>
    </row>
    <row r="1017" spans="1:7" x14ac:dyDescent="0.3">
      <c r="A1017" s="2">
        <v>43805</v>
      </c>
      <c r="B1017" t="s">
        <v>31</v>
      </c>
      <c r="C1017">
        <v>7300</v>
      </c>
      <c r="D1017" s="2">
        <v>43805</v>
      </c>
      <c r="E1017" t="s">
        <v>25</v>
      </c>
      <c r="F1017">
        <v>7300</v>
      </c>
      <c r="G1017">
        <v>0</v>
      </c>
    </row>
    <row r="1018" spans="1:7" x14ac:dyDescent="0.3">
      <c r="A1018" s="2">
        <v>43805</v>
      </c>
      <c r="B1018" t="s">
        <v>31</v>
      </c>
      <c r="C1018">
        <v>900</v>
      </c>
      <c r="D1018" s="2">
        <v>43805</v>
      </c>
      <c r="E1018" t="s">
        <v>25</v>
      </c>
      <c r="F1018">
        <v>900</v>
      </c>
      <c r="G1018">
        <v>0</v>
      </c>
    </row>
    <row r="1019" spans="1:7" x14ac:dyDescent="0.3">
      <c r="A1019" s="2">
        <v>43808</v>
      </c>
      <c r="B1019" t="s">
        <v>24</v>
      </c>
      <c r="C1019">
        <v>1541.25</v>
      </c>
      <c r="D1019" s="2">
        <v>43808</v>
      </c>
      <c r="E1019" t="s">
        <v>25</v>
      </c>
      <c r="F1019">
        <v>1541.25</v>
      </c>
      <c r="G1019">
        <v>0</v>
      </c>
    </row>
    <row r="1020" spans="1:7" x14ac:dyDescent="0.3">
      <c r="A1020" s="2">
        <v>43808</v>
      </c>
      <c r="B1020" t="s">
        <v>24</v>
      </c>
      <c r="C1020">
        <v>836.25</v>
      </c>
      <c r="D1020" s="2">
        <v>43808</v>
      </c>
      <c r="E1020" t="s">
        <v>25</v>
      </c>
      <c r="F1020">
        <v>836.25</v>
      </c>
      <c r="G1020">
        <v>0</v>
      </c>
    </row>
    <row r="1021" spans="1:7" x14ac:dyDescent="0.3">
      <c r="A1021" s="2">
        <v>43808</v>
      </c>
      <c r="B1021" t="s">
        <v>464</v>
      </c>
      <c r="C1021">
        <v>-6.99</v>
      </c>
      <c r="D1021" s="2">
        <v>43808</v>
      </c>
      <c r="E1021" t="s">
        <v>27</v>
      </c>
      <c r="F1021">
        <v>-6.99</v>
      </c>
      <c r="G1021">
        <v>0</v>
      </c>
    </row>
    <row r="1022" spans="1:7" x14ac:dyDescent="0.3">
      <c r="A1022" s="2">
        <v>43809</v>
      </c>
      <c r="B1022" t="s">
        <v>166</v>
      </c>
      <c r="C1022">
        <v>-9.99</v>
      </c>
      <c r="D1022" s="2">
        <v>43809</v>
      </c>
      <c r="E1022" t="s">
        <v>27</v>
      </c>
      <c r="F1022">
        <v>-9.99</v>
      </c>
      <c r="G1022">
        <v>0</v>
      </c>
    </row>
    <row r="1023" spans="1:7" x14ac:dyDescent="0.3">
      <c r="A1023" s="2">
        <v>43809</v>
      </c>
      <c r="B1023" t="s">
        <v>24</v>
      </c>
      <c r="C1023">
        <v>1590</v>
      </c>
      <c r="D1023" s="2">
        <v>43809</v>
      </c>
      <c r="E1023" t="s">
        <v>25</v>
      </c>
      <c r="F1023">
        <v>1590</v>
      </c>
      <c r="G1023">
        <v>0</v>
      </c>
    </row>
    <row r="1024" spans="1:7" x14ac:dyDescent="0.3">
      <c r="A1024" s="2">
        <v>43810</v>
      </c>
      <c r="B1024" t="s">
        <v>465</v>
      </c>
      <c r="C1024">
        <v>-231.5</v>
      </c>
      <c r="D1024" s="2">
        <v>43810</v>
      </c>
      <c r="E1024" t="s">
        <v>27</v>
      </c>
      <c r="F1024">
        <v>-231.5</v>
      </c>
      <c r="G1024">
        <v>0</v>
      </c>
    </row>
    <row r="1025" spans="1:7" x14ac:dyDescent="0.3">
      <c r="A1025" s="2">
        <v>43810</v>
      </c>
      <c r="B1025" t="s">
        <v>24</v>
      </c>
      <c r="C1025">
        <v>10856.25</v>
      </c>
      <c r="D1025" s="2">
        <v>43810</v>
      </c>
      <c r="E1025" t="s">
        <v>25</v>
      </c>
      <c r="F1025">
        <v>10856.25</v>
      </c>
      <c r="G1025">
        <v>0</v>
      </c>
    </row>
    <row r="1026" spans="1:7" x14ac:dyDescent="0.3">
      <c r="A1026" s="2">
        <v>43810</v>
      </c>
      <c r="B1026" t="s">
        <v>466</v>
      </c>
      <c r="C1026">
        <v>0.01</v>
      </c>
      <c r="D1026" s="2">
        <v>43810</v>
      </c>
      <c r="E1026" t="s">
        <v>25</v>
      </c>
      <c r="F1026">
        <v>0.01</v>
      </c>
      <c r="G1026">
        <v>0</v>
      </c>
    </row>
    <row r="1027" spans="1:7" x14ac:dyDescent="0.3">
      <c r="A1027" s="2">
        <v>43811</v>
      </c>
      <c r="B1027" t="s">
        <v>467</v>
      </c>
      <c r="C1027">
        <v>-7.28</v>
      </c>
      <c r="D1027" s="2">
        <v>43811</v>
      </c>
      <c r="E1027" t="s">
        <v>27</v>
      </c>
      <c r="F1027">
        <v>-7.28</v>
      </c>
      <c r="G1027">
        <v>0</v>
      </c>
    </row>
    <row r="1028" spans="1:7" x14ac:dyDescent="0.3">
      <c r="A1028" s="2">
        <v>43811</v>
      </c>
      <c r="B1028" t="s">
        <v>24</v>
      </c>
      <c r="C1028">
        <v>9550</v>
      </c>
      <c r="D1028" s="2">
        <v>43811</v>
      </c>
      <c r="E1028" t="s">
        <v>25</v>
      </c>
      <c r="F1028">
        <v>9550</v>
      </c>
      <c r="G1028">
        <v>0</v>
      </c>
    </row>
    <row r="1029" spans="1:7" x14ac:dyDescent="0.3">
      <c r="A1029" s="2">
        <v>43812</v>
      </c>
      <c r="B1029" t="s">
        <v>24</v>
      </c>
      <c r="C1029">
        <v>2516.25</v>
      </c>
      <c r="D1029" s="2">
        <v>43812</v>
      </c>
      <c r="E1029" t="s">
        <v>25</v>
      </c>
      <c r="F1029">
        <v>2516.25</v>
      </c>
      <c r="G1029">
        <v>0</v>
      </c>
    </row>
    <row r="1030" spans="1:7" x14ac:dyDescent="0.3">
      <c r="A1030" s="2">
        <v>43812</v>
      </c>
      <c r="B1030" t="s">
        <v>171</v>
      </c>
      <c r="C1030">
        <v>-17.989999999999998</v>
      </c>
      <c r="D1030" s="2">
        <v>43812</v>
      </c>
      <c r="E1030" t="s">
        <v>27</v>
      </c>
      <c r="F1030">
        <v>-17.989999999999998</v>
      </c>
      <c r="G1030">
        <v>0</v>
      </c>
    </row>
    <row r="1031" spans="1:7" x14ac:dyDescent="0.3">
      <c r="A1031" s="2">
        <v>43815</v>
      </c>
      <c r="B1031" t="s">
        <v>173</v>
      </c>
      <c r="C1031">
        <v>-14.4</v>
      </c>
      <c r="D1031" s="2">
        <v>43815</v>
      </c>
      <c r="E1031" t="s">
        <v>27</v>
      </c>
      <c r="F1031">
        <v>-14.4</v>
      </c>
      <c r="G1031">
        <v>0</v>
      </c>
    </row>
    <row r="1032" spans="1:7" x14ac:dyDescent="0.3">
      <c r="A1032" s="2">
        <v>43815</v>
      </c>
      <c r="B1032" t="s">
        <v>24</v>
      </c>
      <c r="C1032">
        <v>495</v>
      </c>
      <c r="D1032" s="2">
        <v>43815</v>
      </c>
      <c r="E1032" t="s">
        <v>25</v>
      </c>
      <c r="F1032">
        <v>495</v>
      </c>
      <c r="G1032">
        <v>0</v>
      </c>
    </row>
    <row r="1033" spans="1:7" x14ac:dyDescent="0.3">
      <c r="A1033" s="2">
        <v>43815</v>
      </c>
      <c r="B1033" t="s">
        <v>24</v>
      </c>
      <c r="C1033">
        <v>4196.25</v>
      </c>
      <c r="D1033" s="2">
        <v>43815</v>
      </c>
      <c r="E1033" t="s">
        <v>25</v>
      </c>
      <c r="F1033">
        <v>4196.25</v>
      </c>
      <c r="G1033">
        <v>0</v>
      </c>
    </row>
    <row r="1034" spans="1:7" x14ac:dyDescent="0.3">
      <c r="A1034" s="2">
        <v>43815</v>
      </c>
      <c r="B1034" t="s">
        <v>468</v>
      </c>
      <c r="C1034">
        <v>-3.99</v>
      </c>
      <c r="D1034" s="2">
        <v>43815</v>
      </c>
      <c r="E1034" t="s">
        <v>27</v>
      </c>
      <c r="F1034">
        <v>-3.99</v>
      </c>
      <c r="G1034">
        <v>0</v>
      </c>
    </row>
    <row r="1035" spans="1:7" x14ac:dyDescent="0.3">
      <c r="A1035" s="2">
        <v>43815</v>
      </c>
      <c r="B1035" t="s">
        <v>24</v>
      </c>
      <c r="C1035">
        <v>165</v>
      </c>
      <c r="D1035" s="2">
        <v>43815</v>
      </c>
      <c r="E1035" t="s">
        <v>25</v>
      </c>
      <c r="F1035">
        <v>165</v>
      </c>
      <c r="G1035">
        <v>0</v>
      </c>
    </row>
    <row r="1036" spans="1:7" x14ac:dyDescent="0.3">
      <c r="A1036" s="2">
        <v>43815</v>
      </c>
      <c r="B1036" t="s">
        <v>172</v>
      </c>
      <c r="C1036">
        <v>-89.85</v>
      </c>
      <c r="D1036" s="2">
        <v>43815</v>
      </c>
      <c r="E1036" t="s">
        <v>27</v>
      </c>
      <c r="F1036">
        <v>-89.85</v>
      </c>
      <c r="G1036">
        <v>0</v>
      </c>
    </row>
    <row r="1037" spans="1:7" x14ac:dyDescent="0.3">
      <c r="A1037" s="2">
        <v>43815</v>
      </c>
      <c r="B1037" t="s">
        <v>174</v>
      </c>
      <c r="C1037">
        <v>-37</v>
      </c>
      <c r="D1037" s="2">
        <v>43815</v>
      </c>
      <c r="E1037" t="s">
        <v>27</v>
      </c>
      <c r="F1037">
        <v>-37</v>
      </c>
      <c r="G1037">
        <v>0</v>
      </c>
    </row>
    <row r="1038" spans="1:7" x14ac:dyDescent="0.3">
      <c r="A1038" s="2">
        <v>43817</v>
      </c>
      <c r="B1038" t="s">
        <v>24</v>
      </c>
      <c r="C1038">
        <v>630</v>
      </c>
      <c r="D1038" s="2">
        <v>43817</v>
      </c>
      <c r="E1038" t="s">
        <v>25</v>
      </c>
      <c r="F1038">
        <v>630</v>
      </c>
      <c r="G1038">
        <v>0</v>
      </c>
    </row>
    <row r="1039" spans="1:7" x14ac:dyDescent="0.3">
      <c r="A1039" s="2">
        <v>43817</v>
      </c>
      <c r="B1039" t="s">
        <v>31</v>
      </c>
      <c r="C1039">
        <v>3000</v>
      </c>
      <c r="D1039" s="2">
        <v>43817</v>
      </c>
      <c r="E1039" t="s">
        <v>25</v>
      </c>
      <c r="F1039">
        <v>3000</v>
      </c>
      <c r="G1039">
        <v>0</v>
      </c>
    </row>
    <row r="1040" spans="1:7" x14ac:dyDescent="0.3">
      <c r="A1040" s="2">
        <v>43818</v>
      </c>
      <c r="B1040" t="s">
        <v>24</v>
      </c>
      <c r="C1040">
        <v>4631.25</v>
      </c>
      <c r="D1040" s="2">
        <v>43818</v>
      </c>
      <c r="E1040" t="s">
        <v>25</v>
      </c>
      <c r="F1040">
        <v>4631.25</v>
      </c>
      <c r="G1040">
        <v>0</v>
      </c>
    </row>
    <row r="1041" spans="1:7" x14ac:dyDescent="0.3">
      <c r="A1041" s="2">
        <v>43818</v>
      </c>
      <c r="B1041" t="s">
        <v>469</v>
      </c>
      <c r="C1041">
        <v>1500</v>
      </c>
      <c r="D1041" s="2">
        <v>43818</v>
      </c>
      <c r="E1041" t="s">
        <v>25</v>
      </c>
      <c r="F1041">
        <v>1500</v>
      </c>
      <c r="G1041">
        <v>0</v>
      </c>
    </row>
    <row r="1042" spans="1:7" x14ac:dyDescent="0.3">
      <c r="A1042" s="2">
        <v>43819</v>
      </c>
      <c r="B1042" t="s">
        <v>24</v>
      </c>
      <c r="C1042">
        <v>9445</v>
      </c>
      <c r="D1042" s="2">
        <v>43819</v>
      </c>
      <c r="E1042" t="s">
        <v>25</v>
      </c>
      <c r="F1042">
        <v>9445</v>
      </c>
      <c r="G1042">
        <v>0</v>
      </c>
    </row>
    <row r="1043" spans="1:7" x14ac:dyDescent="0.3">
      <c r="A1043" s="2">
        <v>43822</v>
      </c>
      <c r="B1043" t="s">
        <v>24</v>
      </c>
      <c r="C1043">
        <v>20845</v>
      </c>
      <c r="D1043" s="2">
        <v>43822</v>
      </c>
      <c r="E1043" t="s">
        <v>25</v>
      </c>
      <c r="F1043">
        <v>20845</v>
      </c>
      <c r="G1043">
        <v>0</v>
      </c>
    </row>
    <row r="1044" spans="1:7" x14ac:dyDescent="0.3">
      <c r="A1044" s="2">
        <v>43822</v>
      </c>
      <c r="B1044" t="s">
        <v>24</v>
      </c>
      <c r="C1044">
        <v>9330</v>
      </c>
      <c r="D1044" s="2">
        <v>43822</v>
      </c>
      <c r="E1044" t="s">
        <v>25</v>
      </c>
      <c r="F1044">
        <v>9330</v>
      </c>
      <c r="G1044">
        <v>0</v>
      </c>
    </row>
    <row r="1045" spans="1:7" x14ac:dyDescent="0.3">
      <c r="A1045" s="2">
        <v>43822</v>
      </c>
      <c r="B1045" t="s">
        <v>24</v>
      </c>
      <c r="C1045">
        <v>5165</v>
      </c>
      <c r="D1045" s="2">
        <v>43822</v>
      </c>
      <c r="E1045" t="s">
        <v>25</v>
      </c>
      <c r="F1045">
        <v>5165</v>
      </c>
      <c r="G1045">
        <v>0</v>
      </c>
    </row>
    <row r="1046" spans="1:7" x14ac:dyDescent="0.3">
      <c r="A1046" s="2">
        <v>43823</v>
      </c>
      <c r="B1046" t="s">
        <v>24</v>
      </c>
      <c r="C1046">
        <v>371.25</v>
      </c>
      <c r="D1046" s="2">
        <v>43823</v>
      </c>
      <c r="E1046" t="s">
        <v>25</v>
      </c>
      <c r="F1046">
        <v>371.25</v>
      </c>
      <c r="G1046">
        <v>0</v>
      </c>
    </row>
    <row r="1047" spans="1:7" x14ac:dyDescent="0.3">
      <c r="A1047" s="2">
        <v>43825</v>
      </c>
      <c r="B1047" t="s">
        <v>177</v>
      </c>
      <c r="C1047">
        <v>-54.99</v>
      </c>
      <c r="D1047" s="2">
        <v>43825</v>
      </c>
      <c r="E1047" t="s">
        <v>27</v>
      </c>
      <c r="F1047">
        <v>-54.99</v>
      </c>
      <c r="G1047">
        <v>0</v>
      </c>
    </row>
    <row r="1048" spans="1:7" x14ac:dyDescent="0.3">
      <c r="A1048" s="2">
        <v>43825</v>
      </c>
      <c r="B1048" t="s">
        <v>24</v>
      </c>
      <c r="C1048">
        <v>495</v>
      </c>
      <c r="D1048" s="2">
        <v>43825</v>
      </c>
      <c r="E1048" t="s">
        <v>25</v>
      </c>
      <c r="F1048">
        <v>495</v>
      </c>
      <c r="G1048">
        <v>0</v>
      </c>
    </row>
    <row r="1049" spans="1:7" x14ac:dyDescent="0.3">
      <c r="A1049" s="2">
        <v>43825</v>
      </c>
      <c r="B1049" t="s">
        <v>24</v>
      </c>
      <c r="C1049">
        <v>6042.5</v>
      </c>
      <c r="D1049" s="2">
        <v>43825</v>
      </c>
      <c r="E1049" t="s">
        <v>25</v>
      </c>
      <c r="F1049">
        <v>6042.5</v>
      </c>
      <c r="G1049">
        <v>0</v>
      </c>
    </row>
    <row r="1050" spans="1:7" x14ac:dyDescent="0.3">
      <c r="A1050" s="2">
        <v>43829</v>
      </c>
      <c r="B1050" t="s">
        <v>186</v>
      </c>
      <c r="C1050">
        <v>-65</v>
      </c>
      <c r="D1050" s="2">
        <v>43829</v>
      </c>
      <c r="E1050" t="s">
        <v>27</v>
      </c>
      <c r="F1050">
        <v>-65</v>
      </c>
      <c r="G1050">
        <v>0</v>
      </c>
    </row>
    <row r="1051" spans="1:7" x14ac:dyDescent="0.3">
      <c r="A1051" s="2">
        <v>43829</v>
      </c>
      <c r="B1051" t="s">
        <v>24</v>
      </c>
      <c r="C1051">
        <v>630</v>
      </c>
      <c r="D1051" s="2">
        <v>43827</v>
      </c>
      <c r="E1051" t="s">
        <v>25</v>
      </c>
      <c r="F1051">
        <v>630</v>
      </c>
      <c r="G1051">
        <v>0</v>
      </c>
    </row>
    <row r="1052" spans="1:7" x14ac:dyDescent="0.3">
      <c r="A1052" s="2">
        <v>43829</v>
      </c>
      <c r="B1052" t="s">
        <v>24</v>
      </c>
      <c r="C1052">
        <v>830</v>
      </c>
      <c r="D1052" s="2">
        <v>43829</v>
      </c>
      <c r="E1052" t="s">
        <v>25</v>
      </c>
      <c r="F1052">
        <v>830</v>
      </c>
      <c r="G1052">
        <v>0</v>
      </c>
    </row>
    <row r="1053" spans="1:7" x14ac:dyDescent="0.3">
      <c r="A1053" s="2">
        <v>43829</v>
      </c>
      <c r="B1053" t="s">
        <v>24</v>
      </c>
      <c r="C1053">
        <v>1200</v>
      </c>
      <c r="D1053" s="2">
        <v>43828</v>
      </c>
      <c r="E1053" t="s">
        <v>25</v>
      </c>
      <c r="F1053">
        <v>1200</v>
      </c>
      <c r="G1053">
        <v>0</v>
      </c>
    </row>
    <row r="1054" spans="1:7" x14ac:dyDescent="0.3">
      <c r="A1054" s="2">
        <v>43830</v>
      </c>
      <c r="B1054" t="s">
        <v>24</v>
      </c>
      <c r="C1054">
        <v>1386.25</v>
      </c>
      <c r="D1054" s="2">
        <v>43829</v>
      </c>
      <c r="E1054" t="s">
        <v>25</v>
      </c>
      <c r="F1054">
        <v>1386.25</v>
      </c>
      <c r="G1054">
        <v>0</v>
      </c>
    </row>
    <row r="1055" spans="1:7" x14ac:dyDescent="0.3">
      <c r="A1055" s="2">
        <v>43832</v>
      </c>
      <c r="B1055" t="s">
        <v>24</v>
      </c>
      <c r="C1055">
        <v>19840</v>
      </c>
      <c r="D1055" s="2">
        <v>43832</v>
      </c>
      <c r="E1055" t="s">
        <v>25</v>
      </c>
      <c r="F1055">
        <v>19840</v>
      </c>
      <c r="G1055">
        <v>0</v>
      </c>
    </row>
    <row r="1056" spans="1:7" x14ac:dyDescent="0.3">
      <c r="A1056" s="2">
        <v>43832</v>
      </c>
      <c r="B1056" t="s">
        <v>470</v>
      </c>
      <c r="C1056">
        <v>-10.83</v>
      </c>
      <c r="D1056" s="2">
        <v>43832</v>
      </c>
      <c r="E1056" t="s">
        <v>27</v>
      </c>
      <c r="F1056">
        <v>-10.83</v>
      </c>
      <c r="G1056">
        <v>0</v>
      </c>
    </row>
    <row r="1057" spans="1:7" x14ac:dyDescent="0.3">
      <c r="A1057" s="2">
        <v>43832</v>
      </c>
      <c r="B1057" t="s">
        <v>188</v>
      </c>
      <c r="C1057">
        <v>-55</v>
      </c>
      <c r="D1057" s="2">
        <v>43832</v>
      </c>
      <c r="E1057" t="s">
        <v>27</v>
      </c>
      <c r="F1057">
        <v>-55</v>
      </c>
      <c r="G1057">
        <v>0</v>
      </c>
    </row>
    <row r="1058" spans="1:7" x14ac:dyDescent="0.3">
      <c r="A1058" s="2">
        <v>43832</v>
      </c>
      <c r="B1058" t="s">
        <v>24</v>
      </c>
      <c r="C1058">
        <v>5430</v>
      </c>
      <c r="D1058" s="2">
        <v>43832</v>
      </c>
      <c r="E1058" t="s">
        <v>25</v>
      </c>
      <c r="F1058">
        <v>5430</v>
      </c>
      <c r="G1058">
        <v>0</v>
      </c>
    </row>
    <row r="1059" spans="1:7" x14ac:dyDescent="0.3">
      <c r="A1059" s="2">
        <v>43832</v>
      </c>
      <c r="B1059" t="s">
        <v>53</v>
      </c>
      <c r="C1059">
        <v>-4993.24</v>
      </c>
      <c r="D1059" s="2">
        <v>43832</v>
      </c>
      <c r="E1059" t="s">
        <v>27</v>
      </c>
      <c r="F1059">
        <v>-4993.24</v>
      </c>
      <c r="G1059">
        <v>0</v>
      </c>
    </row>
    <row r="1060" spans="1:7" x14ac:dyDescent="0.3">
      <c r="A1060" s="2">
        <v>43832</v>
      </c>
      <c r="B1060" t="s">
        <v>471</v>
      </c>
      <c r="C1060">
        <v>-3.99</v>
      </c>
      <c r="D1060" s="2">
        <v>43832</v>
      </c>
      <c r="E1060" t="s">
        <v>27</v>
      </c>
      <c r="F1060">
        <v>-3.99</v>
      </c>
      <c r="G1060">
        <v>0</v>
      </c>
    </row>
    <row r="1061" spans="1:7" x14ac:dyDescent="0.3">
      <c r="A1061" s="2">
        <v>43833</v>
      </c>
      <c r="B1061" t="s">
        <v>472</v>
      </c>
      <c r="C1061">
        <v>-3.99</v>
      </c>
      <c r="D1061" s="2">
        <v>43833</v>
      </c>
      <c r="E1061" t="s">
        <v>27</v>
      </c>
      <c r="F1061">
        <v>-3.99</v>
      </c>
      <c r="G1061">
        <v>0</v>
      </c>
    </row>
    <row r="1062" spans="1:7" x14ac:dyDescent="0.3">
      <c r="A1062" s="2">
        <v>43833</v>
      </c>
      <c r="B1062" t="s">
        <v>473</v>
      </c>
      <c r="C1062">
        <v>4800</v>
      </c>
      <c r="D1062" s="2">
        <v>43833</v>
      </c>
      <c r="E1062" t="s">
        <v>25</v>
      </c>
      <c r="F1062">
        <v>4800</v>
      </c>
      <c r="G1062">
        <v>0</v>
      </c>
    </row>
    <row r="1063" spans="1:7" x14ac:dyDescent="0.3">
      <c r="A1063" s="2">
        <v>43833</v>
      </c>
      <c r="B1063" t="s">
        <v>24</v>
      </c>
      <c r="C1063">
        <v>6950</v>
      </c>
      <c r="D1063" s="2">
        <v>43833</v>
      </c>
      <c r="E1063" t="s">
        <v>25</v>
      </c>
      <c r="F1063">
        <v>6950</v>
      </c>
      <c r="G1063">
        <v>0</v>
      </c>
    </row>
    <row r="1064" spans="1:7" x14ac:dyDescent="0.3">
      <c r="A1064" s="2">
        <v>43833</v>
      </c>
      <c r="B1064" t="s">
        <v>474</v>
      </c>
      <c r="C1064">
        <v>-3.99</v>
      </c>
      <c r="D1064" s="2">
        <v>43833</v>
      </c>
      <c r="E1064" t="s">
        <v>27</v>
      </c>
      <c r="F1064">
        <v>-3.99</v>
      </c>
      <c r="G1064">
        <v>0</v>
      </c>
    </row>
    <row r="1065" spans="1:7" x14ac:dyDescent="0.3">
      <c r="A1065" s="2">
        <v>43836</v>
      </c>
      <c r="B1065" t="s">
        <v>475</v>
      </c>
      <c r="C1065">
        <v>-27.42</v>
      </c>
      <c r="D1065" s="2">
        <v>43836</v>
      </c>
      <c r="E1065" t="s">
        <v>27</v>
      </c>
      <c r="F1065">
        <v>-27.42</v>
      </c>
      <c r="G1065">
        <v>0</v>
      </c>
    </row>
    <row r="1066" spans="1:7" x14ac:dyDescent="0.3">
      <c r="A1066" s="2">
        <v>43836</v>
      </c>
      <c r="B1066" t="s">
        <v>24</v>
      </c>
      <c r="C1066">
        <v>19325</v>
      </c>
      <c r="D1066" s="2">
        <v>43836</v>
      </c>
      <c r="E1066" t="s">
        <v>25</v>
      </c>
      <c r="F1066">
        <v>19325</v>
      </c>
      <c r="G1066">
        <v>0</v>
      </c>
    </row>
    <row r="1067" spans="1:7" x14ac:dyDescent="0.3">
      <c r="A1067" s="2">
        <v>43836</v>
      </c>
      <c r="B1067" t="s">
        <v>24</v>
      </c>
      <c r="C1067">
        <v>9585</v>
      </c>
      <c r="D1067" s="2">
        <v>43836</v>
      </c>
      <c r="E1067" t="s">
        <v>25</v>
      </c>
      <c r="F1067">
        <v>9585</v>
      </c>
      <c r="G1067">
        <v>0</v>
      </c>
    </row>
    <row r="1068" spans="1:7" x14ac:dyDescent="0.3">
      <c r="A1068" s="2">
        <v>43836</v>
      </c>
      <c r="B1068" t="s">
        <v>24</v>
      </c>
      <c r="C1068">
        <v>11495</v>
      </c>
      <c r="D1068" s="2">
        <v>43836</v>
      </c>
      <c r="E1068" t="s">
        <v>25</v>
      </c>
      <c r="F1068">
        <v>11495</v>
      </c>
      <c r="G1068">
        <v>0</v>
      </c>
    </row>
    <row r="1069" spans="1:7" x14ac:dyDescent="0.3">
      <c r="A1069" s="2">
        <v>43837</v>
      </c>
      <c r="B1069" t="s">
        <v>476</v>
      </c>
      <c r="C1069">
        <v>-23.99</v>
      </c>
      <c r="D1069" s="2">
        <v>43837</v>
      </c>
      <c r="E1069" t="s">
        <v>27</v>
      </c>
      <c r="F1069">
        <v>-23.99</v>
      </c>
      <c r="G1069">
        <v>0</v>
      </c>
    </row>
    <row r="1070" spans="1:7" x14ac:dyDescent="0.3">
      <c r="A1070" s="2">
        <v>43837</v>
      </c>
      <c r="B1070" t="s">
        <v>24</v>
      </c>
      <c r="C1070">
        <v>3325</v>
      </c>
      <c r="D1070" s="2">
        <v>43837</v>
      </c>
      <c r="E1070" t="s">
        <v>25</v>
      </c>
      <c r="F1070">
        <v>3325</v>
      </c>
      <c r="G1070">
        <v>0</v>
      </c>
    </row>
    <row r="1071" spans="1:7" x14ac:dyDescent="0.3">
      <c r="A1071" s="2">
        <v>43837</v>
      </c>
      <c r="B1071" t="s">
        <v>477</v>
      </c>
      <c r="C1071">
        <v>-32.619999999999997</v>
      </c>
      <c r="D1071" s="2">
        <v>43837</v>
      </c>
      <c r="E1071" t="s">
        <v>27</v>
      </c>
      <c r="F1071">
        <v>-32.619999999999997</v>
      </c>
      <c r="G1071">
        <v>0</v>
      </c>
    </row>
    <row r="1072" spans="1:7" x14ac:dyDescent="0.3">
      <c r="A1072" s="2">
        <v>43838</v>
      </c>
      <c r="B1072" t="s">
        <v>478</v>
      </c>
      <c r="C1072">
        <v>-86.1</v>
      </c>
      <c r="D1072" s="2">
        <v>43838</v>
      </c>
      <c r="E1072" t="s">
        <v>27</v>
      </c>
      <c r="F1072">
        <v>-86.1</v>
      </c>
      <c r="G1072">
        <v>0</v>
      </c>
    </row>
    <row r="1073" spans="1:7" x14ac:dyDescent="0.3">
      <c r="A1073" s="2">
        <v>43838</v>
      </c>
      <c r="B1073" t="s">
        <v>24</v>
      </c>
      <c r="C1073">
        <v>31380</v>
      </c>
      <c r="D1073" s="2">
        <v>43838</v>
      </c>
      <c r="E1073" t="s">
        <v>25</v>
      </c>
      <c r="F1073">
        <v>31380</v>
      </c>
      <c r="G1073">
        <v>0</v>
      </c>
    </row>
    <row r="1074" spans="1:7" x14ac:dyDescent="0.3">
      <c r="A1074" s="2">
        <v>43839</v>
      </c>
      <c r="B1074" t="s">
        <v>479</v>
      </c>
      <c r="C1074">
        <v>-6.99</v>
      </c>
      <c r="D1074" s="2">
        <v>43839</v>
      </c>
      <c r="E1074" t="s">
        <v>27</v>
      </c>
      <c r="F1074">
        <v>-6.99</v>
      </c>
      <c r="G1074">
        <v>0</v>
      </c>
    </row>
    <row r="1075" spans="1:7" x14ac:dyDescent="0.3">
      <c r="A1075" s="2">
        <v>43839</v>
      </c>
      <c r="B1075" t="s">
        <v>24</v>
      </c>
      <c r="C1075">
        <v>12880</v>
      </c>
      <c r="D1075" s="2">
        <v>43839</v>
      </c>
      <c r="E1075" t="s">
        <v>25</v>
      </c>
      <c r="F1075">
        <v>12880</v>
      </c>
      <c r="G1075">
        <v>0</v>
      </c>
    </row>
    <row r="1076" spans="1:7" x14ac:dyDescent="0.3">
      <c r="A1076" s="2">
        <v>43840</v>
      </c>
      <c r="B1076" t="s">
        <v>24</v>
      </c>
      <c r="C1076">
        <v>5100</v>
      </c>
      <c r="D1076" s="2">
        <v>43840</v>
      </c>
      <c r="E1076" t="s">
        <v>25</v>
      </c>
      <c r="F1076">
        <v>5100</v>
      </c>
      <c r="G1076">
        <v>0</v>
      </c>
    </row>
    <row r="1077" spans="1:7" x14ac:dyDescent="0.3">
      <c r="A1077" s="2">
        <v>43843</v>
      </c>
      <c r="B1077" t="s">
        <v>24</v>
      </c>
      <c r="C1077">
        <v>2345</v>
      </c>
      <c r="D1077" s="2">
        <v>43843</v>
      </c>
      <c r="E1077" t="s">
        <v>25</v>
      </c>
      <c r="F1077">
        <v>2345</v>
      </c>
      <c r="G1077">
        <v>0</v>
      </c>
    </row>
    <row r="1078" spans="1:7" x14ac:dyDescent="0.3">
      <c r="A1078" s="2">
        <v>43843</v>
      </c>
      <c r="B1078" t="s">
        <v>31</v>
      </c>
      <c r="C1078">
        <v>3000</v>
      </c>
      <c r="D1078" s="2">
        <v>43843</v>
      </c>
      <c r="E1078" t="s">
        <v>25</v>
      </c>
      <c r="F1078">
        <v>3000</v>
      </c>
      <c r="G1078">
        <v>0</v>
      </c>
    </row>
    <row r="1079" spans="1:7" x14ac:dyDescent="0.3">
      <c r="A1079" s="2">
        <v>43843</v>
      </c>
      <c r="B1079" t="s">
        <v>24</v>
      </c>
      <c r="C1079">
        <v>1005</v>
      </c>
      <c r="D1079" s="2">
        <v>43843</v>
      </c>
      <c r="E1079" t="s">
        <v>25</v>
      </c>
      <c r="F1079">
        <v>1005</v>
      </c>
      <c r="G1079">
        <v>0</v>
      </c>
    </row>
    <row r="1080" spans="1:7" x14ac:dyDescent="0.3">
      <c r="A1080" s="2">
        <v>43843</v>
      </c>
      <c r="B1080" t="s">
        <v>24</v>
      </c>
      <c r="C1080">
        <v>6575</v>
      </c>
      <c r="D1080" s="2">
        <v>43843</v>
      </c>
      <c r="E1080" t="s">
        <v>25</v>
      </c>
      <c r="F1080">
        <v>6575</v>
      </c>
      <c r="G1080">
        <v>0</v>
      </c>
    </row>
    <row r="1081" spans="1:7" x14ac:dyDescent="0.3">
      <c r="A1081" s="2">
        <v>43843</v>
      </c>
      <c r="B1081" t="s">
        <v>480</v>
      </c>
      <c r="C1081">
        <v>-9.99</v>
      </c>
      <c r="D1081" s="2">
        <v>43843</v>
      </c>
      <c r="E1081" t="s">
        <v>27</v>
      </c>
      <c r="F1081">
        <v>-9.99</v>
      </c>
      <c r="G1081">
        <v>0</v>
      </c>
    </row>
    <row r="1082" spans="1:7" x14ac:dyDescent="0.3">
      <c r="A1082" s="2">
        <v>43843</v>
      </c>
      <c r="B1082" t="s">
        <v>31</v>
      </c>
      <c r="C1082">
        <v>9800</v>
      </c>
      <c r="D1082" s="2">
        <v>43843</v>
      </c>
      <c r="E1082" t="s">
        <v>25</v>
      </c>
      <c r="F1082">
        <v>9800</v>
      </c>
      <c r="G1082">
        <v>0</v>
      </c>
    </row>
    <row r="1083" spans="1:7" x14ac:dyDescent="0.3">
      <c r="A1083" s="2">
        <v>43843</v>
      </c>
      <c r="B1083" t="s">
        <v>31</v>
      </c>
      <c r="C1083">
        <v>5000</v>
      </c>
      <c r="D1083" s="2">
        <v>43843</v>
      </c>
      <c r="E1083" t="s">
        <v>25</v>
      </c>
      <c r="F1083">
        <v>5000</v>
      </c>
      <c r="G1083">
        <v>0</v>
      </c>
    </row>
    <row r="1084" spans="1:7" x14ac:dyDescent="0.3">
      <c r="A1084" s="2">
        <v>43843</v>
      </c>
      <c r="B1084" t="s">
        <v>31</v>
      </c>
      <c r="C1084">
        <v>5000</v>
      </c>
      <c r="D1084" s="2">
        <v>43843</v>
      </c>
      <c r="E1084" t="s">
        <v>25</v>
      </c>
      <c r="F1084">
        <v>5000</v>
      </c>
      <c r="G1084">
        <v>0</v>
      </c>
    </row>
    <row r="1085" spans="1:7" x14ac:dyDescent="0.3">
      <c r="A1085" s="2">
        <v>43844</v>
      </c>
      <c r="B1085" t="s">
        <v>196</v>
      </c>
      <c r="C1085">
        <v>-83.08</v>
      </c>
      <c r="D1085" s="2">
        <v>43844</v>
      </c>
      <c r="E1085" t="s">
        <v>27</v>
      </c>
      <c r="F1085">
        <v>-83.08</v>
      </c>
      <c r="G1085">
        <v>0</v>
      </c>
    </row>
    <row r="1086" spans="1:7" x14ac:dyDescent="0.3">
      <c r="A1086" s="2">
        <v>43844</v>
      </c>
      <c r="B1086" t="s">
        <v>195</v>
      </c>
      <c r="C1086">
        <v>-14.4</v>
      </c>
      <c r="D1086" s="2">
        <v>43844</v>
      </c>
      <c r="E1086" t="s">
        <v>27</v>
      </c>
      <c r="F1086">
        <v>-14.4</v>
      </c>
      <c r="G1086">
        <v>0</v>
      </c>
    </row>
    <row r="1087" spans="1:7" x14ac:dyDescent="0.3">
      <c r="A1087" s="2">
        <v>43844</v>
      </c>
      <c r="B1087" t="s">
        <v>24</v>
      </c>
      <c r="C1087">
        <v>4275</v>
      </c>
      <c r="D1087" s="2">
        <v>43844</v>
      </c>
      <c r="E1087" t="s">
        <v>25</v>
      </c>
      <c r="F1087">
        <v>4275</v>
      </c>
      <c r="G1087">
        <v>0</v>
      </c>
    </row>
    <row r="1088" spans="1:7" x14ac:dyDescent="0.3">
      <c r="A1088" s="2">
        <v>43845</v>
      </c>
      <c r="B1088" t="s">
        <v>481</v>
      </c>
      <c r="C1088">
        <v>-3053.14</v>
      </c>
      <c r="D1088" s="2">
        <v>43845</v>
      </c>
      <c r="E1088" t="s">
        <v>27</v>
      </c>
      <c r="F1088">
        <v>-3053.14</v>
      </c>
      <c r="G1088">
        <v>0</v>
      </c>
    </row>
    <row r="1089" spans="1:7" x14ac:dyDescent="0.3">
      <c r="A1089" s="2">
        <v>43845</v>
      </c>
      <c r="B1089" t="s">
        <v>24</v>
      </c>
      <c r="C1089">
        <v>2390</v>
      </c>
      <c r="D1089" s="2">
        <v>43845</v>
      </c>
      <c r="E1089" t="s">
        <v>25</v>
      </c>
      <c r="F1089">
        <v>2390</v>
      </c>
      <c r="G1089">
        <v>0</v>
      </c>
    </row>
    <row r="1090" spans="1:7" x14ac:dyDescent="0.3">
      <c r="A1090" s="2">
        <v>43846</v>
      </c>
      <c r="B1090" t="s">
        <v>201</v>
      </c>
      <c r="C1090">
        <v>-37</v>
      </c>
      <c r="D1090" s="2">
        <v>43846</v>
      </c>
      <c r="E1090" t="s">
        <v>27</v>
      </c>
      <c r="F1090">
        <v>-37</v>
      </c>
      <c r="G1090">
        <v>0</v>
      </c>
    </row>
    <row r="1091" spans="1:7" x14ac:dyDescent="0.3">
      <c r="A1091" s="2">
        <v>43846</v>
      </c>
      <c r="B1091" t="s">
        <v>24</v>
      </c>
      <c r="C1091">
        <v>4465</v>
      </c>
      <c r="D1091" s="2">
        <v>43846</v>
      </c>
      <c r="E1091" t="s">
        <v>25</v>
      </c>
      <c r="F1091">
        <v>4465</v>
      </c>
      <c r="G1091">
        <v>0</v>
      </c>
    </row>
    <row r="1092" spans="1:7" x14ac:dyDescent="0.3">
      <c r="A1092" s="2">
        <v>43846</v>
      </c>
      <c r="B1092" t="s">
        <v>482</v>
      </c>
      <c r="C1092">
        <v>12300</v>
      </c>
      <c r="D1092" s="2">
        <v>43846</v>
      </c>
      <c r="E1092" t="s">
        <v>25</v>
      </c>
      <c r="F1092">
        <v>12300</v>
      </c>
      <c r="G1092">
        <v>0</v>
      </c>
    </row>
    <row r="1093" spans="1:7" x14ac:dyDescent="0.3">
      <c r="A1093" s="2">
        <v>43847</v>
      </c>
      <c r="B1093" t="s">
        <v>24</v>
      </c>
      <c r="C1093">
        <v>2515</v>
      </c>
      <c r="D1093" s="2">
        <v>43847</v>
      </c>
      <c r="E1093" t="s">
        <v>25</v>
      </c>
      <c r="F1093">
        <v>2515</v>
      </c>
      <c r="G1093">
        <v>0</v>
      </c>
    </row>
    <row r="1094" spans="1:7" x14ac:dyDescent="0.3">
      <c r="A1094" s="2">
        <v>43851</v>
      </c>
      <c r="B1094" t="s">
        <v>483</v>
      </c>
      <c r="C1094">
        <v>-5.99</v>
      </c>
      <c r="D1094" s="2">
        <v>43851</v>
      </c>
      <c r="E1094" t="s">
        <v>27</v>
      </c>
      <c r="F1094">
        <v>-5.99</v>
      </c>
      <c r="G1094">
        <v>0</v>
      </c>
    </row>
    <row r="1095" spans="1:7" x14ac:dyDescent="0.3">
      <c r="A1095" s="2">
        <v>43851</v>
      </c>
      <c r="B1095" t="s">
        <v>24</v>
      </c>
      <c r="C1095">
        <v>1325</v>
      </c>
      <c r="D1095" s="2">
        <v>43851</v>
      </c>
      <c r="E1095" t="s">
        <v>25</v>
      </c>
      <c r="F1095">
        <v>1325</v>
      </c>
      <c r="G1095">
        <v>0</v>
      </c>
    </row>
    <row r="1096" spans="1:7" x14ac:dyDescent="0.3">
      <c r="A1096" s="2">
        <v>43851</v>
      </c>
      <c r="B1096" t="s">
        <v>484</v>
      </c>
      <c r="C1096">
        <v>-7.28</v>
      </c>
      <c r="D1096" s="2">
        <v>43851</v>
      </c>
      <c r="E1096" t="s">
        <v>27</v>
      </c>
      <c r="F1096">
        <v>-7.28</v>
      </c>
      <c r="G1096">
        <v>0</v>
      </c>
    </row>
    <row r="1097" spans="1:7" x14ac:dyDescent="0.3">
      <c r="A1097" s="2">
        <v>43851</v>
      </c>
      <c r="B1097" t="s">
        <v>24</v>
      </c>
      <c r="C1097">
        <v>2345</v>
      </c>
      <c r="D1097" s="2">
        <v>43851</v>
      </c>
      <c r="E1097" t="s">
        <v>25</v>
      </c>
      <c r="F1097">
        <v>2345</v>
      </c>
      <c r="G1097">
        <v>0</v>
      </c>
    </row>
    <row r="1098" spans="1:7" x14ac:dyDescent="0.3">
      <c r="A1098" s="2">
        <v>43851</v>
      </c>
      <c r="B1098" t="s">
        <v>47</v>
      </c>
      <c r="C1098">
        <v>5095</v>
      </c>
      <c r="D1098" s="2">
        <v>43851</v>
      </c>
      <c r="E1098" t="s">
        <v>25</v>
      </c>
      <c r="F1098">
        <v>5095</v>
      </c>
      <c r="G1098">
        <v>0</v>
      </c>
    </row>
    <row r="1099" spans="1:7" x14ac:dyDescent="0.3">
      <c r="A1099" s="2">
        <v>43851</v>
      </c>
      <c r="B1099" t="s">
        <v>485</v>
      </c>
      <c r="C1099">
        <v>-17.989999999999998</v>
      </c>
      <c r="D1099" s="2">
        <v>43851</v>
      </c>
      <c r="E1099" t="s">
        <v>27</v>
      </c>
      <c r="F1099">
        <v>-17.989999999999998</v>
      </c>
      <c r="G1099">
        <v>0</v>
      </c>
    </row>
    <row r="1100" spans="1:7" x14ac:dyDescent="0.3">
      <c r="A1100" s="2">
        <v>43851</v>
      </c>
      <c r="B1100" t="s">
        <v>24</v>
      </c>
      <c r="C1100">
        <v>3075</v>
      </c>
      <c r="D1100" s="2">
        <v>43851</v>
      </c>
      <c r="E1100" t="s">
        <v>25</v>
      </c>
      <c r="F1100">
        <v>3075</v>
      </c>
      <c r="G1100">
        <v>0</v>
      </c>
    </row>
    <row r="1101" spans="1:7" x14ac:dyDescent="0.3">
      <c r="A1101" s="2">
        <v>43851</v>
      </c>
      <c r="B1101" t="s">
        <v>486</v>
      </c>
      <c r="C1101">
        <v>-3.99</v>
      </c>
      <c r="D1101" s="2">
        <v>43851</v>
      </c>
      <c r="E1101" t="s">
        <v>27</v>
      </c>
      <c r="F1101">
        <v>-3.99</v>
      </c>
      <c r="G1101">
        <v>0</v>
      </c>
    </row>
    <row r="1102" spans="1:7" x14ac:dyDescent="0.3">
      <c r="A1102" s="2">
        <v>43852</v>
      </c>
      <c r="B1102" t="s">
        <v>24</v>
      </c>
      <c r="C1102">
        <v>2070</v>
      </c>
      <c r="D1102" s="2">
        <v>43852</v>
      </c>
      <c r="E1102" t="s">
        <v>25</v>
      </c>
      <c r="F1102">
        <v>2070</v>
      </c>
      <c r="G1102">
        <v>0</v>
      </c>
    </row>
    <row r="1103" spans="1:7" x14ac:dyDescent="0.3">
      <c r="A1103" s="2">
        <v>43853</v>
      </c>
      <c r="B1103" t="s">
        <v>487</v>
      </c>
      <c r="C1103">
        <v>-14.12</v>
      </c>
      <c r="D1103" s="2">
        <v>43853</v>
      </c>
      <c r="E1103" t="s">
        <v>27</v>
      </c>
      <c r="F1103">
        <v>-14.12</v>
      </c>
      <c r="G1103">
        <v>0</v>
      </c>
    </row>
    <row r="1104" spans="1:7" x14ac:dyDescent="0.3">
      <c r="A1104" s="2">
        <v>43853</v>
      </c>
      <c r="B1104" t="s">
        <v>24</v>
      </c>
      <c r="C1104">
        <v>3305</v>
      </c>
      <c r="D1104" s="2">
        <v>43853</v>
      </c>
      <c r="E1104" t="s">
        <v>25</v>
      </c>
      <c r="F1104">
        <v>3305</v>
      </c>
      <c r="G1104">
        <v>0</v>
      </c>
    </row>
    <row r="1105" spans="1:7" x14ac:dyDescent="0.3">
      <c r="A1105" s="2">
        <v>43854</v>
      </c>
      <c r="B1105" t="s">
        <v>24</v>
      </c>
      <c r="C1105">
        <v>1940</v>
      </c>
      <c r="D1105" s="2">
        <v>43854</v>
      </c>
      <c r="E1105" t="s">
        <v>25</v>
      </c>
      <c r="F1105">
        <v>1940</v>
      </c>
      <c r="G1105">
        <v>0</v>
      </c>
    </row>
    <row r="1106" spans="1:7" x14ac:dyDescent="0.3">
      <c r="A1106" s="2">
        <v>43854</v>
      </c>
      <c r="B1106" t="s">
        <v>488</v>
      </c>
      <c r="C1106">
        <v>-37.56</v>
      </c>
      <c r="D1106" s="2">
        <v>43854</v>
      </c>
      <c r="E1106" t="s">
        <v>27</v>
      </c>
      <c r="F1106">
        <v>-37.56</v>
      </c>
      <c r="G1106">
        <v>0</v>
      </c>
    </row>
    <row r="1107" spans="1:7" x14ac:dyDescent="0.3">
      <c r="A1107" s="2">
        <v>43857</v>
      </c>
      <c r="B1107" t="s">
        <v>24</v>
      </c>
      <c r="C1107">
        <v>5340</v>
      </c>
      <c r="D1107" s="2">
        <v>43857</v>
      </c>
      <c r="E1107" t="s">
        <v>25</v>
      </c>
      <c r="F1107">
        <v>5340</v>
      </c>
      <c r="G1107">
        <v>0</v>
      </c>
    </row>
    <row r="1108" spans="1:7" x14ac:dyDescent="0.3">
      <c r="A1108" s="2">
        <v>43857</v>
      </c>
      <c r="B1108" t="s">
        <v>24</v>
      </c>
      <c r="C1108">
        <v>2225</v>
      </c>
      <c r="D1108" s="2">
        <v>43857</v>
      </c>
      <c r="E1108" t="s">
        <v>25</v>
      </c>
      <c r="F1108">
        <v>2225</v>
      </c>
      <c r="G1108">
        <v>0</v>
      </c>
    </row>
    <row r="1109" spans="1:7" x14ac:dyDescent="0.3">
      <c r="A1109" s="2">
        <v>43857</v>
      </c>
      <c r="B1109" t="s">
        <v>24</v>
      </c>
      <c r="C1109">
        <v>1885</v>
      </c>
      <c r="D1109" s="2">
        <v>43857</v>
      </c>
      <c r="E1109" t="s">
        <v>25</v>
      </c>
      <c r="F1109">
        <v>1885</v>
      </c>
      <c r="G1109">
        <v>0</v>
      </c>
    </row>
    <row r="1110" spans="1:7" x14ac:dyDescent="0.3">
      <c r="A1110" s="2">
        <v>43857</v>
      </c>
      <c r="B1110" t="s">
        <v>489</v>
      </c>
      <c r="C1110">
        <v>-28.75</v>
      </c>
      <c r="D1110" s="2">
        <v>43857</v>
      </c>
      <c r="E1110" t="s">
        <v>27</v>
      </c>
      <c r="F1110">
        <v>-28.75</v>
      </c>
      <c r="G1110">
        <v>0</v>
      </c>
    </row>
    <row r="1111" spans="1:7" x14ac:dyDescent="0.3">
      <c r="A1111" s="2">
        <v>43857</v>
      </c>
      <c r="B1111" t="s">
        <v>489</v>
      </c>
      <c r="C1111">
        <v>-6.15</v>
      </c>
      <c r="D1111" s="2">
        <v>43857</v>
      </c>
      <c r="E1111" t="s">
        <v>27</v>
      </c>
      <c r="F1111">
        <v>-6.15</v>
      </c>
      <c r="G1111">
        <v>0</v>
      </c>
    </row>
    <row r="1112" spans="1:7" x14ac:dyDescent="0.3">
      <c r="A1112" s="2">
        <v>43858</v>
      </c>
      <c r="B1112" t="s">
        <v>490</v>
      </c>
      <c r="C1112">
        <v>-178.53</v>
      </c>
      <c r="D1112" s="2">
        <v>43858</v>
      </c>
      <c r="E1112" t="s">
        <v>27</v>
      </c>
      <c r="F1112">
        <v>-178.53</v>
      </c>
      <c r="G1112">
        <v>0</v>
      </c>
    </row>
    <row r="1113" spans="1:7" x14ac:dyDescent="0.3">
      <c r="A1113" s="2">
        <v>43858</v>
      </c>
      <c r="B1113" t="s">
        <v>24</v>
      </c>
      <c r="C1113">
        <v>1970</v>
      </c>
      <c r="D1113" s="2">
        <v>43858</v>
      </c>
      <c r="E1113" t="s">
        <v>25</v>
      </c>
      <c r="F1113">
        <v>1970</v>
      </c>
      <c r="G1113">
        <v>0</v>
      </c>
    </row>
    <row r="1114" spans="1:7" x14ac:dyDescent="0.3">
      <c r="A1114" s="2">
        <v>43859</v>
      </c>
      <c r="B1114" t="s">
        <v>24</v>
      </c>
      <c r="C1114">
        <v>3295</v>
      </c>
      <c r="D1114" s="2">
        <v>43859</v>
      </c>
      <c r="E1114" t="s">
        <v>25</v>
      </c>
      <c r="F1114">
        <v>3295</v>
      </c>
      <c r="G1114">
        <v>0</v>
      </c>
    </row>
    <row r="1115" spans="1:7" x14ac:dyDescent="0.3">
      <c r="A1115" s="2">
        <v>43859</v>
      </c>
      <c r="B1115" t="s">
        <v>212</v>
      </c>
      <c r="C1115">
        <v>-70.77</v>
      </c>
      <c r="D1115" s="2">
        <v>43859</v>
      </c>
      <c r="E1115" t="s">
        <v>27</v>
      </c>
      <c r="F1115">
        <v>-70.77</v>
      </c>
      <c r="G1115">
        <v>0</v>
      </c>
    </row>
    <row r="1116" spans="1:7" x14ac:dyDescent="0.3">
      <c r="A1116" s="2">
        <v>43860</v>
      </c>
      <c r="B1116" t="s">
        <v>24</v>
      </c>
      <c r="C1116">
        <v>8165</v>
      </c>
      <c r="D1116" s="2">
        <v>43860</v>
      </c>
      <c r="E1116" t="s">
        <v>25</v>
      </c>
      <c r="F1116">
        <v>8165</v>
      </c>
      <c r="G1116">
        <v>0</v>
      </c>
    </row>
    <row r="1117" spans="1:7" x14ac:dyDescent="0.3">
      <c r="A1117" s="2">
        <v>43860</v>
      </c>
      <c r="B1117" t="s">
        <v>491</v>
      </c>
      <c r="C1117">
        <v>-22500</v>
      </c>
      <c r="D1117" s="2">
        <v>43860</v>
      </c>
      <c r="E1117" t="s">
        <v>27</v>
      </c>
      <c r="F1117">
        <v>-22500</v>
      </c>
      <c r="G1117">
        <v>0</v>
      </c>
    </row>
    <row r="1118" spans="1:7" x14ac:dyDescent="0.3">
      <c r="A1118" s="2">
        <v>43861</v>
      </c>
      <c r="B1118" t="s">
        <v>24</v>
      </c>
      <c r="C1118">
        <v>7350</v>
      </c>
      <c r="D1118" s="2">
        <v>43861</v>
      </c>
      <c r="E1118" t="s">
        <v>25</v>
      </c>
      <c r="F1118">
        <v>7350</v>
      </c>
      <c r="G1118">
        <v>0</v>
      </c>
    </row>
    <row r="1119" spans="1:7" x14ac:dyDescent="0.3">
      <c r="A1119" s="2">
        <v>43864</v>
      </c>
      <c r="B1119" t="s">
        <v>53</v>
      </c>
      <c r="C1119">
        <v>-7379.12</v>
      </c>
      <c r="D1119" s="2">
        <v>43864</v>
      </c>
      <c r="E1119" t="s">
        <v>27</v>
      </c>
      <c r="F1119">
        <v>-7379.12</v>
      </c>
      <c r="G1119">
        <v>0</v>
      </c>
    </row>
    <row r="1120" spans="1:7" x14ac:dyDescent="0.3">
      <c r="A1120" s="2">
        <v>43864</v>
      </c>
      <c r="B1120" t="s">
        <v>24</v>
      </c>
      <c r="C1120">
        <v>765</v>
      </c>
      <c r="D1120" s="2">
        <v>43864</v>
      </c>
      <c r="E1120" t="s">
        <v>25</v>
      </c>
      <c r="F1120">
        <v>765</v>
      </c>
      <c r="G1120">
        <v>0</v>
      </c>
    </row>
    <row r="1121" spans="1:7" x14ac:dyDescent="0.3">
      <c r="A1121" s="2">
        <v>43864</v>
      </c>
      <c r="B1121" t="s">
        <v>24</v>
      </c>
      <c r="C1121">
        <v>740</v>
      </c>
      <c r="D1121" s="2">
        <v>43864</v>
      </c>
      <c r="E1121" t="s">
        <v>25</v>
      </c>
      <c r="F1121">
        <v>740</v>
      </c>
      <c r="G1121">
        <v>0</v>
      </c>
    </row>
    <row r="1122" spans="1:7" x14ac:dyDescent="0.3">
      <c r="A1122" s="2">
        <v>43864</v>
      </c>
      <c r="B1122" t="s">
        <v>24</v>
      </c>
      <c r="C1122">
        <v>5085</v>
      </c>
      <c r="D1122" s="2">
        <v>43864</v>
      </c>
      <c r="E1122" t="s">
        <v>25</v>
      </c>
      <c r="F1122">
        <v>5085</v>
      </c>
      <c r="G1122">
        <v>0</v>
      </c>
    </row>
    <row r="1123" spans="1:7" x14ac:dyDescent="0.3">
      <c r="A1123" s="2">
        <v>43864</v>
      </c>
      <c r="B1123" t="s">
        <v>31</v>
      </c>
      <c r="C1123">
        <v>2000</v>
      </c>
      <c r="D1123" s="2">
        <v>43864</v>
      </c>
      <c r="E1123" t="s">
        <v>25</v>
      </c>
      <c r="F1123">
        <v>2000</v>
      </c>
      <c r="G1123">
        <v>0</v>
      </c>
    </row>
    <row r="1124" spans="1:7" x14ac:dyDescent="0.3">
      <c r="A1124" s="2">
        <v>43864</v>
      </c>
      <c r="B1124" t="s">
        <v>31</v>
      </c>
      <c r="C1124">
        <v>300</v>
      </c>
      <c r="D1124" s="2">
        <v>43864</v>
      </c>
      <c r="E1124" t="s">
        <v>25</v>
      </c>
      <c r="F1124">
        <v>300</v>
      </c>
      <c r="G1124">
        <v>0</v>
      </c>
    </row>
    <row r="1125" spans="1:7" x14ac:dyDescent="0.3">
      <c r="A1125" s="2">
        <v>43864</v>
      </c>
      <c r="B1125" t="s">
        <v>31</v>
      </c>
      <c r="C1125">
        <v>10000</v>
      </c>
      <c r="D1125" s="2">
        <v>43864</v>
      </c>
      <c r="E1125" t="s">
        <v>25</v>
      </c>
      <c r="F1125">
        <v>10000</v>
      </c>
      <c r="G1125">
        <v>0</v>
      </c>
    </row>
    <row r="1126" spans="1:7" x14ac:dyDescent="0.3">
      <c r="A1126" s="2">
        <v>43865</v>
      </c>
      <c r="B1126" t="s">
        <v>492</v>
      </c>
      <c r="C1126">
        <v>-16000</v>
      </c>
      <c r="D1126" s="2">
        <v>43865</v>
      </c>
      <c r="E1126" t="s">
        <v>27</v>
      </c>
      <c r="F1126">
        <v>-16000</v>
      </c>
      <c r="G1126">
        <v>0</v>
      </c>
    </row>
    <row r="1127" spans="1:7" x14ac:dyDescent="0.3">
      <c r="A1127" s="2">
        <v>43865</v>
      </c>
      <c r="B1127" t="s">
        <v>493</v>
      </c>
      <c r="C1127">
        <v>-3750</v>
      </c>
      <c r="D1127" s="2">
        <v>43865</v>
      </c>
      <c r="E1127" t="s">
        <v>27</v>
      </c>
      <c r="F1127">
        <v>-3750</v>
      </c>
      <c r="G1127">
        <v>0</v>
      </c>
    </row>
    <row r="1128" spans="1:7" x14ac:dyDescent="0.3">
      <c r="A1128" s="2">
        <v>43865</v>
      </c>
      <c r="B1128" t="s">
        <v>494</v>
      </c>
      <c r="C1128">
        <v>-1250</v>
      </c>
      <c r="D1128" s="2">
        <v>43865</v>
      </c>
      <c r="E1128" t="s">
        <v>27</v>
      </c>
      <c r="F1128">
        <v>-1250</v>
      </c>
      <c r="G1128">
        <v>0</v>
      </c>
    </row>
    <row r="1129" spans="1:7" x14ac:dyDescent="0.3">
      <c r="A1129" s="2">
        <v>43865</v>
      </c>
      <c r="B1129" t="s">
        <v>24</v>
      </c>
      <c r="C1129">
        <v>1640</v>
      </c>
      <c r="D1129" s="2">
        <v>43865</v>
      </c>
      <c r="E1129" t="s">
        <v>25</v>
      </c>
      <c r="F1129">
        <v>1640</v>
      </c>
      <c r="G1129">
        <v>0</v>
      </c>
    </row>
    <row r="1130" spans="1:7" x14ac:dyDescent="0.3">
      <c r="A1130" s="2">
        <v>43866</v>
      </c>
      <c r="B1130" t="s">
        <v>24</v>
      </c>
      <c r="C1130">
        <v>3350</v>
      </c>
      <c r="D1130" s="2">
        <v>43866</v>
      </c>
      <c r="E1130" t="s">
        <v>25</v>
      </c>
      <c r="F1130">
        <v>3350</v>
      </c>
      <c r="G1130">
        <v>0</v>
      </c>
    </row>
    <row r="1131" spans="1:7" x14ac:dyDescent="0.3">
      <c r="A1131" s="2">
        <v>43866</v>
      </c>
      <c r="B1131" t="s">
        <v>219</v>
      </c>
      <c r="C1131">
        <v>-34.950000000000003</v>
      </c>
      <c r="D1131" s="2">
        <v>43866</v>
      </c>
      <c r="E1131" t="s">
        <v>27</v>
      </c>
      <c r="F1131">
        <v>-34.950000000000003</v>
      </c>
      <c r="G1131">
        <v>0</v>
      </c>
    </row>
    <row r="1132" spans="1:7" x14ac:dyDescent="0.3">
      <c r="A1132" s="2">
        <v>43867</v>
      </c>
      <c r="B1132" t="s">
        <v>24</v>
      </c>
      <c r="C1132">
        <v>2615</v>
      </c>
      <c r="D1132" s="2">
        <v>43867</v>
      </c>
      <c r="E1132" t="s">
        <v>25</v>
      </c>
      <c r="F1132">
        <v>2615</v>
      </c>
      <c r="G1132">
        <v>0</v>
      </c>
    </row>
    <row r="1133" spans="1:7" x14ac:dyDescent="0.3">
      <c r="A1133" s="2">
        <v>43868</v>
      </c>
      <c r="B1133" t="s">
        <v>24</v>
      </c>
      <c r="C1133">
        <v>2855</v>
      </c>
      <c r="D1133" s="2">
        <v>43868</v>
      </c>
      <c r="E1133" t="s">
        <v>25</v>
      </c>
      <c r="F1133">
        <v>2855</v>
      </c>
      <c r="G1133">
        <v>0</v>
      </c>
    </row>
    <row r="1134" spans="1:7" x14ac:dyDescent="0.3">
      <c r="A1134" s="2">
        <v>43868</v>
      </c>
      <c r="B1134" t="s">
        <v>495</v>
      </c>
      <c r="C1134">
        <v>-583.55999999999995</v>
      </c>
      <c r="D1134" s="2">
        <v>43868</v>
      </c>
      <c r="E1134" t="s">
        <v>27</v>
      </c>
      <c r="F1134">
        <v>-583.55999999999995</v>
      </c>
      <c r="G1134">
        <v>0</v>
      </c>
    </row>
    <row r="1135" spans="1:7" x14ac:dyDescent="0.3">
      <c r="A1135" s="2">
        <v>43871</v>
      </c>
      <c r="B1135" t="s">
        <v>496</v>
      </c>
      <c r="C1135">
        <v>-6.99</v>
      </c>
      <c r="D1135" s="2">
        <v>43871</v>
      </c>
      <c r="E1135" t="s">
        <v>27</v>
      </c>
      <c r="F1135">
        <v>-6.99</v>
      </c>
      <c r="G1135">
        <v>0</v>
      </c>
    </row>
    <row r="1136" spans="1:7" x14ac:dyDescent="0.3">
      <c r="A1136" s="2">
        <v>43871</v>
      </c>
      <c r="B1136" t="s">
        <v>497</v>
      </c>
      <c r="C1136">
        <v>-537.67999999999995</v>
      </c>
      <c r="D1136" s="2">
        <v>43871</v>
      </c>
      <c r="E1136" t="s">
        <v>27</v>
      </c>
      <c r="F1136">
        <v>-537.67999999999995</v>
      </c>
      <c r="G1136">
        <v>0</v>
      </c>
    </row>
    <row r="1137" spans="1:7" x14ac:dyDescent="0.3">
      <c r="A1137" s="2">
        <v>43871</v>
      </c>
      <c r="B1137" t="s">
        <v>24</v>
      </c>
      <c r="C1137">
        <v>3855</v>
      </c>
      <c r="D1137" s="2">
        <v>43871</v>
      </c>
      <c r="E1137" t="s">
        <v>25</v>
      </c>
      <c r="F1137">
        <v>3855</v>
      </c>
      <c r="G1137">
        <v>0</v>
      </c>
    </row>
    <row r="1138" spans="1:7" x14ac:dyDescent="0.3">
      <c r="A1138" s="2">
        <v>43871</v>
      </c>
      <c r="B1138" t="s">
        <v>24</v>
      </c>
      <c r="C1138">
        <v>1505</v>
      </c>
      <c r="D1138" s="2">
        <v>43871</v>
      </c>
      <c r="E1138" t="s">
        <v>25</v>
      </c>
      <c r="F1138">
        <v>1505</v>
      </c>
      <c r="G1138">
        <v>0</v>
      </c>
    </row>
    <row r="1139" spans="1:7" x14ac:dyDescent="0.3">
      <c r="A1139" s="2">
        <v>43871</v>
      </c>
      <c r="B1139" t="s">
        <v>24</v>
      </c>
      <c r="C1139">
        <v>1415</v>
      </c>
      <c r="D1139" s="2">
        <v>43871</v>
      </c>
      <c r="E1139" t="s">
        <v>25</v>
      </c>
      <c r="F1139">
        <v>1415</v>
      </c>
      <c r="G1139">
        <v>0</v>
      </c>
    </row>
    <row r="1140" spans="1:7" x14ac:dyDescent="0.3">
      <c r="A1140" s="2">
        <v>43872</v>
      </c>
      <c r="B1140" t="s">
        <v>24</v>
      </c>
      <c r="C1140">
        <v>1690</v>
      </c>
      <c r="D1140" s="2">
        <v>43872</v>
      </c>
      <c r="E1140" t="s">
        <v>25</v>
      </c>
      <c r="F1140">
        <v>1690</v>
      </c>
      <c r="G1140">
        <v>0</v>
      </c>
    </row>
    <row r="1141" spans="1:7" x14ac:dyDescent="0.3">
      <c r="A1141" s="2">
        <v>43872</v>
      </c>
      <c r="B1141" t="s">
        <v>498</v>
      </c>
      <c r="C1141">
        <v>-1000</v>
      </c>
      <c r="D1141" s="2">
        <v>43872</v>
      </c>
      <c r="E1141" t="s">
        <v>27</v>
      </c>
      <c r="F1141">
        <v>-1000</v>
      </c>
      <c r="G1141">
        <v>0</v>
      </c>
    </row>
    <row r="1142" spans="1:7" x14ac:dyDescent="0.3">
      <c r="A1142" s="2">
        <v>43873</v>
      </c>
      <c r="B1142" t="s">
        <v>52</v>
      </c>
      <c r="C1142">
        <v>25</v>
      </c>
      <c r="D1142" s="2">
        <v>43873</v>
      </c>
      <c r="E1142" t="s">
        <v>25</v>
      </c>
      <c r="F1142">
        <v>25</v>
      </c>
      <c r="G1142">
        <v>0</v>
      </c>
    </row>
    <row r="1143" spans="1:7" x14ac:dyDescent="0.3">
      <c r="A1143" s="2">
        <v>43873</v>
      </c>
      <c r="B1143" t="s">
        <v>499</v>
      </c>
      <c r="C1143">
        <v>-1000</v>
      </c>
      <c r="D1143" s="2">
        <v>43873</v>
      </c>
      <c r="E1143" t="s">
        <v>27</v>
      </c>
      <c r="F1143">
        <v>-1000</v>
      </c>
      <c r="G1143">
        <v>0</v>
      </c>
    </row>
    <row r="1144" spans="1:7" x14ac:dyDescent="0.3">
      <c r="A1144" s="2">
        <v>43873</v>
      </c>
      <c r="B1144" t="s">
        <v>24</v>
      </c>
      <c r="C1144">
        <v>4050</v>
      </c>
      <c r="D1144" s="2">
        <v>43873</v>
      </c>
      <c r="E1144" t="s">
        <v>25</v>
      </c>
      <c r="F1144">
        <v>4050</v>
      </c>
      <c r="G1144">
        <v>0</v>
      </c>
    </row>
    <row r="1145" spans="1:7" x14ac:dyDescent="0.3">
      <c r="A1145" s="2">
        <v>43874</v>
      </c>
      <c r="B1145" t="s">
        <v>500</v>
      </c>
      <c r="C1145">
        <v>-55</v>
      </c>
      <c r="D1145" s="2">
        <v>43874</v>
      </c>
      <c r="E1145" t="s">
        <v>27</v>
      </c>
      <c r="F1145">
        <v>-55</v>
      </c>
      <c r="G1145">
        <v>0</v>
      </c>
    </row>
    <row r="1146" spans="1:7" x14ac:dyDescent="0.3">
      <c r="A1146" s="2">
        <v>43874</v>
      </c>
      <c r="B1146" t="s">
        <v>24</v>
      </c>
      <c r="C1146">
        <v>3520</v>
      </c>
      <c r="D1146" s="2">
        <v>43874</v>
      </c>
      <c r="E1146" t="s">
        <v>25</v>
      </c>
      <c r="F1146">
        <v>3520</v>
      </c>
      <c r="G1146">
        <v>0</v>
      </c>
    </row>
    <row r="1147" spans="1:7" x14ac:dyDescent="0.3">
      <c r="A1147" s="2">
        <v>43874</v>
      </c>
      <c r="B1147" t="s">
        <v>223</v>
      </c>
      <c r="C1147">
        <v>-19.59</v>
      </c>
      <c r="D1147" s="2">
        <v>43874</v>
      </c>
      <c r="E1147" t="s">
        <v>27</v>
      </c>
      <c r="F1147">
        <v>-19.59</v>
      </c>
      <c r="G1147">
        <v>0</v>
      </c>
    </row>
    <row r="1148" spans="1:7" x14ac:dyDescent="0.3">
      <c r="A1148" s="2">
        <v>43875</v>
      </c>
      <c r="B1148" t="s">
        <v>24</v>
      </c>
      <c r="C1148">
        <v>2650</v>
      </c>
      <c r="D1148" s="2">
        <v>43875</v>
      </c>
      <c r="E1148" t="s">
        <v>25</v>
      </c>
      <c r="F1148">
        <v>2650</v>
      </c>
      <c r="G1148">
        <v>0</v>
      </c>
    </row>
    <row r="1149" spans="1:7" x14ac:dyDescent="0.3">
      <c r="A1149" s="2">
        <v>43875</v>
      </c>
      <c r="B1149" t="s">
        <v>501</v>
      </c>
      <c r="C1149">
        <v>-119.88</v>
      </c>
      <c r="D1149" s="2">
        <v>43875</v>
      </c>
      <c r="E1149" t="s">
        <v>27</v>
      </c>
      <c r="F1149">
        <v>-119.88</v>
      </c>
      <c r="G1149">
        <v>0</v>
      </c>
    </row>
    <row r="1150" spans="1:7" x14ac:dyDescent="0.3">
      <c r="A1150" s="2">
        <v>43879</v>
      </c>
      <c r="B1150" t="s">
        <v>227</v>
      </c>
      <c r="C1150">
        <v>-37</v>
      </c>
      <c r="D1150" s="2">
        <v>43879</v>
      </c>
      <c r="E1150" t="s">
        <v>27</v>
      </c>
      <c r="F1150">
        <v>-37</v>
      </c>
      <c r="G1150">
        <v>0</v>
      </c>
    </row>
    <row r="1151" spans="1:7" x14ac:dyDescent="0.3">
      <c r="A1151" s="2">
        <v>43879</v>
      </c>
      <c r="B1151" t="s">
        <v>502</v>
      </c>
      <c r="C1151">
        <v>-112.99</v>
      </c>
      <c r="D1151" s="2">
        <v>43879</v>
      </c>
      <c r="E1151" t="s">
        <v>27</v>
      </c>
      <c r="F1151">
        <v>-112.99</v>
      </c>
      <c r="G1151">
        <v>0</v>
      </c>
    </row>
    <row r="1152" spans="1:7" x14ac:dyDescent="0.3">
      <c r="A1152" s="2">
        <v>43879</v>
      </c>
      <c r="B1152" t="s">
        <v>503</v>
      </c>
      <c r="C1152">
        <v>-15.23</v>
      </c>
      <c r="D1152" s="2">
        <v>43879</v>
      </c>
      <c r="E1152" t="s">
        <v>27</v>
      </c>
      <c r="F1152">
        <v>-15.23</v>
      </c>
      <c r="G1152">
        <v>0</v>
      </c>
    </row>
    <row r="1153" spans="1:7" x14ac:dyDescent="0.3">
      <c r="A1153" s="2">
        <v>43879</v>
      </c>
      <c r="B1153" t="s">
        <v>24</v>
      </c>
      <c r="C1153">
        <v>1030</v>
      </c>
      <c r="D1153" s="2">
        <v>43879</v>
      </c>
      <c r="E1153" t="s">
        <v>25</v>
      </c>
      <c r="F1153">
        <v>1030</v>
      </c>
      <c r="G1153">
        <v>0</v>
      </c>
    </row>
    <row r="1154" spans="1:7" x14ac:dyDescent="0.3">
      <c r="A1154" s="2">
        <v>43879</v>
      </c>
      <c r="B1154" t="s">
        <v>504</v>
      </c>
      <c r="C1154">
        <v>-14.99</v>
      </c>
      <c r="D1154" s="2">
        <v>43879</v>
      </c>
      <c r="E1154" t="s">
        <v>27</v>
      </c>
      <c r="F1154">
        <v>-14.99</v>
      </c>
      <c r="G1154">
        <v>0</v>
      </c>
    </row>
    <row r="1155" spans="1:7" x14ac:dyDescent="0.3">
      <c r="A1155" s="2">
        <v>43879</v>
      </c>
      <c r="B1155" t="s">
        <v>24</v>
      </c>
      <c r="C1155">
        <v>1225</v>
      </c>
      <c r="D1155" s="2">
        <v>43879</v>
      </c>
      <c r="E1155" t="s">
        <v>25</v>
      </c>
      <c r="F1155">
        <v>1225</v>
      </c>
      <c r="G1155">
        <v>0</v>
      </c>
    </row>
    <row r="1156" spans="1:7" x14ac:dyDescent="0.3">
      <c r="A1156" s="2">
        <v>43879</v>
      </c>
      <c r="B1156" t="s">
        <v>24</v>
      </c>
      <c r="C1156">
        <v>1610</v>
      </c>
      <c r="D1156" s="2">
        <v>43879</v>
      </c>
      <c r="E1156" t="s">
        <v>25</v>
      </c>
      <c r="F1156">
        <v>1610</v>
      </c>
      <c r="G1156">
        <v>0</v>
      </c>
    </row>
    <row r="1157" spans="1:7" x14ac:dyDescent="0.3">
      <c r="A1157" s="2">
        <v>43879</v>
      </c>
      <c r="B1157" t="s">
        <v>24</v>
      </c>
      <c r="C1157">
        <v>1185</v>
      </c>
      <c r="D1157" s="2">
        <v>43879</v>
      </c>
      <c r="E1157" t="s">
        <v>25</v>
      </c>
      <c r="F1157">
        <v>1185</v>
      </c>
      <c r="G1157">
        <v>0</v>
      </c>
    </row>
    <row r="1158" spans="1:7" x14ac:dyDescent="0.3">
      <c r="A1158" s="2">
        <v>43880</v>
      </c>
      <c r="B1158" t="s">
        <v>505</v>
      </c>
      <c r="C1158">
        <v>-324.45</v>
      </c>
      <c r="D1158" s="2">
        <v>43880</v>
      </c>
      <c r="E1158" t="s">
        <v>27</v>
      </c>
      <c r="F1158">
        <v>-324.45</v>
      </c>
      <c r="G1158">
        <v>0</v>
      </c>
    </row>
    <row r="1159" spans="1:7" x14ac:dyDescent="0.3">
      <c r="A1159" s="2">
        <v>43880</v>
      </c>
      <c r="B1159" t="s">
        <v>506</v>
      </c>
      <c r="C1159">
        <v>-12500</v>
      </c>
      <c r="D1159" s="2">
        <v>43880</v>
      </c>
      <c r="E1159" t="s">
        <v>27</v>
      </c>
      <c r="F1159">
        <v>-12500</v>
      </c>
      <c r="G1159">
        <v>0</v>
      </c>
    </row>
    <row r="1160" spans="1:7" x14ac:dyDescent="0.3">
      <c r="A1160" s="2">
        <v>43880</v>
      </c>
      <c r="B1160" t="s">
        <v>24</v>
      </c>
      <c r="C1160">
        <v>1335</v>
      </c>
      <c r="D1160" s="2">
        <v>43880</v>
      </c>
      <c r="E1160" t="s">
        <v>25</v>
      </c>
      <c r="F1160">
        <v>1335</v>
      </c>
      <c r="G1160">
        <v>0</v>
      </c>
    </row>
    <row r="1161" spans="1:7" x14ac:dyDescent="0.3">
      <c r="A1161" s="2">
        <v>43881</v>
      </c>
      <c r="B1161" t="s">
        <v>507</v>
      </c>
      <c r="C1161">
        <v>-490.18</v>
      </c>
      <c r="D1161" s="2">
        <v>43881</v>
      </c>
      <c r="E1161" t="s">
        <v>27</v>
      </c>
      <c r="F1161">
        <v>-490.18</v>
      </c>
      <c r="G1161">
        <v>0</v>
      </c>
    </row>
    <row r="1162" spans="1:7" x14ac:dyDescent="0.3">
      <c r="A1162" s="2">
        <v>43881</v>
      </c>
      <c r="B1162" t="s">
        <v>24</v>
      </c>
      <c r="C1162">
        <v>3360</v>
      </c>
      <c r="D1162" s="2">
        <v>43881</v>
      </c>
      <c r="E1162" t="s">
        <v>25</v>
      </c>
      <c r="F1162">
        <v>3360</v>
      </c>
      <c r="G1162">
        <v>0</v>
      </c>
    </row>
    <row r="1163" spans="1:7" x14ac:dyDescent="0.3">
      <c r="A1163" s="2">
        <v>43882</v>
      </c>
      <c r="B1163" t="s">
        <v>508</v>
      </c>
      <c r="C1163">
        <v>-5.99</v>
      </c>
      <c r="D1163" s="2">
        <v>43882</v>
      </c>
      <c r="E1163" t="s">
        <v>27</v>
      </c>
      <c r="F1163">
        <v>-5.99</v>
      </c>
      <c r="G1163">
        <v>0</v>
      </c>
    </row>
    <row r="1164" spans="1:7" x14ac:dyDescent="0.3">
      <c r="A1164" s="2">
        <v>43882</v>
      </c>
      <c r="B1164" t="s">
        <v>24</v>
      </c>
      <c r="C1164">
        <v>1660</v>
      </c>
      <c r="D1164" s="2">
        <v>43882</v>
      </c>
      <c r="E1164" t="s">
        <v>25</v>
      </c>
      <c r="F1164">
        <v>1660</v>
      </c>
      <c r="G1164">
        <v>0</v>
      </c>
    </row>
    <row r="1165" spans="1:7" x14ac:dyDescent="0.3">
      <c r="A1165" s="2">
        <v>43882</v>
      </c>
      <c r="B1165" t="s">
        <v>231</v>
      </c>
      <c r="C1165">
        <v>-60873.35</v>
      </c>
      <c r="D1165" s="2">
        <v>43882</v>
      </c>
      <c r="E1165" t="s">
        <v>27</v>
      </c>
      <c r="F1165">
        <v>-60873.35</v>
      </c>
      <c r="G1165">
        <v>0</v>
      </c>
    </row>
    <row r="1166" spans="1:7" x14ac:dyDescent="0.3">
      <c r="A1166" s="2">
        <v>43882</v>
      </c>
      <c r="B1166" t="s">
        <v>509</v>
      </c>
      <c r="C1166">
        <v>-28774.57</v>
      </c>
      <c r="D1166" s="2">
        <v>43882</v>
      </c>
      <c r="E1166" t="s">
        <v>27</v>
      </c>
      <c r="F1166">
        <v>-28774.57</v>
      </c>
      <c r="G1166">
        <v>0</v>
      </c>
    </row>
    <row r="1167" spans="1:7" x14ac:dyDescent="0.3">
      <c r="A1167" s="2">
        <v>43885</v>
      </c>
      <c r="B1167" t="s">
        <v>24</v>
      </c>
      <c r="C1167">
        <v>2365</v>
      </c>
      <c r="D1167" s="2">
        <v>43885</v>
      </c>
      <c r="E1167" t="s">
        <v>25</v>
      </c>
      <c r="F1167">
        <v>2365</v>
      </c>
      <c r="G1167">
        <v>0</v>
      </c>
    </row>
    <row r="1168" spans="1:7" x14ac:dyDescent="0.3">
      <c r="A1168" s="2">
        <v>43885</v>
      </c>
      <c r="B1168" t="s">
        <v>24</v>
      </c>
      <c r="C1168">
        <v>1230</v>
      </c>
      <c r="D1168" s="2">
        <v>43885</v>
      </c>
      <c r="E1168" t="s">
        <v>25</v>
      </c>
      <c r="F1168">
        <v>1230</v>
      </c>
      <c r="G1168">
        <v>0</v>
      </c>
    </row>
    <row r="1169" spans="1:7" x14ac:dyDescent="0.3">
      <c r="A1169" s="2">
        <v>43885</v>
      </c>
      <c r="B1169" t="s">
        <v>24</v>
      </c>
      <c r="C1169">
        <v>2915</v>
      </c>
      <c r="D1169" s="2">
        <v>43885</v>
      </c>
      <c r="E1169" t="s">
        <v>25</v>
      </c>
      <c r="F1169">
        <v>2915</v>
      </c>
      <c r="G1169">
        <v>0</v>
      </c>
    </row>
    <row r="1170" spans="1:7" x14ac:dyDescent="0.3">
      <c r="A1170" s="2">
        <v>43885</v>
      </c>
      <c r="B1170" t="s">
        <v>510</v>
      </c>
      <c r="C1170">
        <v>-195.84</v>
      </c>
      <c r="D1170" s="2">
        <v>43885</v>
      </c>
      <c r="E1170" t="s">
        <v>27</v>
      </c>
      <c r="F1170">
        <v>-195.84</v>
      </c>
      <c r="G1170">
        <v>0</v>
      </c>
    </row>
    <row r="1171" spans="1:7" x14ac:dyDescent="0.3">
      <c r="A1171" s="2">
        <v>43885</v>
      </c>
      <c r="B1171" t="s">
        <v>511</v>
      </c>
      <c r="C1171">
        <v>-26.12</v>
      </c>
      <c r="D1171" s="2">
        <v>43885</v>
      </c>
      <c r="E1171" t="s">
        <v>27</v>
      </c>
      <c r="F1171">
        <v>-26.12</v>
      </c>
      <c r="G1171">
        <v>0</v>
      </c>
    </row>
    <row r="1172" spans="1:7" x14ac:dyDescent="0.3">
      <c r="A1172" s="2">
        <v>43885</v>
      </c>
      <c r="B1172" t="s">
        <v>512</v>
      </c>
      <c r="C1172">
        <v>-83.08</v>
      </c>
      <c r="D1172" s="2">
        <v>43885</v>
      </c>
      <c r="E1172" t="s">
        <v>27</v>
      </c>
      <c r="F1172">
        <v>-83.08</v>
      </c>
      <c r="G1172">
        <v>0</v>
      </c>
    </row>
    <row r="1173" spans="1:7" x14ac:dyDescent="0.3">
      <c r="A1173" s="2">
        <v>43886</v>
      </c>
      <c r="B1173" t="s">
        <v>513</v>
      </c>
      <c r="C1173">
        <v>-22500</v>
      </c>
      <c r="D1173" s="2">
        <v>43886</v>
      </c>
      <c r="E1173" t="s">
        <v>27</v>
      </c>
      <c r="F1173">
        <v>-22500</v>
      </c>
      <c r="G1173">
        <v>0</v>
      </c>
    </row>
    <row r="1174" spans="1:7" x14ac:dyDescent="0.3">
      <c r="A1174" s="2">
        <v>43886</v>
      </c>
      <c r="B1174" t="s">
        <v>24</v>
      </c>
      <c r="C1174">
        <v>715</v>
      </c>
      <c r="D1174" s="2">
        <v>43886</v>
      </c>
      <c r="E1174" t="s">
        <v>25</v>
      </c>
      <c r="F1174">
        <v>715</v>
      </c>
      <c r="G1174">
        <v>0</v>
      </c>
    </row>
    <row r="1175" spans="1:7" x14ac:dyDescent="0.3">
      <c r="A1175" s="2">
        <v>43887</v>
      </c>
      <c r="B1175" t="s">
        <v>24</v>
      </c>
      <c r="C1175">
        <v>910</v>
      </c>
      <c r="D1175" s="2">
        <v>43887</v>
      </c>
      <c r="E1175" t="s">
        <v>25</v>
      </c>
      <c r="F1175">
        <v>910</v>
      </c>
      <c r="G1175">
        <v>0</v>
      </c>
    </row>
    <row r="1176" spans="1:7" x14ac:dyDescent="0.3">
      <c r="A1176" s="2">
        <v>43887</v>
      </c>
      <c r="B1176" t="s">
        <v>514</v>
      </c>
      <c r="C1176">
        <v>-25.26</v>
      </c>
      <c r="D1176" s="2">
        <v>43887</v>
      </c>
      <c r="E1176" t="s">
        <v>27</v>
      </c>
      <c r="F1176">
        <v>-25.26</v>
      </c>
      <c r="G1176">
        <v>0</v>
      </c>
    </row>
    <row r="1177" spans="1:7" x14ac:dyDescent="0.3">
      <c r="A1177" s="2">
        <v>43888</v>
      </c>
      <c r="B1177" t="s">
        <v>515</v>
      </c>
      <c r="C1177">
        <v>-18.5</v>
      </c>
      <c r="D1177" s="2">
        <v>43888</v>
      </c>
      <c r="E1177" t="s">
        <v>27</v>
      </c>
      <c r="F1177">
        <v>-18.5</v>
      </c>
      <c r="G1177">
        <v>0</v>
      </c>
    </row>
    <row r="1178" spans="1:7" x14ac:dyDescent="0.3">
      <c r="A1178" s="2">
        <v>43888</v>
      </c>
      <c r="B1178" t="s">
        <v>516</v>
      </c>
      <c r="C1178">
        <v>-12</v>
      </c>
      <c r="D1178" s="2">
        <v>43888</v>
      </c>
      <c r="E1178" t="s">
        <v>27</v>
      </c>
      <c r="F1178">
        <v>-12</v>
      </c>
      <c r="G1178">
        <v>0</v>
      </c>
    </row>
    <row r="1179" spans="1:7" x14ac:dyDescent="0.3">
      <c r="A1179" s="2">
        <v>43888</v>
      </c>
      <c r="B1179" t="s">
        <v>516</v>
      </c>
      <c r="C1179">
        <v>-60</v>
      </c>
      <c r="D1179" s="2">
        <v>43888</v>
      </c>
      <c r="E1179" t="s">
        <v>27</v>
      </c>
      <c r="F1179">
        <v>-60</v>
      </c>
      <c r="G1179">
        <v>0</v>
      </c>
    </row>
    <row r="1180" spans="1:7" x14ac:dyDescent="0.3">
      <c r="A1180" s="2">
        <v>43888</v>
      </c>
      <c r="B1180" t="s">
        <v>24</v>
      </c>
      <c r="C1180">
        <v>1475</v>
      </c>
      <c r="D1180" s="2">
        <v>43888</v>
      </c>
      <c r="E1180" t="s">
        <v>25</v>
      </c>
      <c r="F1180">
        <v>1475</v>
      </c>
      <c r="G1180">
        <v>0</v>
      </c>
    </row>
    <row r="1181" spans="1:7" x14ac:dyDescent="0.3">
      <c r="A1181" s="2">
        <v>43889</v>
      </c>
      <c r="B1181" t="s">
        <v>517</v>
      </c>
      <c r="C1181">
        <v>-169.55</v>
      </c>
      <c r="D1181" s="2">
        <v>43889</v>
      </c>
      <c r="E1181" t="s">
        <v>27</v>
      </c>
      <c r="F1181">
        <v>-169.55</v>
      </c>
      <c r="G1181">
        <v>0</v>
      </c>
    </row>
    <row r="1182" spans="1:7" x14ac:dyDescent="0.3">
      <c r="A1182" s="2">
        <v>43889</v>
      </c>
      <c r="B1182" t="s">
        <v>518</v>
      </c>
      <c r="C1182">
        <v>-11.43</v>
      </c>
      <c r="D1182" s="2">
        <v>43889</v>
      </c>
      <c r="E1182" t="s">
        <v>27</v>
      </c>
      <c r="F1182">
        <v>-11.43</v>
      </c>
      <c r="G1182">
        <v>0</v>
      </c>
    </row>
    <row r="1183" spans="1:7" x14ac:dyDescent="0.3">
      <c r="A1183" s="2">
        <v>43889</v>
      </c>
      <c r="B1183" t="s">
        <v>519</v>
      </c>
      <c r="C1183">
        <v>-24377.32</v>
      </c>
      <c r="D1183" s="2">
        <v>43889</v>
      </c>
      <c r="E1183" t="s">
        <v>27</v>
      </c>
      <c r="F1183">
        <v>-24377.32</v>
      </c>
      <c r="G1183">
        <v>0</v>
      </c>
    </row>
    <row r="1184" spans="1:7" x14ac:dyDescent="0.3">
      <c r="A1184" s="2">
        <v>43889</v>
      </c>
      <c r="B1184" t="s">
        <v>520</v>
      </c>
      <c r="C1184">
        <v>-494.4</v>
      </c>
      <c r="D1184" s="2">
        <v>43889</v>
      </c>
      <c r="E1184" t="s">
        <v>27</v>
      </c>
      <c r="F1184">
        <v>-494.4</v>
      </c>
      <c r="G1184">
        <v>0</v>
      </c>
    </row>
    <row r="1185" spans="1:7" x14ac:dyDescent="0.3">
      <c r="A1185" s="2">
        <v>43889</v>
      </c>
      <c r="B1185" t="s">
        <v>24</v>
      </c>
      <c r="C1185">
        <v>800</v>
      </c>
      <c r="D1185" s="2">
        <v>43889</v>
      </c>
      <c r="E1185" t="s">
        <v>25</v>
      </c>
      <c r="F1185">
        <v>800</v>
      </c>
      <c r="G1185">
        <v>0</v>
      </c>
    </row>
    <row r="1186" spans="1:7" x14ac:dyDescent="0.3">
      <c r="A1186" s="2">
        <v>43892</v>
      </c>
      <c r="B1186" t="s">
        <v>521</v>
      </c>
      <c r="C1186">
        <v>-133.68</v>
      </c>
      <c r="D1186" s="2">
        <v>43892</v>
      </c>
      <c r="E1186" t="s">
        <v>27</v>
      </c>
      <c r="F1186">
        <v>-133.68</v>
      </c>
      <c r="G1186">
        <v>0</v>
      </c>
    </row>
    <row r="1187" spans="1:7" x14ac:dyDescent="0.3">
      <c r="A1187" s="2">
        <v>43892</v>
      </c>
      <c r="B1187" t="s">
        <v>24</v>
      </c>
      <c r="C1187">
        <v>1525</v>
      </c>
      <c r="D1187" s="2">
        <v>43892</v>
      </c>
      <c r="E1187" t="s">
        <v>25</v>
      </c>
      <c r="F1187">
        <v>1525</v>
      </c>
      <c r="G1187">
        <v>0</v>
      </c>
    </row>
    <row r="1188" spans="1:7" x14ac:dyDescent="0.3">
      <c r="A1188" s="2">
        <v>43892</v>
      </c>
      <c r="B1188" t="s">
        <v>53</v>
      </c>
      <c r="C1188">
        <v>-2185.92</v>
      </c>
      <c r="D1188" s="2">
        <v>43892</v>
      </c>
      <c r="E1188" t="s">
        <v>27</v>
      </c>
      <c r="F1188">
        <v>-2185.92</v>
      </c>
      <c r="G1188">
        <v>0</v>
      </c>
    </row>
    <row r="1189" spans="1:7" x14ac:dyDescent="0.3">
      <c r="A1189" s="2">
        <v>43892</v>
      </c>
      <c r="B1189" t="s">
        <v>247</v>
      </c>
      <c r="C1189">
        <v>-14.12</v>
      </c>
      <c r="D1189" s="2">
        <v>43892</v>
      </c>
      <c r="E1189" t="s">
        <v>27</v>
      </c>
      <c r="F1189">
        <v>-14.12</v>
      </c>
      <c r="G1189">
        <v>0</v>
      </c>
    </row>
    <row r="1190" spans="1:7" x14ac:dyDescent="0.3">
      <c r="A1190" s="2">
        <v>43892</v>
      </c>
      <c r="B1190" t="s">
        <v>24</v>
      </c>
      <c r="C1190">
        <v>2295</v>
      </c>
      <c r="D1190" s="2">
        <v>43892</v>
      </c>
      <c r="E1190" t="s">
        <v>25</v>
      </c>
      <c r="F1190">
        <v>2295</v>
      </c>
      <c r="G1190">
        <v>0</v>
      </c>
    </row>
    <row r="1191" spans="1:7" x14ac:dyDescent="0.3">
      <c r="A1191" s="2">
        <v>43892</v>
      </c>
      <c r="B1191" t="s">
        <v>522</v>
      </c>
      <c r="C1191">
        <v>-21.62</v>
      </c>
      <c r="D1191" s="2">
        <v>43892</v>
      </c>
      <c r="E1191" t="s">
        <v>27</v>
      </c>
      <c r="F1191">
        <v>-21.62</v>
      </c>
      <c r="G1191">
        <v>0</v>
      </c>
    </row>
    <row r="1192" spans="1:7" x14ac:dyDescent="0.3">
      <c r="A1192" s="2">
        <v>43892</v>
      </c>
      <c r="B1192" t="s">
        <v>523</v>
      </c>
      <c r="C1192">
        <v>-94.07</v>
      </c>
      <c r="D1192" s="2">
        <v>43892</v>
      </c>
      <c r="E1192" t="s">
        <v>27</v>
      </c>
      <c r="F1192">
        <v>-94.07</v>
      </c>
      <c r="G1192">
        <v>0</v>
      </c>
    </row>
    <row r="1193" spans="1:7" x14ac:dyDescent="0.3">
      <c r="A1193" s="2">
        <v>43892</v>
      </c>
      <c r="B1193" t="s">
        <v>524</v>
      </c>
      <c r="C1193">
        <v>-3.99</v>
      </c>
      <c r="D1193" s="2">
        <v>43892</v>
      </c>
      <c r="E1193" t="s">
        <v>27</v>
      </c>
      <c r="F1193">
        <v>-3.99</v>
      </c>
      <c r="G1193">
        <v>0</v>
      </c>
    </row>
    <row r="1194" spans="1:7" x14ac:dyDescent="0.3">
      <c r="A1194" s="2">
        <v>43892</v>
      </c>
      <c r="B1194" t="s">
        <v>525</v>
      </c>
      <c r="C1194">
        <v>-2100</v>
      </c>
      <c r="D1194" s="2">
        <v>43892</v>
      </c>
      <c r="E1194" t="s">
        <v>27</v>
      </c>
      <c r="F1194">
        <v>-2100</v>
      </c>
      <c r="G1194">
        <v>0</v>
      </c>
    </row>
    <row r="1195" spans="1:7" x14ac:dyDescent="0.3">
      <c r="A1195" s="2">
        <v>43892</v>
      </c>
      <c r="B1195" t="s">
        <v>253</v>
      </c>
      <c r="C1195">
        <v>-55</v>
      </c>
      <c r="D1195" s="2">
        <v>43892</v>
      </c>
      <c r="E1195" t="s">
        <v>27</v>
      </c>
      <c r="F1195">
        <v>-55</v>
      </c>
      <c r="G1195">
        <v>0</v>
      </c>
    </row>
    <row r="1196" spans="1:7" x14ac:dyDescent="0.3">
      <c r="A1196" s="2">
        <v>43893</v>
      </c>
      <c r="B1196" t="s">
        <v>526</v>
      </c>
      <c r="C1196">
        <v>-70.77</v>
      </c>
      <c r="D1196" s="2">
        <v>43893</v>
      </c>
      <c r="E1196" t="s">
        <v>27</v>
      </c>
      <c r="F1196">
        <v>-70.77</v>
      </c>
      <c r="G1196">
        <v>0</v>
      </c>
    </row>
    <row r="1197" spans="1:7" x14ac:dyDescent="0.3">
      <c r="A1197" s="2">
        <v>43893</v>
      </c>
      <c r="B1197" t="s">
        <v>527</v>
      </c>
      <c r="C1197">
        <v>-64.88</v>
      </c>
      <c r="D1197" s="2">
        <v>43893</v>
      </c>
      <c r="E1197" t="s">
        <v>27</v>
      </c>
      <c r="F1197">
        <v>-64.88</v>
      </c>
      <c r="G1197">
        <v>0</v>
      </c>
    </row>
    <row r="1198" spans="1:7" x14ac:dyDescent="0.3">
      <c r="A1198" s="2">
        <v>43893</v>
      </c>
      <c r="B1198" t="s">
        <v>528</v>
      </c>
      <c r="C1198">
        <v>-3.99</v>
      </c>
      <c r="D1198" s="2">
        <v>43893</v>
      </c>
      <c r="E1198" t="s">
        <v>27</v>
      </c>
      <c r="F1198">
        <v>-3.99</v>
      </c>
      <c r="G1198">
        <v>0</v>
      </c>
    </row>
    <row r="1199" spans="1:7" x14ac:dyDescent="0.3">
      <c r="A1199" s="2">
        <v>43893</v>
      </c>
      <c r="B1199" t="s">
        <v>24</v>
      </c>
      <c r="C1199">
        <v>1570</v>
      </c>
      <c r="D1199" s="2">
        <v>43890</v>
      </c>
      <c r="E1199" t="s">
        <v>25</v>
      </c>
      <c r="F1199">
        <v>1570</v>
      </c>
      <c r="G1199">
        <v>0</v>
      </c>
    </row>
    <row r="1200" spans="1:7" x14ac:dyDescent="0.3">
      <c r="A1200" s="2">
        <v>43893</v>
      </c>
      <c r="B1200" t="s">
        <v>24</v>
      </c>
      <c r="C1200">
        <v>885</v>
      </c>
      <c r="D1200" s="2">
        <v>43890</v>
      </c>
      <c r="E1200" t="s">
        <v>25</v>
      </c>
      <c r="F1200">
        <v>885</v>
      </c>
      <c r="G1200">
        <v>0</v>
      </c>
    </row>
    <row r="1201" spans="1:7" x14ac:dyDescent="0.3">
      <c r="A1201" s="2">
        <v>43893</v>
      </c>
      <c r="B1201" t="s">
        <v>529</v>
      </c>
      <c r="C1201">
        <v>-14.75</v>
      </c>
      <c r="D1201" s="2">
        <v>43893</v>
      </c>
      <c r="E1201" t="s">
        <v>27</v>
      </c>
      <c r="F1201">
        <v>-14.75</v>
      </c>
      <c r="G1201">
        <v>0</v>
      </c>
    </row>
    <row r="1202" spans="1:7" x14ac:dyDescent="0.3">
      <c r="A1202" s="2">
        <v>43893</v>
      </c>
      <c r="B1202" t="s">
        <v>530</v>
      </c>
      <c r="C1202">
        <v>-9.01</v>
      </c>
      <c r="D1202" s="2">
        <v>43893</v>
      </c>
      <c r="E1202" t="s">
        <v>27</v>
      </c>
      <c r="F1202">
        <v>-9.01</v>
      </c>
      <c r="G1202">
        <v>0</v>
      </c>
    </row>
    <row r="1203" spans="1:7" x14ac:dyDescent="0.3">
      <c r="A1203" s="2">
        <v>43893</v>
      </c>
      <c r="B1203" t="s">
        <v>531</v>
      </c>
      <c r="C1203">
        <v>-32.75</v>
      </c>
      <c r="D1203" s="2">
        <v>43893</v>
      </c>
      <c r="E1203" t="s">
        <v>27</v>
      </c>
      <c r="F1203">
        <v>-32.75</v>
      </c>
      <c r="G1203">
        <v>0</v>
      </c>
    </row>
    <row r="1204" spans="1:7" x14ac:dyDescent="0.3">
      <c r="A1204" s="2">
        <v>43893</v>
      </c>
      <c r="B1204" t="s">
        <v>531</v>
      </c>
      <c r="C1204">
        <v>-66.87</v>
      </c>
      <c r="D1204" s="2">
        <v>43893</v>
      </c>
      <c r="E1204" t="s">
        <v>27</v>
      </c>
      <c r="F1204">
        <v>-66.87</v>
      </c>
      <c r="G1204">
        <v>0</v>
      </c>
    </row>
    <row r="1205" spans="1:7" x14ac:dyDescent="0.3">
      <c r="A1205" s="2">
        <v>43893</v>
      </c>
      <c r="B1205" t="s">
        <v>531</v>
      </c>
      <c r="C1205">
        <v>-77.87</v>
      </c>
      <c r="D1205" s="2">
        <v>43893</v>
      </c>
      <c r="E1205" t="s">
        <v>27</v>
      </c>
      <c r="F1205">
        <v>-77.87</v>
      </c>
      <c r="G1205">
        <v>0</v>
      </c>
    </row>
    <row r="1206" spans="1:7" x14ac:dyDescent="0.3">
      <c r="A1206" s="2">
        <v>43893</v>
      </c>
      <c r="B1206" t="s">
        <v>532</v>
      </c>
      <c r="C1206">
        <v>-82.5</v>
      </c>
      <c r="D1206" s="2">
        <v>43893</v>
      </c>
      <c r="E1206" t="s">
        <v>27</v>
      </c>
      <c r="F1206">
        <v>-82.5</v>
      </c>
      <c r="G1206">
        <v>0</v>
      </c>
    </row>
    <row r="1207" spans="1:7" x14ac:dyDescent="0.3">
      <c r="A1207" s="2">
        <v>43893</v>
      </c>
      <c r="B1207" t="s">
        <v>531</v>
      </c>
      <c r="C1207">
        <v>-39.75</v>
      </c>
      <c r="D1207" s="2">
        <v>43893</v>
      </c>
      <c r="E1207" t="s">
        <v>27</v>
      </c>
      <c r="F1207">
        <v>-39.75</v>
      </c>
      <c r="G1207">
        <v>0</v>
      </c>
    </row>
    <row r="1208" spans="1:7" x14ac:dyDescent="0.3">
      <c r="A1208" s="2">
        <v>43894</v>
      </c>
      <c r="B1208" t="s">
        <v>261</v>
      </c>
      <c r="C1208">
        <v>-34.950000000000003</v>
      </c>
      <c r="D1208" s="2">
        <v>43894</v>
      </c>
      <c r="E1208" t="s">
        <v>27</v>
      </c>
      <c r="F1208">
        <v>-34.950000000000003</v>
      </c>
      <c r="G1208">
        <v>0</v>
      </c>
    </row>
    <row r="1209" spans="1:7" x14ac:dyDescent="0.3">
      <c r="A1209" s="2">
        <v>43894</v>
      </c>
      <c r="B1209" t="s">
        <v>533</v>
      </c>
      <c r="C1209">
        <v>-80.33</v>
      </c>
      <c r="D1209" s="2">
        <v>43894</v>
      </c>
      <c r="E1209" t="s">
        <v>27</v>
      </c>
      <c r="F1209">
        <v>-80.33</v>
      </c>
      <c r="G1209">
        <v>0</v>
      </c>
    </row>
    <row r="1210" spans="1:7" x14ac:dyDescent="0.3">
      <c r="A1210" s="2">
        <v>43894</v>
      </c>
      <c r="B1210" t="s">
        <v>534</v>
      </c>
      <c r="C1210">
        <v>-31</v>
      </c>
      <c r="D1210" s="2">
        <v>43894</v>
      </c>
      <c r="E1210" t="s">
        <v>27</v>
      </c>
      <c r="F1210">
        <v>-31</v>
      </c>
      <c r="G1210">
        <v>0</v>
      </c>
    </row>
    <row r="1211" spans="1:7" x14ac:dyDescent="0.3">
      <c r="A1211" s="2">
        <v>43894</v>
      </c>
      <c r="B1211" t="s">
        <v>535</v>
      </c>
      <c r="C1211">
        <v>-92.07</v>
      </c>
      <c r="D1211" s="2">
        <v>43894</v>
      </c>
      <c r="E1211" t="s">
        <v>27</v>
      </c>
      <c r="F1211">
        <v>-92.07</v>
      </c>
      <c r="G1211">
        <v>0</v>
      </c>
    </row>
    <row r="1212" spans="1:7" x14ac:dyDescent="0.3">
      <c r="A1212" s="2">
        <v>43894</v>
      </c>
      <c r="B1212" t="s">
        <v>536</v>
      </c>
      <c r="C1212">
        <v>-136.80000000000001</v>
      </c>
      <c r="D1212" s="2">
        <v>43894</v>
      </c>
      <c r="E1212" t="s">
        <v>27</v>
      </c>
      <c r="F1212">
        <v>-136.80000000000001</v>
      </c>
      <c r="G1212">
        <v>0</v>
      </c>
    </row>
    <row r="1213" spans="1:7" x14ac:dyDescent="0.3">
      <c r="A1213" s="2">
        <v>43894</v>
      </c>
      <c r="B1213" t="s">
        <v>537</v>
      </c>
      <c r="C1213">
        <v>-572.32000000000005</v>
      </c>
      <c r="D1213" s="2">
        <v>43894</v>
      </c>
      <c r="E1213" t="s">
        <v>27</v>
      </c>
      <c r="F1213">
        <v>-572.32000000000005</v>
      </c>
      <c r="G1213">
        <v>0</v>
      </c>
    </row>
    <row r="1214" spans="1:7" x14ac:dyDescent="0.3">
      <c r="A1214" s="2">
        <v>43894</v>
      </c>
      <c r="B1214" t="s">
        <v>535</v>
      </c>
      <c r="C1214">
        <v>-12.5</v>
      </c>
      <c r="D1214" s="2">
        <v>43894</v>
      </c>
      <c r="E1214" t="s">
        <v>27</v>
      </c>
      <c r="F1214">
        <v>-12.5</v>
      </c>
      <c r="G1214">
        <v>0</v>
      </c>
    </row>
    <row r="1215" spans="1:7" x14ac:dyDescent="0.3">
      <c r="A1215" s="2">
        <v>43894</v>
      </c>
      <c r="B1215" t="s">
        <v>24</v>
      </c>
      <c r="C1215">
        <v>2295</v>
      </c>
      <c r="D1215" s="2">
        <v>43892</v>
      </c>
      <c r="E1215" t="s">
        <v>25</v>
      </c>
      <c r="F1215">
        <v>2295</v>
      </c>
      <c r="G1215">
        <v>0</v>
      </c>
    </row>
    <row r="1216" spans="1:7" x14ac:dyDescent="0.3">
      <c r="A1216" s="2">
        <v>43895</v>
      </c>
      <c r="B1216" t="s">
        <v>538</v>
      </c>
      <c r="C1216">
        <v>-32.25</v>
      </c>
      <c r="D1216" s="2">
        <v>43895</v>
      </c>
      <c r="E1216" t="s">
        <v>27</v>
      </c>
      <c r="F1216">
        <v>-32.25</v>
      </c>
      <c r="G1216">
        <v>0</v>
      </c>
    </row>
    <row r="1217" spans="1:7" x14ac:dyDescent="0.3">
      <c r="A1217" s="2">
        <v>43895</v>
      </c>
      <c r="B1217" t="s">
        <v>539</v>
      </c>
      <c r="C1217">
        <v>-76.180000000000007</v>
      </c>
      <c r="D1217" s="2">
        <v>43895</v>
      </c>
      <c r="E1217" t="s">
        <v>27</v>
      </c>
      <c r="F1217">
        <v>-76.180000000000007</v>
      </c>
      <c r="G1217">
        <v>0</v>
      </c>
    </row>
    <row r="1218" spans="1:7" x14ac:dyDescent="0.3">
      <c r="A1218" s="2">
        <v>43895</v>
      </c>
      <c r="B1218" t="s">
        <v>24</v>
      </c>
      <c r="C1218">
        <v>2620</v>
      </c>
      <c r="D1218" s="2">
        <v>43895</v>
      </c>
      <c r="E1218" t="s">
        <v>25</v>
      </c>
      <c r="F1218">
        <v>2620</v>
      </c>
      <c r="G1218">
        <v>0</v>
      </c>
    </row>
    <row r="1219" spans="1:7" x14ac:dyDescent="0.3">
      <c r="A1219" s="2">
        <v>43895</v>
      </c>
      <c r="B1219" t="s">
        <v>540</v>
      </c>
      <c r="C1219">
        <v>-56.83</v>
      </c>
      <c r="D1219" s="2">
        <v>43895</v>
      </c>
      <c r="E1219" t="s">
        <v>27</v>
      </c>
      <c r="F1219">
        <v>-56.83</v>
      </c>
      <c r="G1219">
        <v>0</v>
      </c>
    </row>
    <row r="1220" spans="1:7" x14ac:dyDescent="0.3">
      <c r="A1220" s="2">
        <v>43895</v>
      </c>
      <c r="B1220" t="s">
        <v>541</v>
      </c>
      <c r="C1220">
        <v>-24.35</v>
      </c>
      <c r="D1220" s="2">
        <v>43895</v>
      </c>
      <c r="E1220" t="s">
        <v>27</v>
      </c>
      <c r="F1220">
        <v>-24.35</v>
      </c>
      <c r="G1220">
        <v>0</v>
      </c>
    </row>
    <row r="1221" spans="1:7" x14ac:dyDescent="0.3">
      <c r="A1221" s="2">
        <v>43896</v>
      </c>
      <c r="B1221" t="s">
        <v>24</v>
      </c>
      <c r="C1221">
        <v>1540</v>
      </c>
      <c r="D1221" s="2">
        <v>43896</v>
      </c>
      <c r="E1221" t="s">
        <v>25</v>
      </c>
      <c r="F1221">
        <v>1540</v>
      </c>
      <c r="G1221">
        <v>0</v>
      </c>
    </row>
    <row r="1222" spans="1:7" x14ac:dyDescent="0.3">
      <c r="A1222" s="2">
        <v>43896</v>
      </c>
      <c r="B1222" t="s">
        <v>542</v>
      </c>
      <c r="C1222">
        <v>-14.16</v>
      </c>
      <c r="D1222" s="2">
        <v>43896</v>
      </c>
      <c r="E1222" t="s">
        <v>27</v>
      </c>
      <c r="F1222">
        <v>-14.16</v>
      </c>
      <c r="G1222">
        <v>0</v>
      </c>
    </row>
    <row r="1223" spans="1:7" x14ac:dyDescent="0.3">
      <c r="A1223" s="2">
        <v>43896</v>
      </c>
      <c r="B1223" t="s">
        <v>543</v>
      </c>
      <c r="C1223">
        <v>-1300</v>
      </c>
      <c r="D1223" s="2">
        <v>43896</v>
      </c>
      <c r="E1223" t="s">
        <v>27</v>
      </c>
      <c r="F1223">
        <v>-1300</v>
      </c>
      <c r="G1223">
        <v>0</v>
      </c>
    </row>
    <row r="1224" spans="1:7" x14ac:dyDescent="0.3">
      <c r="A1224" s="2">
        <v>43899</v>
      </c>
      <c r="B1224" t="s">
        <v>24</v>
      </c>
      <c r="C1224">
        <v>1305</v>
      </c>
      <c r="D1224" s="2">
        <v>43899</v>
      </c>
      <c r="E1224" t="s">
        <v>25</v>
      </c>
      <c r="F1224">
        <v>1305</v>
      </c>
      <c r="G1224">
        <v>0</v>
      </c>
    </row>
    <row r="1225" spans="1:7" x14ac:dyDescent="0.3">
      <c r="A1225" s="2">
        <v>43899</v>
      </c>
      <c r="B1225" t="s">
        <v>544</v>
      </c>
      <c r="C1225">
        <v>-61.18</v>
      </c>
      <c r="D1225" s="2">
        <v>43899</v>
      </c>
      <c r="E1225" t="s">
        <v>27</v>
      </c>
      <c r="F1225">
        <v>-61.18</v>
      </c>
      <c r="G1225">
        <v>0</v>
      </c>
    </row>
    <row r="1226" spans="1:7" x14ac:dyDescent="0.3">
      <c r="A1226" s="2">
        <v>43899</v>
      </c>
      <c r="B1226" t="s">
        <v>24</v>
      </c>
      <c r="C1226">
        <v>2495</v>
      </c>
      <c r="D1226" s="2">
        <v>43899</v>
      </c>
      <c r="E1226" t="s">
        <v>25</v>
      </c>
      <c r="F1226">
        <v>2495</v>
      </c>
      <c r="G1226">
        <v>0</v>
      </c>
    </row>
    <row r="1227" spans="1:7" x14ac:dyDescent="0.3">
      <c r="A1227" s="2">
        <v>43899</v>
      </c>
      <c r="B1227" t="s">
        <v>545</v>
      </c>
      <c r="C1227">
        <v>-3.99</v>
      </c>
      <c r="D1227" s="2">
        <v>43899</v>
      </c>
      <c r="E1227" t="s">
        <v>27</v>
      </c>
      <c r="F1227">
        <v>-3.99</v>
      </c>
      <c r="G1227">
        <v>0</v>
      </c>
    </row>
    <row r="1228" spans="1:7" x14ac:dyDescent="0.3">
      <c r="A1228" s="2">
        <v>43899</v>
      </c>
      <c r="B1228" t="s">
        <v>546</v>
      </c>
      <c r="C1228">
        <v>-6.99</v>
      </c>
      <c r="D1228" s="2">
        <v>43899</v>
      </c>
      <c r="E1228" t="s">
        <v>27</v>
      </c>
      <c r="F1228">
        <v>-6.99</v>
      </c>
      <c r="G1228">
        <v>0</v>
      </c>
    </row>
    <row r="1229" spans="1:7" x14ac:dyDescent="0.3">
      <c r="A1229" s="2">
        <v>43899</v>
      </c>
      <c r="B1229" t="s">
        <v>547</v>
      </c>
      <c r="C1229">
        <v>-700</v>
      </c>
      <c r="D1229" s="2">
        <v>43899</v>
      </c>
      <c r="E1229" t="s">
        <v>27</v>
      </c>
      <c r="F1229">
        <v>-700</v>
      </c>
      <c r="G1229">
        <v>0</v>
      </c>
    </row>
    <row r="1230" spans="1:7" x14ac:dyDescent="0.3">
      <c r="A1230" s="2">
        <v>43900</v>
      </c>
      <c r="B1230" t="s">
        <v>270</v>
      </c>
      <c r="C1230">
        <v>-9.99</v>
      </c>
      <c r="D1230" s="2">
        <v>43900</v>
      </c>
      <c r="E1230" t="s">
        <v>27</v>
      </c>
      <c r="F1230">
        <v>-9.99</v>
      </c>
      <c r="G1230">
        <v>0</v>
      </c>
    </row>
    <row r="1231" spans="1:7" x14ac:dyDescent="0.3">
      <c r="A1231" s="2">
        <v>43900</v>
      </c>
      <c r="B1231" t="s">
        <v>24</v>
      </c>
      <c r="C1231">
        <v>1530</v>
      </c>
      <c r="D1231" s="2">
        <v>43900</v>
      </c>
      <c r="E1231" t="s">
        <v>25</v>
      </c>
      <c r="F1231">
        <v>1530</v>
      </c>
      <c r="G1231">
        <v>0</v>
      </c>
    </row>
    <row r="1232" spans="1:7" x14ac:dyDescent="0.3">
      <c r="A1232" s="2">
        <v>43901</v>
      </c>
      <c r="B1232" t="s">
        <v>24</v>
      </c>
      <c r="C1232">
        <v>3670</v>
      </c>
      <c r="D1232" s="2">
        <v>43901</v>
      </c>
      <c r="E1232" t="s">
        <v>25</v>
      </c>
      <c r="F1232">
        <v>3670</v>
      </c>
      <c r="G1232">
        <v>0</v>
      </c>
    </row>
    <row r="1233" spans="1:7" x14ac:dyDescent="0.3">
      <c r="A1233" s="2">
        <v>43902</v>
      </c>
      <c r="B1233" t="s">
        <v>47</v>
      </c>
      <c r="C1233">
        <v>1525</v>
      </c>
      <c r="D1233" s="2">
        <v>43902</v>
      </c>
      <c r="E1233" t="s">
        <v>25</v>
      </c>
      <c r="F1233">
        <v>1525</v>
      </c>
      <c r="G1233">
        <v>0</v>
      </c>
    </row>
    <row r="1234" spans="1:7" x14ac:dyDescent="0.3">
      <c r="A1234" s="2">
        <v>43902</v>
      </c>
      <c r="B1234" t="s">
        <v>548</v>
      </c>
      <c r="C1234">
        <v>-127.97</v>
      </c>
      <c r="D1234" s="2">
        <v>43902</v>
      </c>
      <c r="E1234" t="s">
        <v>27</v>
      </c>
      <c r="F1234">
        <v>-127.97</v>
      </c>
      <c r="G1234">
        <v>0</v>
      </c>
    </row>
    <row r="1235" spans="1:7" x14ac:dyDescent="0.3">
      <c r="A1235" s="2">
        <v>43903</v>
      </c>
      <c r="B1235" t="s">
        <v>549</v>
      </c>
      <c r="C1235">
        <v>-4.5999999999999996</v>
      </c>
      <c r="D1235" s="2">
        <v>43903</v>
      </c>
      <c r="E1235" t="s">
        <v>27</v>
      </c>
      <c r="F1235">
        <v>-4.5999999999999996</v>
      </c>
      <c r="G1235">
        <v>0</v>
      </c>
    </row>
    <row r="1236" spans="1:7" x14ac:dyDescent="0.3">
      <c r="A1236" s="2">
        <v>43903</v>
      </c>
      <c r="B1236" t="s">
        <v>549</v>
      </c>
      <c r="C1236">
        <v>-42.15</v>
      </c>
      <c r="D1236" s="2">
        <v>43903</v>
      </c>
      <c r="E1236" t="s">
        <v>27</v>
      </c>
      <c r="F1236">
        <v>-42.15</v>
      </c>
      <c r="G1236">
        <v>0</v>
      </c>
    </row>
    <row r="1237" spans="1:7" x14ac:dyDescent="0.3">
      <c r="A1237" s="2">
        <v>43903</v>
      </c>
      <c r="B1237" t="s">
        <v>550</v>
      </c>
      <c r="C1237">
        <v>-20.59</v>
      </c>
      <c r="D1237" s="2">
        <v>43903</v>
      </c>
      <c r="E1237" t="s">
        <v>27</v>
      </c>
      <c r="F1237">
        <v>-20.59</v>
      </c>
      <c r="G1237">
        <v>0</v>
      </c>
    </row>
    <row r="1238" spans="1:7" x14ac:dyDescent="0.3">
      <c r="A1238" s="2">
        <v>43903</v>
      </c>
      <c r="B1238" t="s">
        <v>549</v>
      </c>
      <c r="C1238">
        <v>-4.5999999999999996</v>
      </c>
      <c r="D1238" s="2">
        <v>43903</v>
      </c>
      <c r="E1238" t="s">
        <v>27</v>
      </c>
      <c r="F1238">
        <v>-4.5999999999999996</v>
      </c>
      <c r="G1238">
        <v>0</v>
      </c>
    </row>
    <row r="1239" spans="1:7" x14ac:dyDescent="0.3">
      <c r="A1239" s="2">
        <v>43903</v>
      </c>
      <c r="B1239" t="s">
        <v>47</v>
      </c>
      <c r="C1239">
        <v>770</v>
      </c>
      <c r="D1239" s="2">
        <v>43903</v>
      </c>
      <c r="E1239" t="s">
        <v>25</v>
      </c>
      <c r="F1239">
        <v>770</v>
      </c>
      <c r="G1239">
        <v>0</v>
      </c>
    </row>
    <row r="1240" spans="1:7" x14ac:dyDescent="0.3">
      <c r="A1240" s="2">
        <v>43903</v>
      </c>
      <c r="B1240" t="s">
        <v>274</v>
      </c>
      <c r="C1240">
        <v>-19.59</v>
      </c>
      <c r="D1240" s="2">
        <v>43903</v>
      </c>
      <c r="E1240" t="s">
        <v>27</v>
      </c>
      <c r="F1240">
        <v>-19.59</v>
      </c>
      <c r="G1240">
        <v>0</v>
      </c>
    </row>
    <row r="1241" spans="1:7" x14ac:dyDescent="0.3">
      <c r="A1241" s="2">
        <v>43903</v>
      </c>
      <c r="B1241" t="s">
        <v>549</v>
      </c>
      <c r="C1241">
        <v>-16.5</v>
      </c>
      <c r="D1241" s="2">
        <v>43903</v>
      </c>
      <c r="E1241" t="s">
        <v>27</v>
      </c>
      <c r="F1241">
        <v>-16.5</v>
      </c>
      <c r="G1241">
        <v>0</v>
      </c>
    </row>
    <row r="1242" spans="1:7" x14ac:dyDescent="0.3">
      <c r="A1242" s="2">
        <v>43903</v>
      </c>
      <c r="B1242" t="s">
        <v>551</v>
      </c>
      <c r="C1242">
        <v>8225</v>
      </c>
      <c r="D1242" s="2">
        <v>43903</v>
      </c>
      <c r="E1242" t="s">
        <v>25</v>
      </c>
      <c r="F1242">
        <v>8225</v>
      </c>
      <c r="G1242">
        <v>0</v>
      </c>
    </row>
    <row r="1243" spans="1:7" x14ac:dyDescent="0.3">
      <c r="A1243" s="2">
        <v>43906</v>
      </c>
      <c r="B1243" t="s">
        <v>552</v>
      </c>
      <c r="C1243">
        <v>-151.31</v>
      </c>
      <c r="D1243" s="2">
        <v>43906</v>
      </c>
      <c r="E1243" t="s">
        <v>27</v>
      </c>
      <c r="F1243">
        <v>-151.31</v>
      </c>
      <c r="G1243">
        <v>0</v>
      </c>
    </row>
    <row r="1244" spans="1:7" x14ac:dyDescent="0.3">
      <c r="A1244" s="2">
        <v>43906</v>
      </c>
      <c r="B1244" t="s">
        <v>553</v>
      </c>
      <c r="C1244">
        <v>-40.270000000000003</v>
      </c>
      <c r="D1244" s="2">
        <v>43906</v>
      </c>
      <c r="E1244" t="s">
        <v>27</v>
      </c>
      <c r="F1244">
        <v>-40.270000000000003</v>
      </c>
      <c r="G1244">
        <v>0</v>
      </c>
    </row>
    <row r="1245" spans="1:7" x14ac:dyDescent="0.3">
      <c r="A1245" s="2">
        <v>43906</v>
      </c>
      <c r="B1245" t="s">
        <v>47</v>
      </c>
      <c r="C1245">
        <v>1520</v>
      </c>
      <c r="D1245" s="2">
        <v>43906</v>
      </c>
      <c r="E1245" t="s">
        <v>25</v>
      </c>
      <c r="F1245">
        <v>1520</v>
      </c>
      <c r="G1245">
        <v>0</v>
      </c>
    </row>
    <row r="1246" spans="1:7" x14ac:dyDescent="0.3">
      <c r="A1246" s="2">
        <v>43906</v>
      </c>
      <c r="B1246" t="s">
        <v>277</v>
      </c>
      <c r="C1246">
        <v>-83.08</v>
      </c>
      <c r="D1246" s="2">
        <v>43906</v>
      </c>
      <c r="E1246" t="s">
        <v>27</v>
      </c>
      <c r="F1246">
        <v>-83.08</v>
      </c>
      <c r="G1246">
        <v>0</v>
      </c>
    </row>
    <row r="1247" spans="1:7" x14ac:dyDescent="0.3">
      <c r="A1247" s="2">
        <v>43906</v>
      </c>
      <c r="B1247" t="s">
        <v>554</v>
      </c>
      <c r="C1247">
        <v>-75.98</v>
      </c>
      <c r="D1247" s="2">
        <v>43906</v>
      </c>
      <c r="E1247" t="s">
        <v>27</v>
      </c>
      <c r="F1247">
        <v>-75.98</v>
      </c>
      <c r="G1247">
        <v>0</v>
      </c>
    </row>
    <row r="1248" spans="1:7" x14ac:dyDescent="0.3">
      <c r="A1248" s="2">
        <v>43906</v>
      </c>
      <c r="B1248" t="s">
        <v>47</v>
      </c>
      <c r="C1248">
        <v>1050</v>
      </c>
      <c r="D1248" s="2">
        <v>43906</v>
      </c>
      <c r="E1248" t="s">
        <v>25</v>
      </c>
      <c r="F1248">
        <v>1050</v>
      </c>
      <c r="G1248">
        <v>0</v>
      </c>
    </row>
    <row r="1249" spans="1:7" x14ac:dyDescent="0.3">
      <c r="A1249" s="2">
        <v>43907</v>
      </c>
      <c r="B1249" t="s">
        <v>47</v>
      </c>
      <c r="C1249">
        <v>165</v>
      </c>
      <c r="D1249" s="2">
        <v>43907</v>
      </c>
      <c r="E1249" t="s">
        <v>25</v>
      </c>
      <c r="F1249">
        <v>165</v>
      </c>
      <c r="G1249">
        <v>0</v>
      </c>
    </row>
    <row r="1250" spans="1:7" x14ac:dyDescent="0.3">
      <c r="A1250" s="2">
        <v>43907</v>
      </c>
      <c r="B1250" t="s">
        <v>555</v>
      </c>
      <c r="C1250">
        <v>-240</v>
      </c>
      <c r="D1250" s="2">
        <v>43907</v>
      </c>
      <c r="E1250" t="s">
        <v>27</v>
      </c>
      <c r="F1250">
        <v>-240</v>
      </c>
      <c r="G1250">
        <v>0</v>
      </c>
    </row>
    <row r="1251" spans="1:7" x14ac:dyDescent="0.3">
      <c r="A1251" s="2">
        <v>43907</v>
      </c>
      <c r="B1251" t="s">
        <v>556</v>
      </c>
      <c r="C1251">
        <v>-1223.74</v>
      </c>
      <c r="D1251" s="2">
        <v>43907</v>
      </c>
      <c r="E1251" t="s">
        <v>27</v>
      </c>
      <c r="F1251">
        <v>-1223.74</v>
      </c>
      <c r="G1251">
        <v>0</v>
      </c>
    </row>
    <row r="1252" spans="1:7" x14ac:dyDescent="0.3">
      <c r="A1252" s="2">
        <v>43907</v>
      </c>
      <c r="B1252" t="s">
        <v>557</v>
      </c>
      <c r="C1252">
        <v>-563.4</v>
      </c>
      <c r="D1252" s="2">
        <v>43907</v>
      </c>
      <c r="E1252" t="s">
        <v>27</v>
      </c>
      <c r="F1252">
        <v>-563.4</v>
      </c>
      <c r="G1252">
        <v>0</v>
      </c>
    </row>
    <row r="1253" spans="1:7" x14ac:dyDescent="0.3">
      <c r="A1253" s="2">
        <v>43908</v>
      </c>
      <c r="B1253" t="s">
        <v>558</v>
      </c>
      <c r="C1253">
        <v>-81.790000000000006</v>
      </c>
      <c r="D1253" s="2">
        <v>43908</v>
      </c>
      <c r="E1253" t="s">
        <v>27</v>
      </c>
      <c r="F1253">
        <v>-81.790000000000006</v>
      </c>
      <c r="G1253">
        <v>0</v>
      </c>
    </row>
    <row r="1254" spans="1:7" x14ac:dyDescent="0.3">
      <c r="A1254" s="2">
        <v>43908</v>
      </c>
      <c r="B1254" t="s">
        <v>559</v>
      </c>
      <c r="C1254">
        <v>-2000</v>
      </c>
      <c r="D1254" s="2">
        <v>43908</v>
      </c>
      <c r="E1254" t="s">
        <v>27</v>
      </c>
      <c r="F1254">
        <v>-2000</v>
      </c>
      <c r="G1254">
        <v>0</v>
      </c>
    </row>
    <row r="1255" spans="1:7" x14ac:dyDescent="0.3">
      <c r="A1255" s="2">
        <v>43908</v>
      </c>
      <c r="B1255" t="s">
        <v>560</v>
      </c>
      <c r="C1255">
        <v>-8717.9500000000007</v>
      </c>
      <c r="D1255" s="2">
        <v>43908</v>
      </c>
      <c r="E1255" t="s">
        <v>27</v>
      </c>
      <c r="F1255">
        <v>-8717.9500000000007</v>
      </c>
      <c r="G1255">
        <v>0</v>
      </c>
    </row>
    <row r="1256" spans="1:7" x14ac:dyDescent="0.3">
      <c r="A1256" s="2">
        <v>43908</v>
      </c>
      <c r="B1256" t="s">
        <v>561</v>
      </c>
      <c r="C1256">
        <v>-311.74</v>
      </c>
      <c r="D1256" s="2">
        <v>43908</v>
      </c>
      <c r="E1256" t="s">
        <v>27</v>
      </c>
      <c r="F1256">
        <v>-311.74</v>
      </c>
      <c r="G1256">
        <v>0</v>
      </c>
    </row>
    <row r="1257" spans="1:7" x14ac:dyDescent="0.3">
      <c r="A1257" s="2">
        <v>43908</v>
      </c>
      <c r="B1257" t="s">
        <v>562</v>
      </c>
      <c r="C1257">
        <v>-6.2</v>
      </c>
      <c r="D1257" s="2">
        <v>43908</v>
      </c>
      <c r="E1257" t="s">
        <v>27</v>
      </c>
      <c r="F1257">
        <v>-6.2</v>
      </c>
      <c r="G1257">
        <v>0</v>
      </c>
    </row>
    <row r="1258" spans="1:7" x14ac:dyDescent="0.3">
      <c r="A1258" s="2">
        <v>43908</v>
      </c>
      <c r="B1258" t="s">
        <v>563</v>
      </c>
      <c r="C1258">
        <v>-11000</v>
      </c>
      <c r="D1258" s="2">
        <v>43908</v>
      </c>
      <c r="E1258" t="s">
        <v>27</v>
      </c>
      <c r="F1258">
        <v>-11000</v>
      </c>
      <c r="G1258">
        <v>0</v>
      </c>
    </row>
    <row r="1259" spans="1:7" x14ac:dyDescent="0.3">
      <c r="A1259" s="2">
        <v>43908</v>
      </c>
      <c r="B1259" t="s">
        <v>47</v>
      </c>
      <c r="C1259">
        <v>2015</v>
      </c>
      <c r="D1259" s="2">
        <v>43908</v>
      </c>
      <c r="E1259" t="s">
        <v>25</v>
      </c>
      <c r="F1259">
        <v>2015</v>
      </c>
      <c r="G1259">
        <v>0</v>
      </c>
    </row>
    <row r="1260" spans="1:7" x14ac:dyDescent="0.3">
      <c r="A1260" s="2">
        <v>43908</v>
      </c>
      <c r="B1260" t="s">
        <v>564</v>
      </c>
      <c r="C1260">
        <v>-10242.549999999999</v>
      </c>
      <c r="D1260" s="2">
        <v>43908</v>
      </c>
      <c r="E1260" t="s">
        <v>27</v>
      </c>
      <c r="F1260">
        <v>-10242.549999999999</v>
      </c>
      <c r="G1260">
        <v>0</v>
      </c>
    </row>
    <row r="1261" spans="1:7" x14ac:dyDescent="0.3">
      <c r="A1261" s="2">
        <v>43909</v>
      </c>
      <c r="B1261" t="s">
        <v>565</v>
      </c>
      <c r="C1261">
        <v>-1000</v>
      </c>
      <c r="D1261" s="2">
        <v>43909</v>
      </c>
      <c r="E1261" t="s">
        <v>27</v>
      </c>
      <c r="F1261">
        <v>-1000</v>
      </c>
      <c r="G1261">
        <v>0</v>
      </c>
    </row>
    <row r="1262" spans="1:7" x14ac:dyDescent="0.3">
      <c r="A1262" s="2">
        <v>43909</v>
      </c>
      <c r="B1262" t="s">
        <v>47</v>
      </c>
      <c r="C1262">
        <v>-1220</v>
      </c>
      <c r="D1262" s="2">
        <v>43909</v>
      </c>
      <c r="E1262" t="s">
        <v>27</v>
      </c>
      <c r="F1262">
        <v>-1220</v>
      </c>
      <c r="G1262">
        <v>0</v>
      </c>
    </row>
    <row r="1263" spans="1:7" x14ac:dyDescent="0.3">
      <c r="A1263" s="2">
        <v>43910</v>
      </c>
      <c r="B1263" t="s">
        <v>566</v>
      </c>
      <c r="C1263">
        <v>-295</v>
      </c>
      <c r="D1263" s="2">
        <v>43910</v>
      </c>
      <c r="E1263" t="s">
        <v>27</v>
      </c>
      <c r="F1263">
        <v>-295</v>
      </c>
      <c r="G1263">
        <v>0</v>
      </c>
    </row>
    <row r="1264" spans="1:7" x14ac:dyDescent="0.3">
      <c r="A1264" s="2">
        <v>43910</v>
      </c>
      <c r="B1264" t="s">
        <v>567</v>
      </c>
      <c r="C1264">
        <v>275</v>
      </c>
      <c r="D1264" s="2">
        <v>43910</v>
      </c>
      <c r="E1264" t="s">
        <v>25</v>
      </c>
      <c r="F1264">
        <v>275</v>
      </c>
      <c r="G1264">
        <v>0</v>
      </c>
    </row>
    <row r="1265" spans="1:7" x14ac:dyDescent="0.3">
      <c r="A1265" s="2">
        <v>43910</v>
      </c>
      <c r="B1265" t="s">
        <v>568</v>
      </c>
      <c r="C1265">
        <v>-275</v>
      </c>
      <c r="D1265" s="2">
        <v>43910</v>
      </c>
      <c r="E1265" t="s">
        <v>27</v>
      </c>
      <c r="F1265">
        <v>-275</v>
      </c>
      <c r="G1265">
        <v>0</v>
      </c>
    </row>
    <row r="1266" spans="1:7" x14ac:dyDescent="0.3">
      <c r="A1266" s="2">
        <v>43910</v>
      </c>
      <c r="B1266" t="s">
        <v>569</v>
      </c>
      <c r="C1266">
        <v>343.86</v>
      </c>
      <c r="D1266" s="2">
        <v>43910</v>
      </c>
      <c r="E1266" t="s">
        <v>25</v>
      </c>
      <c r="F1266">
        <v>343.86</v>
      </c>
      <c r="G1266">
        <v>0</v>
      </c>
    </row>
    <row r="1267" spans="1:7" x14ac:dyDescent="0.3">
      <c r="A1267" s="2">
        <v>43910</v>
      </c>
      <c r="B1267" t="s">
        <v>570</v>
      </c>
      <c r="C1267">
        <v>-295</v>
      </c>
      <c r="D1267" s="2">
        <v>43910</v>
      </c>
      <c r="E1267" t="s">
        <v>27</v>
      </c>
      <c r="F1267">
        <v>-295</v>
      </c>
      <c r="G1267">
        <v>0</v>
      </c>
    </row>
    <row r="1268" spans="1:7" x14ac:dyDescent="0.3">
      <c r="A1268" s="2">
        <v>43910</v>
      </c>
      <c r="B1268" t="s">
        <v>47</v>
      </c>
      <c r="C1268">
        <v>245</v>
      </c>
      <c r="D1268" s="2">
        <v>43910</v>
      </c>
      <c r="E1268" t="s">
        <v>25</v>
      </c>
      <c r="F1268">
        <v>245</v>
      </c>
      <c r="G1268">
        <v>0</v>
      </c>
    </row>
    <row r="1269" spans="1:7" x14ac:dyDescent="0.3">
      <c r="A1269" s="2">
        <v>43910</v>
      </c>
      <c r="B1269" t="s">
        <v>571</v>
      </c>
      <c r="C1269">
        <v>-275</v>
      </c>
      <c r="D1269" s="2">
        <v>43910</v>
      </c>
      <c r="E1269" t="s">
        <v>27</v>
      </c>
      <c r="F1269">
        <v>-275</v>
      </c>
      <c r="G1269">
        <v>0</v>
      </c>
    </row>
    <row r="1270" spans="1:7" x14ac:dyDescent="0.3">
      <c r="A1270" s="2">
        <v>43910</v>
      </c>
      <c r="B1270" t="s">
        <v>572</v>
      </c>
      <c r="C1270">
        <v>-295</v>
      </c>
      <c r="D1270" s="2">
        <v>43910</v>
      </c>
      <c r="E1270" t="s">
        <v>27</v>
      </c>
      <c r="F1270">
        <v>-295</v>
      </c>
      <c r="G1270">
        <v>0</v>
      </c>
    </row>
    <row r="1271" spans="1:7" x14ac:dyDescent="0.3">
      <c r="A1271" s="2">
        <v>43910</v>
      </c>
      <c r="B1271" t="s">
        <v>573</v>
      </c>
      <c r="C1271">
        <v>-275</v>
      </c>
      <c r="D1271" s="2">
        <v>43910</v>
      </c>
      <c r="E1271" t="s">
        <v>27</v>
      </c>
      <c r="F1271">
        <v>-275</v>
      </c>
      <c r="G1271">
        <v>0</v>
      </c>
    </row>
    <row r="1272" spans="1:7" x14ac:dyDescent="0.3">
      <c r="A1272" s="2">
        <v>43910</v>
      </c>
      <c r="B1272" t="s">
        <v>574</v>
      </c>
      <c r="C1272">
        <v>-275</v>
      </c>
      <c r="D1272" s="2">
        <v>43910</v>
      </c>
      <c r="E1272" t="s">
        <v>27</v>
      </c>
      <c r="F1272">
        <v>-275</v>
      </c>
      <c r="G1272">
        <v>0</v>
      </c>
    </row>
    <row r="1273" spans="1:7" x14ac:dyDescent="0.3">
      <c r="A1273" s="2">
        <v>43910</v>
      </c>
      <c r="B1273" t="s">
        <v>575</v>
      </c>
      <c r="C1273">
        <v>-335</v>
      </c>
      <c r="D1273" s="2">
        <v>43910</v>
      </c>
      <c r="E1273" t="s">
        <v>27</v>
      </c>
      <c r="F1273">
        <v>-335</v>
      </c>
      <c r="G1273">
        <v>0</v>
      </c>
    </row>
    <row r="1274" spans="1:7" x14ac:dyDescent="0.3">
      <c r="A1274" s="2">
        <v>43910</v>
      </c>
      <c r="B1274" t="s">
        <v>576</v>
      </c>
      <c r="C1274">
        <v>-100</v>
      </c>
      <c r="D1274" s="2">
        <v>43910</v>
      </c>
      <c r="E1274" t="s">
        <v>27</v>
      </c>
      <c r="F1274">
        <v>-100</v>
      </c>
      <c r="G1274">
        <v>0</v>
      </c>
    </row>
    <row r="1275" spans="1:7" x14ac:dyDescent="0.3">
      <c r="A1275" s="2">
        <v>43910</v>
      </c>
      <c r="B1275" t="s">
        <v>577</v>
      </c>
      <c r="C1275">
        <v>-295</v>
      </c>
      <c r="D1275" s="2">
        <v>43910</v>
      </c>
      <c r="E1275" t="s">
        <v>27</v>
      </c>
      <c r="F1275">
        <v>-295</v>
      </c>
      <c r="G1275">
        <v>0</v>
      </c>
    </row>
    <row r="1276" spans="1:7" x14ac:dyDescent="0.3">
      <c r="A1276" s="2">
        <v>43910</v>
      </c>
      <c r="B1276" t="s">
        <v>578</v>
      </c>
      <c r="C1276">
        <v>-295</v>
      </c>
      <c r="D1276" s="2">
        <v>43910</v>
      </c>
      <c r="E1276" t="s">
        <v>27</v>
      </c>
      <c r="F1276">
        <v>-295</v>
      </c>
      <c r="G1276">
        <v>0</v>
      </c>
    </row>
    <row r="1277" spans="1:7" x14ac:dyDescent="0.3">
      <c r="A1277" s="2">
        <v>43910</v>
      </c>
      <c r="B1277" t="s">
        <v>579</v>
      </c>
      <c r="C1277">
        <v>-275</v>
      </c>
      <c r="D1277" s="2">
        <v>43910</v>
      </c>
      <c r="E1277" t="s">
        <v>27</v>
      </c>
      <c r="F1277">
        <v>-275</v>
      </c>
      <c r="G1277">
        <v>0</v>
      </c>
    </row>
    <row r="1278" spans="1:7" x14ac:dyDescent="0.3">
      <c r="A1278" s="2">
        <v>43910</v>
      </c>
      <c r="B1278" t="s">
        <v>580</v>
      </c>
      <c r="C1278">
        <v>-275</v>
      </c>
      <c r="D1278" s="2">
        <v>43910</v>
      </c>
      <c r="E1278" t="s">
        <v>27</v>
      </c>
      <c r="F1278">
        <v>-275</v>
      </c>
      <c r="G1278">
        <v>0</v>
      </c>
    </row>
    <row r="1279" spans="1:7" x14ac:dyDescent="0.3">
      <c r="A1279" s="2">
        <v>43910</v>
      </c>
      <c r="B1279" t="s">
        <v>581</v>
      </c>
      <c r="C1279">
        <v>-295</v>
      </c>
      <c r="D1279" s="2">
        <v>43910</v>
      </c>
      <c r="E1279" t="s">
        <v>27</v>
      </c>
      <c r="F1279">
        <v>-295</v>
      </c>
      <c r="G1279">
        <v>0</v>
      </c>
    </row>
    <row r="1280" spans="1:7" x14ac:dyDescent="0.3">
      <c r="A1280" s="2">
        <v>43910</v>
      </c>
      <c r="B1280" t="s">
        <v>582</v>
      </c>
      <c r="C1280">
        <v>-315</v>
      </c>
      <c r="D1280" s="2">
        <v>43910</v>
      </c>
      <c r="E1280" t="s">
        <v>27</v>
      </c>
      <c r="F1280">
        <v>-315</v>
      </c>
      <c r="G1280">
        <v>0</v>
      </c>
    </row>
    <row r="1281" spans="1:7" x14ac:dyDescent="0.3">
      <c r="A1281" s="2">
        <v>43910</v>
      </c>
      <c r="B1281" t="s">
        <v>583</v>
      </c>
      <c r="C1281">
        <v>-375</v>
      </c>
      <c r="D1281" s="2">
        <v>43910</v>
      </c>
      <c r="E1281" t="s">
        <v>27</v>
      </c>
      <c r="F1281">
        <v>-375</v>
      </c>
      <c r="G1281">
        <v>0</v>
      </c>
    </row>
    <row r="1282" spans="1:7" x14ac:dyDescent="0.3">
      <c r="A1282" s="2">
        <v>43910</v>
      </c>
      <c r="B1282" t="s">
        <v>584</v>
      </c>
      <c r="C1282">
        <v>-375</v>
      </c>
      <c r="D1282" s="2">
        <v>43910</v>
      </c>
      <c r="E1282" t="s">
        <v>27</v>
      </c>
      <c r="F1282">
        <v>-375</v>
      </c>
      <c r="G1282">
        <v>0</v>
      </c>
    </row>
    <row r="1283" spans="1:7" x14ac:dyDescent="0.3">
      <c r="A1283" s="2">
        <v>43910</v>
      </c>
      <c r="B1283" t="s">
        <v>585</v>
      </c>
      <c r="C1283">
        <v>-275</v>
      </c>
      <c r="D1283" s="2">
        <v>43910</v>
      </c>
      <c r="E1283" t="s">
        <v>27</v>
      </c>
      <c r="F1283">
        <v>-275</v>
      </c>
      <c r="G1283">
        <v>0</v>
      </c>
    </row>
    <row r="1284" spans="1:7" x14ac:dyDescent="0.3">
      <c r="A1284" s="2">
        <v>43913</v>
      </c>
      <c r="B1284" t="s">
        <v>586</v>
      </c>
      <c r="C1284">
        <v>-275</v>
      </c>
      <c r="D1284" s="2">
        <v>43913</v>
      </c>
      <c r="E1284" t="s">
        <v>27</v>
      </c>
      <c r="F1284">
        <v>-275</v>
      </c>
      <c r="G1284">
        <v>0</v>
      </c>
    </row>
    <row r="1285" spans="1:7" x14ac:dyDescent="0.3">
      <c r="A1285" s="2">
        <v>43913</v>
      </c>
      <c r="B1285" t="s">
        <v>47</v>
      </c>
      <c r="C1285">
        <v>165</v>
      </c>
      <c r="D1285" s="2">
        <v>43913</v>
      </c>
      <c r="E1285" t="s">
        <v>25</v>
      </c>
      <c r="F1285">
        <v>165</v>
      </c>
      <c r="G1285">
        <v>0</v>
      </c>
    </row>
    <row r="1286" spans="1:7" x14ac:dyDescent="0.3">
      <c r="A1286" s="2">
        <v>43913</v>
      </c>
      <c r="B1286" t="s">
        <v>587</v>
      </c>
      <c r="C1286">
        <v>-275</v>
      </c>
      <c r="D1286" s="2">
        <v>43913</v>
      </c>
      <c r="E1286" t="s">
        <v>27</v>
      </c>
      <c r="F1286">
        <v>-275</v>
      </c>
      <c r="G1286">
        <v>0</v>
      </c>
    </row>
    <row r="1287" spans="1:7" x14ac:dyDescent="0.3">
      <c r="A1287" s="2">
        <v>43913</v>
      </c>
      <c r="B1287" t="s">
        <v>588</v>
      </c>
      <c r="C1287">
        <v>-2775</v>
      </c>
      <c r="D1287" s="2">
        <v>43913</v>
      </c>
      <c r="E1287" t="s">
        <v>27</v>
      </c>
      <c r="F1287">
        <v>-2775</v>
      </c>
      <c r="G1287">
        <v>0</v>
      </c>
    </row>
    <row r="1288" spans="1:7" x14ac:dyDescent="0.3">
      <c r="A1288" s="2">
        <v>43913</v>
      </c>
      <c r="B1288" t="s">
        <v>589</v>
      </c>
      <c r="C1288">
        <v>-275</v>
      </c>
      <c r="D1288" s="2">
        <v>43913</v>
      </c>
      <c r="E1288" t="s">
        <v>27</v>
      </c>
      <c r="F1288">
        <v>-275</v>
      </c>
      <c r="G1288">
        <v>0</v>
      </c>
    </row>
    <row r="1289" spans="1:7" x14ac:dyDescent="0.3">
      <c r="A1289" s="2">
        <v>43913</v>
      </c>
      <c r="B1289" t="s">
        <v>590</v>
      </c>
      <c r="C1289">
        <v>-275</v>
      </c>
      <c r="D1289" s="2">
        <v>43913</v>
      </c>
      <c r="E1289" t="s">
        <v>27</v>
      </c>
      <c r="F1289">
        <v>-275</v>
      </c>
      <c r="G1289">
        <v>0</v>
      </c>
    </row>
    <row r="1290" spans="1:7" x14ac:dyDescent="0.3">
      <c r="A1290" s="2">
        <v>43913</v>
      </c>
      <c r="B1290" t="s">
        <v>591</v>
      </c>
      <c r="C1290">
        <v>-295</v>
      </c>
      <c r="D1290" s="2">
        <v>43913</v>
      </c>
      <c r="E1290" t="s">
        <v>27</v>
      </c>
      <c r="F1290">
        <v>-295</v>
      </c>
      <c r="G1290">
        <v>0</v>
      </c>
    </row>
    <row r="1291" spans="1:7" x14ac:dyDescent="0.3">
      <c r="A1291" s="2">
        <v>43913</v>
      </c>
      <c r="B1291" t="s">
        <v>592</v>
      </c>
      <c r="C1291">
        <v>-275</v>
      </c>
      <c r="D1291" s="2">
        <v>43913</v>
      </c>
      <c r="E1291" t="s">
        <v>27</v>
      </c>
      <c r="F1291">
        <v>-275</v>
      </c>
      <c r="G1291">
        <v>0</v>
      </c>
    </row>
    <row r="1292" spans="1:7" x14ac:dyDescent="0.3">
      <c r="A1292" s="2">
        <v>43913</v>
      </c>
      <c r="B1292" t="s">
        <v>593</v>
      </c>
      <c r="C1292">
        <v>-275</v>
      </c>
      <c r="D1292" s="2">
        <v>43913</v>
      </c>
      <c r="E1292" t="s">
        <v>27</v>
      </c>
      <c r="F1292">
        <v>-275</v>
      </c>
      <c r="G1292">
        <v>0</v>
      </c>
    </row>
    <row r="1293" spans="1:7" x14ac:dyDescent="0.3">
      <c r="A1293" s="2">
        <v>43913</v>
      </c>
      <c r="B1293" t="s">
        <v>594</v>
      </c>
      <c r="C1293">
        <v>-275</v>
      </c>
      <c r="D1293" s="2">
        <v>43913</v>
      </c>
      <c r="E1293" t="s">
        <v>27</v>
      </c>
      <c r="F1293">
        <v>-275</v>
      </c>
      <c r="G1293">
        <v>0</v>
      </c>
    </row>
    <row r="1294" spans="1:7" x14ac:dyDescent="0.3">
      <c r="A1294" s="2">
        <v>43913</v>
      </c>
      <c r="B1294" t="s">
        <v>595</v>
      </c>
      <c r="C1294">
        <v>-295</v>
      </c>
      <c r="D1294" s="2">
        <v>43913</v>
      </c>
      <c r="E1294" t="s">
        <v>27</v>
      </c>
      <c r="F1294">
        <v>-295</v>
      </c>
      <c r="G1294">
        <v>0</v>
      </c>
    </row>
    <row r="1295" spans="1:7" x14ac:dyDescent="0.3">
      <c r="A1295" s="2">
        <v>43913</v>
      </c>
      <c r="B1295" t="s">
        <v>596</v>
      </c>
      <c r="C1295">
        <v>-275</v>
      </c>
      <c r="D1295" s="2">
        <v>43913</v>
      </c>
      <c r="E1295" t="s">
        <v>27</v>
      </c>
      <c r="F1295">
        <v>-275</v>
      </c>
      <c r="G1295">
        <v>0</v>
      </c>
    </row>
    <row r="1296" spans="1:7" x14ac:dyDescent="0.3">
      <c r="A1296" s="2">
        <v>43914</v>
      </c>
      <c r="B1296" t="s">
        <v>597</v>
      </c>
      <c r="C1296">
        <v>-295</v>
      </c>
      <c r="D1296" s="2">
        <v>43914</v>
      </c>
      <c r="E1296" t="s">
        <v>27</v>
      </c>
      <c r="F1296">
        <v>-295</v>
      </c>
      <c r="G1296">
        <v>0</v>
      </c>
    </row>
    <row r="1297" spans="1:7" x14ac:dyDescent="0.3">
      <c r="A1297" s="2">
        <v>43914</v>
      </c>
      <c r="B1297" t="s">
        <v>598</v>
      </c>
      <c r="C1297">
        <v>-375</v>
      </c>
      <c r="D1297" s="2">
        <v>43914</v>
      </c>
      <c r="E1297" t="s">
        <v>27</v>
      </c>
      <c r="F1297">
        <v>-375</v>
      </c>
      <c r="G1297">
        <v>0</v>
      </c>
    </row>
    <row r="1298" spans="1:7" x14ac:dyDescent="0.3">
      <c r="A1298" s="2">
        <v>43914</v>
      </c>
      <c r="B1298" t="s">
        <v>599</v>
      </c>
      <c r="C1298">
        <v>-275</v>
      </c>
      <c r="D1298" s="2">
        <v>43914</v>
      </c>
      <c r="E1298" t="s">
        <v>27</v>
      </c>
      <c r="F1298">
        <v>-275</v>
      </c>
      <c r="G1298">
        <v>0</v>
      </c>
    </row>
    <row r="1299" spans="1:7" x14ac:dyDescent="0.3">
      <c r="A1299" s="2">
        <v>43914</v>
      </c>
      <c r="B1299" t="s">
        <v>600</v>
      </c>
      <c r="C1299">
        <v>-295</v>
      </c>
      <c r="D1299" s="2">
        <v>43914</v>
      </c>
      <c r="E1299" t="s">
        <v>27</v>
      </c>
      <c r="F1299">
        <v>-295</v>
      </c>
      <c r="G1299">
        <v>0</v>
      </c>
    </row>
    <row r="1300" spans="1:7" x14ac:dyDescent="0.3">
      <c r="A1300" s="2">
        <v>43914</v>
      </c>
      <c r="B1300" t="s">
        <v>601</v>
      </c>
      <c r="C1300">
        <v>-295</v>
      </c>
      <c r="D1300" s="2">
        <v>43914</v>
      </c>
      <c r="E1300" t="s">
        <v>27</v>
      </c>
      <c r="F1300">
        <v>-295</v>
      </c>
      <c r="G1300">
        <v>0</v>
      </c>
    </row>
    <row r="1301" spans="1:7" x14ac:dyDescent="0.3">
      <c r="A1301" s="2">
        <v>43914</v>
      </c>
      <c r="B1301" t="s">
        <v>602</v>
      </c>
      <c r="C1301">
        <v>-275</v>
      </c>
      <c r="D1301" s="2">
        <v>43914</v>
      </c>
      <c r="E1301" t="s">
        <v>27</v>
      </c>
      <c r="F1301">
        <v>-275</v>
      </c>
      <c r="G1301">
        <v>0</v>
      </c>
    </row>
    <row r="1302" spans="1:7" x14ac:dyDescent="0.3">
      <c r="A1302" s="2">
        <v>43914</v>
      </c>
      <c r="B1302" t="s">
        <v>603</v>
      </c>
      <c r="C1302">
        <v>-275</v>
      </c>
      <c r="D1302" s="2">
        <v>43914</v>
      </c>
      <c r="E1302" t="s">
        <v>27</v>
      </c>
      <c r="F1302">
        <v>-275</v>
      </c>
      <c r="G1302">
        <v>0</v>
      </c>
    </row>
    <row r="1303" spans="1:7" x14ac:dyDescent="0.3">
      <c r="A1303" s="2">
        <v>43914</v>
      </c>
      <c r="B1303" t="s">
        <v>604</v>
      </c>
      <c r="C1303">
        <v>-275</v>
      </c>
      <c r="D1303" s="2">
        <v>43914</v>
      </c>
      <c r="E1303" t="s">
        <v>27</v>
      </c>
      <c r="F1303">
        <v>-275</v>
      </c>
      <c r="G1303">
        <v>0</v>
      </c>
    </row>
    <row r="1304" spans="1:7" x14ac:dyDescent="0.3">
      <c r="A1304" s="2">
        <v>43914</v>
      </c>
      <c r="B1304" t="s">
        <v>605</v>
      </c>
      <c r="C1304">
        <v>-295</v>
      </c>
      <c r="D1304" s="2">
        <v>43914</v>
      </c>
      <c r="E1304" t="s">
        <v>27</v>
      </c>
      <c r="F1304">
        <v>-295</v>
      </c>
      <c r="G1304">
        <v>0</v>
      </c>
    </row>
    <row r="1305" spans="1:7" x14ac:dyDescent="0.3">
      <c r="A1305" s="2">
        <v>43914</v>
      </c>
      <c r="B1305" t="s">
        <v>606</v>
      </c>
      <c r="C1305">
        <v>-295</v>
      </c>
      <c r="D1305" s="2">
        <v>43914</v>
      </c>
      <c r="E1305" t="s">
        <v>27</v>
      </c>
      <c r="F1305">
        <v>-295</v>
      </c>
      <c r="G1305">
        <v>0</v>
      </c>
    </row>
    <row r="1306" spans="1:7" x14ac:dyDescent="0.3">
      <c r="A1306" s="2">
        <v>43914</v>
      </c>
      <c r="B1306" t="s">
        <v>607</v>
      </c>
      <c r="C1306">
        <v>-295</v>
      </c>
      <c r="D1306" s="2">
        <v>43914</v>
      </c>
      <c r="E1306" t="s">
        <v>27</v>
      </c>
      <c r="F1306">
        <v>-295</v>
      </c>
      <c r="G1306">
        <v>0</v>
      </c>
    </row>
    <row r="1307" spans="1:7" x14ac:dyDescent="0.3">
      <c r="A1307" s="2">
        <v>43914</v>
      </c>
      <c r="B1307" t="s">
        <v>608</v>
      </c>
      <c r="C1307">
        <v>-275</v>
      </c>
      <c r="D1307" s="2">
        <v>43914</v>
      </c>
      <c r="E1307" t="s">
        <v>27</v>
      </c>
      <c r="F1307">
        <v>-275</v>
      </c>
      <c r="G1307">
        <v>0</v>
      </c>
    </row>
    <row r="1308" spans="1:7" x14ac:dyDescent="0.3">
      <c r="A1308" s="2">
        <v>43914</v>
      </c>
      <c r="B1308" t="s">
        <v>609</v>
      </c>
      <c r="C1308">
        <v>-315</v>
      </c>
      <c r="D1308" s="2">
        <v>43914</v>
      </c>
      <c r="E1308" t="s">
        <v>27</v>
      </c>
      <c r="F1308">
        <v>-315</v>
      </c>
      <c r="G1308">
        <v>0</v>
      </c>
    </row>
    <row r="1309" spans="1:7" x14ac:dyDescent="0.3">
      <c r="A1309" s="2">
        <v>43914</v>
      </c>
      <c r="B1309" t="s">
        <v>610</v>
      </c>
      <c r="C1309">
        <v>-275</v>
      </c>
      <c r="D1309" s="2">
        <v>43914</v>
      </c>
      <c r="E1309" t="s">
        <v>27</v>
      </c>
      <c r="F1309">
        <v>-275</v>
      </c>
      <c r="G1309">
        <v>0</v>
      </c>
    </row>
    <row r="1310" spans="1:7" x14ac:dyDescent="0.3">
      <c r="A1310" s="2">
        <v>43914</v>
      </c>
      <c r="B1310" t="s">
        <v>611</v>
      </c>
      <c r="C1310">
        <v>-295</v>
      </c>
      <c r="D1310" s="2">
        <v>43914</v>
      </c>
      <c r="E1310" t="s">
        <v>27</v>
      </c>
      <c r="F1310">
        <v>-295</v>
      </c>
      <c r="G1310">
        <v>0</v>
      </c>
    </row>
    <row r="1311" spans="1:7" x14ac:dyDescent="0.3">
      <c r="A1311" s="2">
        <v>43914</v>
      </c>
      <c r="B1311" t="s">
        <v>612</v>
      </c>
      <c r="C1311">
        <v>-275</v>
      </c>
      <c r="D1311" s="2">
        <v>43914</v>
      </c>
      <c r="E1311" t="s">
        <v>27</v>
      </c>
      <c r="F1311">
        <v>-275</v>
      </c>
      <c r="G1311">
        <v>0</v>
      </c>
    </row>
    <row r="1312" spans="1:7" x14ac:dyDescent="0.3">
      <c r="A1312" s="2">
        <v>43914</v>
      </c>
      <c r="B1312" t="s">
        <v>613</v>
      </c>
      <c r="C1312">
        <v>-295</v>
      </c>
      <c r="D1312" s="2">
        <v>43914</v>
      </c>
      <c r="E1312" t="s">
        <v>27</v>
      </c>
      <c r="F1312">
        <v>-295</v>
      </c>
      <c r="G1312">
        <v>0</v>
      </c>
    </row>
    <row r="1313" spans="1:7" x14ac:dyDescent="0.3">
      <c r="A1313" s="2">
        <v>43914</v>
      </c>
      <c r="B1313" t="s">
        <v>614</v>
      </c>
      <c r="C1313">
        <v>-1770</v>
      </c>
      <c r="D1313" s="2">
        <v>43914</v>
      </c>
      <c r="E1313" t="s">
        <v>27</v>
      </c>
      <c r="F1313">
        <v>-1770</v>
      </c>
      <c r="G1313">
        <v>0</v>
      </c>
    </row>
    <row r="1314" spans="1:7" x14ac:dyDescent="0.3">
      <c r="A1314" s="2">
        <v>43914</v>
      </c>
      <c r="B1314" t="s">
        <v>615</v>
      </c>
      <c r="C1314">
        <v>-375</v>
      </c>
      <c r="D1314" s="2">
        <v>43914</v>
      </c>
      <c r="E1314" t="s">
        <v>27</v>
      </c>
      <c r="F1314">
        <v>-375</v>
      </c>
      <c r="G1314">
        <v>0</v>
      </c>
    </row>
    <row r="1315" spans="1:7" x14ac:dyDescent="0.3">
      <c r="A1315" s="2">
        <v>43914</v>
      </c>
      <c r="B1315" t="s">
        <v>616</v>
      </c>
      <c r="C1315">
        <v>-295</v>
      </c>
      <c r="D1315" s="2">
        <v>43914</v>
      </c>
      <c r="E1315" t="s">
        <v>27</v>
      </c>
      <c r="F1315">
        <v>-295</v>
      </c>
      <c r="G1315">
        <v>0</v>
      </c>
    </row>
    <row r="1316" spans="1:7" x14ac:dyDescent="0.3">
      <c r="A1316" s="2">
        <v>43914</v>
      </c>
      <c r="B1316" t="s">
        <v>617</v>
      </c>
      <c r="C1316">
        <v>-295</v>
      </c>
      <c r="D1316" s="2">
        <v>43914</v>
      </c>
      <c r="E1316" t="s">
        <v>27</v>
      </c>
      <c r="F1316">
        <v>-295</v>
      </c>
      <c r="G1316">
        <v>0</v>
      </c>
    </row>
    <row r="1317" spans="1:7" x14ac:dyDescent="0.3">
      <c r="A1317" s="2">
        <v>43914</v>
      </c>
      <c r="B1317" t="s">
        <v>618</v>
      </c>
      <c r="C1317">
        <v>-295</v>
      </c>
      <c r="D1317" s="2">
        <v>43914</v>
      </c>
      <c r="E1317" t="s">
        <v>27</v>
      </c>
      <c r="F1317">
        <v>-295</v>
      </c>
      <c r="G1317">
        <v>0</v>
      </c>
    </row>
    <row r="1318" spans="1:7" x14ac:dyDescent="0.3">
      <c r="A1318" s="2">
        <v>43914</v>
      </c>
      <c r="B1318" t="s">
        <v>619</v>
      </c>
      <c r="C1318">
        <v>-295</v>
      </c>
      <c r="D1318" s="2">
        <v>43914</v>
      </c>
      <c r="E1318" t="s">
        <v>27</v>
      </c>
      <c r="F1318">
        <v>-295</v>
      </c>
      <c r="G1318">
        <v>0</v>
      </c>
    </row>
    <row r="1319" spans="1:7" x14ac:dyDescent="0.3">
      <c r="A1319" s="2">
        <v>43914</v>
      </c>
      <c r="B1319" t="s">
        <v>620</v>
      </c>
      <c r="C1319">
        <v>-295</v>
      </c>
      <c r="D1319" s="2">
        <v>43914</v>
      </c>
      <c r="E1319" t="s">
        <v>27</v>
      </c>
      <c r="F1319">
        <v>-295</v>
      </c>
      <c r="G1319">
        <v>0</v>
      </c>
    </row>
    <row r="1320" spans="1:7" x14ac:dyDescent="0.3">
      <c r="A1320" s="2">
        <v>43914</v>
      </c>
      <c r="B1320" t="s">
        <v>621</v>
      </c>
      <c r="C1320">
        <v>-295</v>
      </c>
      <c r="D1320" s="2">
        <v>43914</v>
      </c>
      <c r="E1320" t="s">
        <v>27</v>
      </c>
      <c r="F1320">
        <v>-295</v>
      </c>
      <c r="G1320">
        <v>0</v>
      </c>
    </row>
    <row r="1321" spans="1:7" x14ac:dyDescent="0.3">
      <c r="A1321" s="2">
        <v>43914</v>
      </c>
      <c r="B1321" t="s">
        <v>622</v>
      </c>
      <c r="C1321">
        <v>-295</v>
      </c>
      <c r="D1321" s="2">
        <v>43914</v>
      </c>
      <c r="E1321" t="s">
        <v>27</v>
      </c>
      <c r="F1321">
        <v>-295</v>
      </c>
      <c r="G1321">
        <v>0</v>
      </c>
    </row>
    <row r="1322" spans="1:7" x14ac:dyDescent="0.3">
      <c r="A1322" s="2">
        <v>43914</v>
      </c>
      <c r="B1322" t="s">
        <v>623</v>
      </c>
      <c r="C1322">
        <v>-275</v>
      </c>
      <c r="D1322" s="2">
        <v>43914</v>
      </c>
      <c r="E1322" t="s">
        <v>27</v>
      </c>
      <c r="F1322">
        <v>-275</v>
      </c>
      <c r="G1322">
        <v>0</v>
      </c>
    </row>
    <row r="1323" spans="1:7" x14ac:dyDescent="0.3">
      <c r="A1323" s="2">
        <v>43914</v>
      </c>
      <c r="B1323" t="s">
        <v>624</v>
      </c>
      <c r="C1323">
        <v>-295</v>
      </c>
      <c r="D1323" s="2">
        <v>43914</v>
      </c>
      <c r="E1323" t="s">
        <v>27</v>
      </c>
      <c r="F1323">
        <v>-295</v>
      </c>
      <c r="G1323">
        <v>0</v>
      </c>
    </row>
    <row r="1324" spans="1:7" x14ac:dyDescent="0.3">
      <c r="A1324" s="2">
        <v>43915</v>
      </c>
      <c r="B1324" t="s">
        <v>625</v>
      </c>
      <c r="C1324">
        <v>-23.95</v>
      </c>
      <c r="D1324" s="2">
        <v>43915</v>
      </c>
      <c r="E1324" t="s">
        <v>27</v>
      </c>
      <c r="F1324">
        <v>-23.95</v>
      </c>
      <c r="G1324">
        <v>0</v>
      </c>
    </row>
    <row r="1325" spans="1:7" x14ac:dyDescent="0.3">
      <c r="A1325" s="2">
        <v>43915</v>
      </c>
      <c r="B1325" t="s">
        <v>626</v>
      </c>
      <c r="C1325">
        <v>-16.32</v>
      </c>
      <c r="D1325" s="2">
        <v>43915</v>
      </c>
      <c r="E1325" t="s">
        <v>27</v>
      </c>
      <c r="F1325">
        <v>-16.32</v>
      </c>
      <c r="G1325">
        <v>0</v>
      </c>
    </row>
    <row r="1326" spans="1:7" x14ac:dyDescent="0.3">
      <c r="A1326" s="2">
        <v>43915</v>
      </c>
      <c r="B1326" t="s">
        <v>627</v>
      </c>
      <c r="C1326">
        <v>295</v>
      </c>
      <c r="D1326" s="2">
        <v>43915</v>
      </c>
      <c r="E1326" t="s">
        <v>25</v>
      </c>
      <c r="F1326">
        <v>295</v>
      </c>
      <c r="G1326">
        <v>0</v>
      </c>
    </row>
    <row r="1327" spans="1:7" x14ac:dyDescent="0.3">
      <c r="A1327" s="2">
        <v>43915</v>
      </c>
      <c r="B1327" t="s">
        <v>628</v>
      </c>
      <c r="C1327">
        <v>-295</v>
      </c>
      <c r="D1327" s="2">
        <v>43915</v>
      </c>
      <c r="E1327" t="s">
        <v>27</v>
      </c>
      <c r="F1327">
        <v>-295</v>
      </c>
      <c r="G1327">
        <v>0</v>
      </c>
    </row>
    <row r="1328" spans="1:7" x14ac:dyDescent="0.3">
      <c r="A1328" s="2">
        <v>43915</v>
      </c>
      <c r="B1328" t="s">
        <v>629</v>
      </c>
      <c r="C1328">
        <v>-925</v>
      </c>
      <c r="D1328" s="2">
        <v>43915</v>
      </c>
      <c r="E1328" t="s">
        <v>27</v>
      </c>
      <c r="F1328">
        <v>-925</v>
      </c>
      <c r="G1328">
        <v>0</v>
      </c>
    </row>
    <row r="1329" spans="1:7" x14ac:dyDescent="0.3">
      <c r="A1329" s="2">
        <v>43915</v>
      </c>
      <c r="B1329" t="s">
        <v>630</v>
      </c>
      <c r="C1329">
        <v>-223.8</v>
      </c>
      <c r="D1329" s="2">
        <v>43915</v>
      </c>
      <c r="E1329" t="s">
        <v>27</v>
      </c>
      <c r="F1329">
        <v>-223.8</v>
      </c>
      <c r="G1329">
        <v>0</v>
      </c>
    </row>
    <row r="1330" spans="1:7" x14ac:dyDescent="0.3">
      <c r="A1330" s="2">
        <v>43915</v>
      </c>
      <c r="B1330" t="s">
        <v>631</v>
      </c>
      <c r="C1330">
        <v>-1.99</v>
      </c>
      <c r="D1330" s="2">
        <v>43915</v>
      </c>
      <c r="E1330" t="s">
        <v>27</v>
      </c>
      <c r="F1330">
        <v>-1.99</v>
      </c>
      <c r="G1330">
        <v>0</v>
      </c>
    </row>
    <row r="1331" spans="1:7" x14ac:dyDescent="0.3">
      <c r="A1331" s="2">
        <v>43916</v>
      </c>
      <c r="B1331" t="s">
        <v>632</v>
      </c>
      <c r="C1331">
        <v>-295</v>
      </c>
      <c r="D1331" s="2">
        <v>43916</v>
      </c>
      <c r="E1331" t="s">
        <v>27</v>
      </c>
      <c r="F1331">
        <v>-295</v>
      </c>
      <c r="G1331">
        <v>0</v>
      </c>
    </row>
    <row r="1332" spans="1:7" x14ac:dyDescent="0.3">
      <c r="A1332" s="2">
        <v>43916</v>
      </c>
      <c r="B1332" t="s">
        <v>633</v>
      </c>
      <c r="C1332">
        <v>-295</v>
      </c>
      <c r="D1332" s="2">
        <v>43916</v>
      </c>
      <c r="E1332" t="s">
        <v>27</v>
      </c>
      <c r="F1332">
        <v>-295</v>
      </c>
      <c r="G1332">
        <v>0</v>
      </c>
    </row>
    <row r="1333" spans="1:7" x14ac:dyDescent="0.3">
      <c r="A1333" s="2">
        <v>43916</v>
      </c>
      <c r="B1333" t="s">
        <v>47</v>
      </c>
      <c r="C1333">
        <v>495</v>
      </c>
      <c r="D1333" s="2">
        <v>43916</v>
      </c>
      <c r="E1333" t="s">
        <v>25</v>
      </c>
      <c r="F1333">
        <v>495</v>
      </c>
      <c r="G1333">
        <v>0</v>
      </c>
    </row>
    <row r="1334" spans="1:7" x14ac:dyDescent="0.3">
      <c r="A1334" s="2">
        <v>43916</v>
      </c>
      <c r="B1334" t="s">
        <v>634</v>
      </c>
      <c r="C1334">
        <v>-295</v>
      </c>
      <c r="D1334" s="2">
        <v>43916</v>
      </c>
      <c r="E1334" t="s">
        <v>27</v>
      </c>
      <c r="F1334">
        <v>-295</v>
      </c>
      <c r="G1334">
        <v>0</v>
      </c>
    </row>
    <row r="1335" spans="1:7" x14ac:dyDescent="0.3">
      <c r="A1335" s="2">
        <v>43916</v>
      </c>
      <c r="B1335" t="s">
        <v>635</v>
      </c>
      <c r="C1335">
        <v>-275</v>
      </c>
      <c r="D1335" s="2">
        <v>43916</v>
      </c>
      <c r="E1335" t="s">
        <v>27</v>
      </c>
      <c r="F1335">
        <v>-275</v>
      </c>
      <c r="G1335">
        <v>0</v>
      </c>
    </row>
    <row r="1336" spans="1:7" x14ac:dyDescent="0.3">
      <c r="A1336" s="2">
        <v>43916</v>
      </c>
      <c r="B1336" t="s">
        <v>636</v>
      </c>
      <c r="C1336">
        <v>-375</v>
      </c>
      <c r="D1336" s="2">
        <v>43916</v>
      </c>
      <c r="E1336" t="s">
        <v>27</v>
      </c>
      <c r="F1336">
        <v>-375</v>
      </c>
      <c r="G1336">
        <v>0</v>
      </c>
    </row>
    <row r="1337" spans="1:7" x14ac:dyDescent="0.3">
      <c r="A1337" s="2">
        <v>43916</v>
      </c>
      <c r="B1337" t="s">
        <v>637</v>
      </c>
      <c r="C1337">
        <v>-295</v>
      </c>
      <c r="D1337" s="2">
        <v>43916</v>
      </c>
      <c r="E1337" t="s">
        <v>27</v>
      </c>
      <c r="F1337">
        <v>-295</v>
      </c>
      <c r="G1337">
        <v>0</v>
      </c>
    </row>
    <row r="1338" spans="1:7" x14ac:dyDescent="0.3">
      <c r="A1338" s="2">
        <v>43916</v>
      </c>
      <c r="B1338" t="s">
        <v>638</v>
      </c>
      <c r="C1338">
        <v>-275</v>
      </c>
      <c r="D1338" s="2">
        <v>43916</v>
      </c>
      <c r="E1338" t="s">
        <v>27</v>
      </c>
      <c r="F1338">
        <v>-275</v>
      </c>
      <c r="G1338">
        <v>0</v>
      </c>
    </row>
    <row r="1339" spans="1:7" x14ac:dyDescent="0.3">
      <c r="A1339" s="2">
        <v>43916</v>
      </c>
      <c r="B1339" t="s">
        <v>639</v>
      </c>
      <c r="C1339">
        <v>-315</v>
      </c>
      <c r="D1339" s="2">
        <v>43916</v>
      </c>
      <c r="E1339" t="s">
        <v>27</v>
      </c>
      <c r="F1339">
        <v>-315</v>
      </c>
      <c r="G1339">
        <v>0</v>
      </c>
    </row>
    <row r="1340" spans="1:7" x14ac:dyDescent="0.3">
      <c r="A1340" s="2">
        <v>43916</v>
      </c>
      <c r="B1340" t="s">
        <v>640</v>
      </c>
      <c r="C1340">
        <v>-750</v>
      </c>
      <c r="D1340" s="2">
        <v>43916</v>
      </c>
      <c r="E1340" t="s">
        <v>27</v>
      </c>
      <c r="F1340">
        <v>-750</v>
      </c>
      <c r="G1340">
        <v>0</v>
      </c>
    </row>
    <row r="1341" spans="1:7" x14ac:dyDescent="0.3">
      <c r="A1341" s="2">
        <v>43916</v>
      </c>
      <c r="B1341" t="s">
        <v>641</v>
      </c>
      <c r="C1341">
        <v>-295</v>
      </c>
      <c r="D1341" s="2">
        <v>43916</v>
      </c>
      <c r="E1341" t="s">
        <v>27</v>
      </c>
      <c r="F1341">
        <v>-295</v>
      </c>
      <c r="G1341">
        <v>0</v>
      </c>
    </row>
    <row r="1342" spans="1:7" x14ac:dyDescent="0.3">
      <c r="A1342" s="2">
        <v>43916</v>
      </c>
      <c r="B1342" t="s">
        <v>642</v>
      </c>
      <c r="C1342">
        <v>-375</v>
      </c>
      <c r="D1342" s="2">
        <v>43916</v>
      </c>
      <c r="E1342" t="s">
        <v>27</v>
      </c>
      <c r="F1342">
        <v>-375</v>
      </c>
      <c r="G1342">
        <v>0</v>
      </c>
    </row>
    <row r="1343" spans="1:7" x14ac:dyDescent="0.3">
      <c r="A1343" s="2">
        <v>43916</v>
      </c>
      <c r="B1343" t="s">
        <v>643</v>
      </c>
      <c r="C1343">
        <v>-295</v>
      </c>
      <c r="D1343" s="2">
        <v>43916</v>
      </c>
      <c r="E1343" t="s">
        <v>27</v>
      </c>
      <c r="F1343">
        <v>-295</v>
      </c>
      <c r="G1343">
        <v>0</v>
      </c>
    </row>
    <row r="1344" spans="1:7" x14ac:dyDescent="0.3">
      <c r="A1344" s="2">
        <v>43916</v>
      </c>
      <c r="B1344" t="s">
        <v>644</v>
      </c>
      <c r="C1344">
        <v>-295</v>
      </c>
      <c r="D1344" s="2">
        <v>43916</v>
      </c>
      <c r="E1344" t="s">
        <v>27</v>
      </c>
      <c r="F1344">
        <v>-295</v>
      </c>
      <c r="G1344">
        <v>0</v>
      </c>
    </row>
    <row r="1345" spans="1:7" x14ac:dyDescent="0.3">
      <c r="A1345" s="2">
        <v>43917</v>
      </c>
      <c r="B1345" t="s">
        <v>645</v>
      </c>
      <c r="C1345">
        <v>-295</v>
      </c>
      <c r="D1345" s="2">
        <v>43917</v>
      </c>
      <c r="E1345" t="s">
        <v>27</v>
      </c>
      <c r="F1345">
        <v>-295</v>
      </c>
      <c r="G1345">
        <v>0</v>
      </c>
    </row>
    <row r="1346" spans="1:7" x14ac:dyDescent="0.3">
      <c r="A1346" s="2">
        <v>43917</v>
      </c>
      <c r="B1346" t="s">
        <v>646</v>
      </c>
      <c r="C1346">
        <v>-295</v>
      </c>
      <c r="D1346" s="2">
        <v>43917</v>
      </c>
      <c r="E1346" t="s">
        <v>27</v>
      </c>
      <c r="F1346">
        <v>-295</v>
      </c>
      <c r="G1346">
        <v>0</v>
      </c>
    </row>
    <row r="1347" spans="1:7" x14ac:dyDescent="0.3">
      <c r="A1347" s="2">
        <v>43917</v>
      </c>
      <c r="B1347" t="s">
        <v>47</v>
      </c>
      <c r="C1347">
        <v>1065</v>
      </c>
      <c r="D1347" s="2">
        <v>43917</v>
      </c>
      <c r="E1347" t="s">
        <v>25</v>
      </c>
      <c r="F1347">
        <v>1065</v>
      </c>
      <c r="G1347">
        <v>0</v>
      </c>
    </row>
    <row r="1348" spans="1:7" x14ac:dyDescent="0.3">
      <c r="A1348" s="2">
        <v>43917</v>
      </c>
      <c r="B1348" t="s">
        <v>647</v>
      </c>
      <c r="C1348">
        <v>-157.86000000000001</v>
      </c>
      <c r="D1348" s="2">
        <v>43917</v>
      </c>
      <c r="E1348" t="s">
        <v>27</v>
      </c>
      <c r="F1348">
        <v>-157.86000000000001</v>
      </c>
      <c r="G1348">
        <v>0</v>
      </c>
    </row>
    <row r="1349" spans="1:7" x14ac:dyDescent="0.3">
      <c r="A1349" s="2">
        <v>43920</v>
      </c>
      <c r="B1349" t="s">
        <v>47</v>
      </c>
      <c r="C1349">
        <v>165</v>
      </c>
      <c r="D1349" s="2">
        <v>43920</v>
      </c>
      <c r="E1349" t="s">
        <v>25</v>
      </c>
      <c r="F1349">
        <v>165</v>
      </c>
      <c r="G1349">
        <v>0</v>
      </c>
    </row>
    <row r="1350" spans="1:7" x14ac:dyDescent="0.3">
      <c r="A1350" s="2">
        <v>43920</v>
      </c>
      <c r="B1350" t="s">
        <v>47</v>
      </c>
      <c r="C1350">
        <v>-295</v>
      </c>
      <c r="D1350" s="2">
        <v>43920</v>
      </c>
      <c r="E1350" t="s">
        <v>27</v>
      </c>
      <c r="F1350">
        <v>-295</v>
      </c>
      <c r="G1350">
        <v>0</v>
      </c>
    </row>
    <row r="1351" spans="1:7" x14ac:dyDescent="0.3">
      <c r="A1351" s="2">
        <v>43920</v>
      </c>
      <c r="B1351" t="s">
        <v>286</v>
      </c>
      <c r="C1351">
        <v>-70.77</v>
      </c>
      <c r="D1351" s="2">
        <v>43920</v>
      </c>
      <c r="E1351" t="s">
        <v>27</v>
      </c>
      <c r="F1351">
        <v>-70.77</v>
      </c>
      <c r="G1351">
        <v>0</v>
      </c>
    </row>
    <row r="1352" spans="1:7" x14ac:dyDescent="0.3">
      <c r="A1352" s="2">
        <v>43921</v>
      </c>
      <c r="B1352" t="s">
        <v>648</v>
      </c>
      <c r="C1352">
        <v>-275</v>
      </c>
      <c r="D1352" s="2">
        <v>43921</v>
      </c>
      <c r="E1352" t="s">
        <v>27</v>
      </c>
      <c r="F1352">
        <v>-275</v>
      </c>
      <c r="G1352">
        <v>0</v>
      </c>
    </row>
    <row r="1353" spans="1:7" x14ac:dyDescent="0.3">
      <c r="A1353" s="2">
        <v>43921</v>
      </c>
      <c r="B1353" t="s">
        <v>649</v>
      </c>
      <c r="C1353">
        <v>-120</v>
      </c>
      <c r="D1353" s="2">
        <v>43921</v>
      </c>
      <c r="E1353" t="s">
        <v>27</v>
      </c>
      <c r="F1353">
        <v>-120</v>
      </c>
      <c r="G1353">
        <v>0</v>
      </c>
    </row>
    <row r="1354" spans="1:7" x14ac:dyDescent="0.3">
      <c r="A1354" s="2">
        <v>43921</v>
      </c>
      <c r="B1354" t="s">
        <v>650</v>
      </c>
      <c r="C1354">
        <v>-275</v>
      </c>
      <c r="D1354" s="2">
        <v>43921</v>
      </c>
      <c r="E1354" t="s">
        <v>27</v>
      </c>
      <c r="F1354">
        <v>-275</v>
      </c>
      <c r="G1354">
        <v>0</v>
      </c>
    </row>
    <row r="1355" spans="1:7" x14ac:dyDescent="0.3">
      <c r="A1355" s="2">
        <v>43922</v>
      </c>
      <c r="B1355" t="s">
        <v>651</v>
      </c>
      <c r="C1355">
        <v>-295</v>
      </c>
      <c r="D1355" s="2">
        <v>43922</v>
      </c>
      <c r="E1355" t="s">
        <v>27</v>
      </c>
      <c r="F1355">
        <v>-295</v>
      </c>
      <c r="G1355">
        <v>0</v>
      </c>
    </row>
    <row r="1356" spans="1:7" x14ac:dyDescent="0.3">
      <c r="A1356" s="2">
        <v>43922</v>
      </c>
      <c r="B1356" t="s">
        <v>652</v>
      </c>
      <c r="C1356">
        <v>-108.86</v>
      </c>
      <c r="D1356" s="2">
        <v>43922</v>
      </c>
      <c r="E1356" t="s">
        <v>27</v>
      </c>
      <c r="F1356">
        <v>-108.86</v>
      </c>
      <c r="G1356">
        <v>0</v>
      </c>
    </row>
    <row r="1357" spans="1:7" x14ac:dyDescent="0.3">
      <c r="A1357" s="2">
        <v>43922</v>
      </c>
      <c r="B1357" t="s">
        <v>653</v>
      </c>
      <c r="C1357">
        <v>-275</v>
      </c>
      <c r="D1357" s="2">
        <v>43922</v>
      </c>
      <c r="E1357" t="s">
        <v>27</v>
      </c>
      <c r="F1357">
        <v>-275</v>
      </c>
      <c r="G1357">
        <v>0</v>
      </c>
    </row>
    <row r="1358" spans="1:7" x14ac:dyDescent="0.3">
      <c r="A1358" s="2">
        <v>43922</v>
      </c>
      <c r="B1358" t="s">
        <v>654</v>
      </c>
      <c r="C1358">
        <v>-275</v>
      </c>
      <c r="D1358" s="2">
        <v>43922</v>
      </c>
      <c r="E1358" t="s">
        <v>27</v>
      </c>
      <c r="F1358">
        <v>-275</v>
      </c>
      <c r="G1358">
        <v>0</v>
      </c>
    </row>
    <row r="1359" spans="1:7" x14ac:dyDescent="0.3">
      <c r="A1359" s="2">
        <v>43922</v>
      </c>
      <c r="B1359" t="s">
        <v>655</v>
      </c>
      <c r="C1359">
        <v>-275</v>
      </c>
      <c r="D1359" s="2">
        <v>43922</v>
      </c>
      <c r="E1359" t="s">
        <v>27</v>
      </c>
      <c r="F1359">
        <v>-275</v>
      </c>
      <c r="G1359">
        <v>0</v>
      </c>
    </row>
    <row r="1360" spans="1:7" x14ac:dyDescent="0.3">
      <c r="A1360" s="2">
        <v>43922</v>
      </c>
      <c r="B1360" t="s">
        <v>656</v>
      </c>
      <c r="C1360">
        <v>-275</v>
      </c>
      <c r="D1360" s="2">
        <v>43922</v>
      </c>
      <c r="E1360" t="s">
        <v>27</v>
      </c>
      <c r="F1360">
        <v>-275</v>
      </c>
      <c r="G1360">
        <v>0</v>
      </c>
    </row>
    <row r="1361" spans="1:7" x14ac:dyDescent="0.3">
      <c r="A1361" s="2">
        <v>43922</v>
      </c>
      <c r="B1361" t="s">
        <v>657</v>
      </c>
      <c r="C1361">
        <v>-275</v>
      </c>
      <c r="D1361" s="2">
        <v>43922</v>
      </c>
      <c r="E1361" t="s">
        <v>27</v>
      </c>
      <c r="F1361">
        <v>-275</v>
      </c>
      <c r="G1361">
        <v>0</v>
      </c>
    </row>
    <row r="1362" spans="1:7" x14ac:dyDescent="0.3">
      <c r="A1362" s="2">
        <v>43922</v>
      </c>
      <c r="B1362" t="s">
        <v>658</v>
      </c>
      <c r="C1362">
        <v>-275</v>
      </c>
      <c r="D1362" s="2">
        <v>43922</v>
      </c>
      <c r="E1362" t="s">
        <v>27</v>
      </c>
      <c r="F1362">
        <v>-275</v>
      </c>
      <c r="G1362">
        <v>0</v>
      </c>
    </row>
    <row r="1363" spans="1:7" x14ac:dyDescent="0.3">
      <c r="A1363" s="2">
        <v>43922</v>
      </c>
      <c r="B1363" t="s">
        <v>659</v>
      </c>
      <c r="C1363">
        <v>-295</v>
      </c>
      <c r="D1363" s="2">
        <v>43922</v>
      </c>
      <c r="E1363" t="s">
        <v>27</v>
      </c>
      <c r="F1363">
        <v>-295</v>
      </c>
      <c r="G1363">
        <v>0</v>
      </c>
    </row>
    <row r="1364" spans="1:7" x14ac:dyDescent="0.3">
      <c r="A1364" s="2">
        <v>43922</v>
      </c>
      <c r="B1364" t="s">
        <v>660</v>
      </c>
      <c r="C1364">
        <v>-295</v>
      </c>
      <c r="D1364" s="2">
        <v>43922</v>
      </c>
      <c r="E1364" t="s">
        <v>27</v>
      </c>
      <c r="F1364">
        <v>-295</v>
      </c>
      <c r="G1364">
        <v>0</v>
      </c>
    </row>
    <row r="1365" spans="1:7" x14ac:dyDescent="0.3">
      <c r="A1365" s="2">
        <v>43922</v>
      </c>
      <c r="B1365" t="s">
        <v>661</v>
      </c>
      <c r="C1365">
        <v>-295</v>
      </c>
      <c r="D1365" s="2">
        <v>43922</v>
      </c>
      <c r="E1365" t="s">
        <v>27</v>
      </c>
      <c r="F1365">
        <v>-295</v>
      </c>
      <c r="G1365">
        <v>0</v>
      </c>
    </row>
    <row r="1366" spans="1:7" x14ac:dyDescent="0.3">
      <c r="A1366" s="2">
        <v>43922</v>
      </c>
      <c r="B1366" t="s">
        <v>662</v>
      </c>
      <c r="C1366">
        <v>-275</v>
      </c>
      <c r="D1366" s="2">
        <v>43922</v>
      </c>
      <c r="E1366" t="s">
        <v>27</v>
      </c>
      <c r="F1366">
        <v>-275</v>
      </c>
      <c r="G1366">
        <v>0</v>
      </c>
    </row>
    <row r="1367" spans="1:7" x14ac:dyDescent="0.3">
      <c r="A1367" s="2">
        <v>43922</v>
      </c>
      <c r="B1367" t="s">
        <v>663</v>
      </c>
      <c r="C1367">
        <v>-295</v>
      </c>
      <c r="D1367" s="2">
        <v>43922</v>
      </c>
      <c r="E1367" t="s">
        <v>27</v>
      </c>
      <c r="F1367">
        <v>-295</v>
      </c>
      <c r="G1367">
        <v>0</v>
      </c>
    </row>
    <row r="1368" spans="1:7" x14ac:dyDescent="0.3">
      <c r="A1368" s="2">
        <v>43922</v>
      </c>
      <c r="B1368" t="s">
        <v>664</v>
      </c>
      <c r="C1368">
        <v>-375</v>
      </c>
      <c r="D1368" s="2">
        <v>43922</v>
      </c>
      <c r="E1368" t="s">
        <v>27</v>
      </c>
      <c r="F1368">
        <v>-375</v>
      </c>
      <c r="G1368">
        <v>0</v>
      </c>
    </row>
    <row r="1369" spans="1:7" x14ac:dyDescent="0.3">
      <c r="A1369" s="2">
        <v>43922</v>
      </c>
      <c r="B1369" t="s">
        <v>665</v>
      </c>
      <c r="C1369">
        <v>-275</v>
      </c>
      <c r="D1369" s="2">
        <v>43922</v>
      </c>
      <c r="E1369" t="s">
        <v>27</v>
      </c>
      <c r="F1369">
        <v>-275</v>
      </c>
      <c r="G1369">
        <v>0</v>
      </c>
    </row>
    <row r="1370" spans="1:7" x14ac:dyDescent="0.3">
      <c r="A1370" s="2">
        <v>43922</v>
      </c>
      <c r="B1370" t="s">
        <v>666</v>
      </c>
      <c r="C1370">
        <v>-750</v>
      </c>
      <c r="D1370" s="2">
        <v>43922</v>
      </c>
      <c r="E1370" t="s">
        <v>27</v>
      </c>
      <c r="F1370">
        <v>-750</v>
      </c>
      <c r="G1370">
        <v>0</v>
      </c>
    </row>
    <row r="1371" spans="1:7" x14ac:dyDescent="0.3">
      <c r="A1371" s="2">
        <v>43922</v>
      </c>
      <c r="B1371" t="s">
        <v>667</v>
      </c>
      <c r="C1371">
        <v>-295</v>
      </c>
      <c r="D1371" s="2">
        <v>43922</v>
      </c>
      <c r="E1371" t="s">
        <v>27</v>
      </c>
      <c r="F1371">
        <v>-295</v>
      </c>
      <c r="G1371">
        <v>0</v>
      </c>
    </row>
    <row r="1372" spans="1:7" x14ac:dyDescent="0.3">
      <c r="A1372" s="2">
        <v>43922</v>
      </c>
      <c r="B1372" t="s">
        <v>668</v>
      </c>
      <c r="C1372">
        <v>-295</v>
      </c>
      <c r="D1372" s="2">
        <v>43922</v>
      </c>
      <c r="E1372" t="s">
        <v>27</v>
      </c>
      <c r="F1372">
        <v>-295</v>
      </c>
      <c r="G1372">
        <v>0</v>
      </c>
    </row>
    <row r="1373" spans="1:7" x14ac:dyDescent="0.3">
      <c r="A1373" s="2">
        <v>43923</v>
      </c>
      <c r="B1373" t="s">
        <v>53</v>
      </c>
      <c r="C1373">
        <v>-1346.93</v>
      </c>
      <c r="D1373" s="2">
        <v>43923</v>
      </c>
      <c r="E1373" t="s">
        <v>27</v>
      </c>
      <c r="F1373">
        <v>-1346.93</v>
      </c>
      <c r="G1373">
        <v>0</v>
      </c>
    </row>
    <row r="1374" spans="1:7" x14ac:dyDescent="0.3">
      <c r="A1374" s="2">
        <v>43923</v>
      </c>
      <c r="B1374" t="s">
        <v>669</v>
      </c>
      <c r="C1374">
        <v>-315</v>
      </c>
      <c r="D1374" s="2">
        <v>43923</v>
      </c>
      <c r="E1374" t="s">
        <v>27</v>
      </c>
      <c r="F1374">
        <v>-315</v>
      </c>
      <c r="G1374">
        <v>0</v>
      </c>
    </row>
    <row r="1375" spans="1:7" x14ac:dyDescent="0.3">
      <c r="A1375" s="2">
        <v>43923</v>
      </c>
      <c r="B1375" t="s">
        <v>670</v>
      </c>
      <c r="C1375">
        <v>-275</v>
      </c>
      <c r="D1375" s="2">
        <v>43923</v>
      </c>
      <c r="E1375" t="s">
        <v>27</v>
      </c>
      <c r="F1375">
        <v>-275</v>
      </c>
      <c r="G1375">
        <v>0</v>
      </c>
    </row>
    <row r="1376" spans="1:7" x14ac:dyDescent="0.3">
      <c r="A1376" s="2">
        <v>43924</v>
      </c>
      <c r="B1376" t="s">
        <v>290</v>
      </c>
      <c r="C1376">
        <v>-34.950000000000003</v>
      </c>
      <c r="D1376" s="2">
        <v>43924</v>
      </c>
      <c r="E1376" t="s">
        <v>27</v>
      </c>
      <c r="F1376">
        <v>-34.950000000000003</v>
      </c>
      <c r="G1376">
        <v>0</v>
      </c>
    </row>
    <row r="1377" spans="1:7" x14ac:dyDescent="0.3">
      <c r="A1377" s="2">
        <v>43924</v>
      </c>
      <c r="B1377" t="s">
        <v>47</v>
      </c>
      <c r="C1377">
        <v>123.75</v>
      </c>
      <c r="D1377" s="2">
        <v>43924</v>
      </c>
      <c r="E1377" t="s">
        <v>25</v>
      </c>
      <c r="F1377">
        <v>123.75</v>
      </c>
      <c r="G1377">
        <v>0</v>
      </c>
    </row>
    <row r="1378" spans="1:7" x14ac:dyDescent="0.3">
      <c r="A1378" s="2">
        <v>43927</v>
      </c>
      <c r="B1378" t="s">
        <v>671</v>
      </c>
      <c r="C1378">
        <v>-295</v>
      </c>
      <c r="D1378" s="2">
        <v>43927</v>
      </c>
      <c r="E1378" t="s">
        <v>27</v>
      </c>
      <c r="F1378">
        <v>-295</v>
      </c>
      <c r="G1378">
        <v>0</v>
      </c>
    </row>
    <row r="1379" spans="1:7" x14ac:dyDescent="0.3">
      <c r="A1379" s="2">
        <v>43927</v>
      </c>
      <c r="B1379" t="s">
        <v>47</v>
      </c>
      <c r="C1379">
        <v>513.75</v>
      </c>
      <c r="D1379" s="2">
        <v>43927</v>
      </c>
      <c r="E1379" t="s">
        <v>25</v>
      </c>
      <c r="F1379">
        <v>513.75</v>
      </c>
      <c r="G1379">
        <v>0</v>
      </c>
    </row>
    <row r="1380" spans="1:7" x14ac:dyDescent="0.3">
      <c r="A1380" s="2">
        <v>43927</v>
      </c>
      <c r="B1380" t="s">
        <v>672</v>
      </c>
      <c r="C1380">
        <v>-55</v>
      </c>
      <c r="D1380" s="2">
        <v>43927</v>
      </c>
      <c r="E1380" t="s">
        <v>27</v>
      </c>
      <c r="F1380">
        <v>-55</v>
      </c>
      <c r="G1380">
        <v>0</v>
      </c>
    </row>
    <row r="1381" spans="1:7" x14ac:dyDescent="0.3">
      <c r="A1381" s="2">
        <v>43927</v>
      </c>
      <c r="B1381" t="s">
        <v>673</v>
      </c>
      <c r="C1381">
        <v>-275</v>
      </c>
      <c r="D1381" s="2">
        <v>43927</v>
      </c>
      <c r="E1381" t="s">
        <v>27</v>
      </c>
      <c r="F1381">
        <v>-275</v>
      </c>
      <c r="G1381">
        <v>0</v>
      </c>
    </row>
    <row r="1382" spans="1:7" x14ac:dyDescent="0.3">
      <c r="A1382" s="2">
        <v>43927</v>
      </c>
      <c r="B1382" t="s">
        <v>674</v>
      </c>
      <c r="C1382">
        <v>-295</v>
      </c>
      <c r="D1382" s="2">
        <v>43927</v>
      </c>
      <c r="E1382" t="s">
        <v>27</v>
      </c>
      <c r="F1382">
        <v>-295</v>
      </c>
      <c r="G1382">
        <v>0</v>
      </c>
    </row>
    <row r="1383" spans="1:7" x14ac:dyDescent="0.3">
      <c r="A1383" s="2">
        <v>43927</v>
      </c>
      <c r="B1383" t="s">
        <v>675</v>
      </c>
      <c r="C1383">
        <v>-295</v>
      </c>
      <c r="D1383" s="2">
        <v>43927</v>
      </c>
      <c r="E1383" t="s">
        <v>27</v>
      </c>
      <c r="F1383">
        <v>-295</v>
      </c>
      <c r="G1383">
        <v>0</v>
      </c>
    </row>
    <row r="1384" spans="1:7" x14ac:dyDescent="0.3">
      <c r="A1384" s="2">
        <v>43927</v>
      </c>
      <c r="B1384" t="s">
        <v>676</v>
      </c>
      <c r="C1384">
        <v>-295</v>
      </c>
      <c r="D1384" s="2">
        <v>43927</v>
      </c>
      <c r="E1384" t="s">
        <v>27</v>
      </c>
      <c r="F1384">
        <v>-295</v>
      </c>
      <c r="G1384">
        <v>0</v>
      </c>
    </row>
    <row r="1385" spans="1:7" x14ac:dyDescent="0.3">
      <c r="A1385" s="2">
        <v>43927</v>
      </c>
      <c r="B1385" t="s">
        <v>677</v>
      </c>
      <c r="C1385">
        <v>-275</v>
      </c>
      <c r="D1385" s="2">
        <v>43927</v>
      </c>
      <c r="E1385" t="s">
        <v>27</v>
      </c>
      <c r="F1385">
        <v>-275</v>
      </c>
      <c r="G1385">
        <v>0</v>
      </c>
    </row>
    <row r="1386" spans="1:7" x14ac:dyDescent="0.3">
      <c r="A1386" s="2">
        <v>43927</v>
      </c>
      <c r="B1386" t="s">
        <v>678</v>
      </c>
      <c r="C1386">
        <v>-295</v>
      </c>
      <c r="D1386" s="2">
        <v>43927</v>
      </c>
      <c r="E1386" t="s">
        <v>27</v>
      </c>
      <c r="F1386">
        <v>-295</v>
      </c>
      <c r="G1386">
        <v>0</v>
      </c>
    </row>
    <row r="1387" spans="1:7" x14ac:dyDescent="0.3">
      <c r="A1387" s="2">
        <v>43927</v>
      </c>
      <c r="B1387" t="s">
        <v>679</v>
      </c>
      <c r="C1387">
        <v>40</v>
      </c>
      <c r="D1387" s="2">
        <v>43927</v>
      </c>
      <c r="E1387" t="s">
        <v>25</v>
      </c>
      <c r="F1387">
        <v>40</v>
      </c>
      <c r="G1387">
        <v>0</v>
      </c>
    </row>
    <row r="1388" spans="1:7" x14ac:dyDescent="0.3">
      <c r="A1388" s="2">
        <v>43927</v>
      </c>
      <c r="B1388" t="s">
        <v>680</v>
      </c>
      <c r="C1388">
        <v>-295</v>
      </c>
      <c r="D1388" s="2">
        <v>43927</v>
      </c>
      <c r="E1388" t="s">
        <v>27</v>
      </c>
      <c r="F1388">
        <v>-295</v>
      </c>
      <c r="G1388">
        <v>0</v>
      </c>
    </row>
    <row r="1389" spans="1:7" x14ac:dyDescent="0.3">
      <c r="A1389" s="2">
        <v>43928</v>
      </c>
      <c r="B1389" t="s">
        <v>47</v>
      </c>
      <c r="C1389">
        <v>288.75</v>
      </c>
      <c r="D1389" s="2">
        <v>43928</v>
      </c>
      <c r="E1389" t="s">
        <v>25</v>
      </c>
      <c r="F1389">
        <v>288.75</v>
      </c>
      <c r="G1389">
        <v>0</v>
      </c>
    </row>
    <row r="1390" spans="1:7" x14ac:dyDescent="0.3">
      <c r="A1390" s="2">
        <v>43930</v>
      </c>
      <c r="B1390" t="s">
        <v>47</v>
      </c>
      <c r="C1390">
        <v>247.5</v>
      </c>
      <c r="D1390" s="2">
        <v>43930</v>
      </c>
      <c r="E1390" t="s">
        <v>25</v>
      </c>
      <c r="F1390">
        <v>247.5</v>
      </c>
      <c r="G1390">
        <v>0</v>
      </c>
    </row>
    <row r="1391" spans="1:7" x14ac:dyDescent="0.3">
      <c r="A1391" s="2">
        <v>43931</v>
      </c>
      <c r="B1391" t="s">
        <v>681</v>
      </c>
      <c r="C1391">
        <v>-275</v>
      </c>
      <c r="D1391" s="2">
        <v>43931</v>
      </c>
      <c r="E1391" t="s">
        <v>27</v>
      </c>
      <c r="F1391">
        <v>-275</v>
      </c>
      <c r="G1391">
        <v>0</v>
      </c>
    </row>
    <row r="1392" spans="1:7" x14ac:dyDescent="0.3">
      <c r="A1392" s="2">
        <v>43931</v>
      </c>
      <c r="B1392" t="s">
        <v>296</v>
      </c>
      <c r="C1392">
        <v>-9.99</v>
      </c>
      <c r="D1392" s="2">
        <v>43931</v>
      </c>
      <c r="E1392" t="s">
        <v>27</v>
      </c>
      <c r="F1392">
        <v>-9.99</v>
      </c>
      <c r="G1392">
        <v>0</v>
      </c>
    </row>
    <row r="1393" spans="1:7" x14ac:dyDescent="0.3">
      <c r="A1393" s="2">
        <v>43931</v>
      </c>
      <c r="B1393" t="s">
        <v>47</v>
      </c>
      <c r="C1393">
        <v>123.75</v>
      </c>
      <c r="D1393" s="2">
        <v>43931</v>
      </c>
      <c r="E1393" t="s">
        <v>25</v>
      </c>
      <c r="F1393">
        <v>123.75</v>
      </c>
      <c r="G1393">
        <v>0</v>
      </c>
    </row>
    <row r="1394" spans="1:7" x14ac:dyDescent="0.3">
      <c r="A1394" s="2">
        <v>43931</v>
      </c>
      <c r="B1394" t="s">
        <v>682</v>
      </c>
      <c r="C1394">
        <v>-3750</v>
      </c>
      <c r="D1394" s="2">
        <v>43931</v>
      </c>
      <c r="E1394" t="s">
        <v>27</v>
      </c>
      <c r="F1394">
        <v>-3750</v>
      </c>
      <c r="G1394">
        <v>0</v>
      </c>
    </row>
    <row r="1395" spans="1:7" x14ac:dyDescent="0.3">
      <c r="A1395" s="2">
        <v>43931</v>
      </c>
      <c r="B1395" t="s">
        <v>683</v>
      </c>
      <c r="C1395">
        <v>-295</v>
      </c>
      <c r="D1395" s="2">
        <v>43931</v>
      </c>
      <c r="E1395" t="s">
        <v>27</v>
      </c>
      <c r="F1395">
        <v>-295</v>
      </c>
      <c r="G1395">
        <v>0</v>
      </c>
    </row>
    <row r="1396" spans="1:7" x14ac:dyDescent="0.3">
      <c r="A1396" s="2">
        <v>43931</v>
      </c>
      <c r="B1396" t="s">
        <v>684</v>
      </c>
      <c r="C1396">
        <v>-295</v>
      </c>
      <c r="D1396" s="2">
        <v>43931</v>
      </c>
      <c r="E1396" t="s">
        <v>27</v>
      </c>
      <c r="F1396">
        <v>-295</v>
      </c>
      <c r="G1396">
        <v>0</v>
      </c>
    </row>
    <row r="1397" spans="1:7" x14ac:dyDescent="0.3">
      <c r="A1397" s="2">
        <v>43931</v>
      </c>
      <c r="B1397" t="s">
        <v>685</v>
      </c>
      <c r="C1397">
        <v>-12070</v>
      </c>
      <c r="D1397" s="2">
        <v>43931</v>
      </c>
      <c r="E1397" t="s">
        <v>27</v>
      </c>
      <c r="F1397">
        <v>-12070</v>
      </c>
      <c r="G1397">
        <v>0</v>
      </c>
    </row>
    <row r="1398" spans="1:7" x14ac:dyDescent="0.3">
      <c r="A1398" s="2">
        <v>43931</v>
      </c>
      <c r="B1398" t="s">
        <v>686</v>
      </c>
      <c r="C1398">
        <v>-8312.7199999999993</v>
      </c>
      <c r="D1398" s="2">
        <v>43931</v>
      </c>
      <c r="E1398" t="s">
        <v>27</v>
      </c>
      <c r="F1398">
        <v>-8312.7199999999993</v>
      </c>
      <c r="G1398">
        <v>0</v>
      </c>
    </row>
    <row r="1399" spans="1:7" x14ac:dyDescent="0.3">
      <c r="A1399" s="2">
        <v>43931</v>
      </c>
      <c r="B1399" t="s">
        <v>687</v>
      </c>
      <c r="C1399">
        <v>-6000</v>
      </c>
      <c r="D1399" s="2">
        <v>43931</v>
      </c>
      <c r="E1399" t="s">
        <v>27</v>
      </c>
      <c r="F1399">
        <v>-6000</v>
      </c>
      <c r="G1399">
        <v>0</v>
      </c>
    </row>
    <row r="1400" spans="1:7" x14ac:dyDescent="0.3">
      <c r="A1400" s="2">
        <v>43931</v>
      </c>
      <c r="B1400" t="s">
        <v>688</v>
      </c>
      <c r="C1400">
        <v>-56.7</v>
      </c>
      <c r="D1400" s="2">
        <v>43931</v>
      </c>
      <c r="E1400" t="s">
        <v>27</v>
      </c>
      <c r="F1400">
        <v>-56.7</v>
      </c>
      <c r="G1400">
        <v>0</v>
      </c>
    </row>
    <row r="1401" spans="1:7" x14ac:dyDescent="0.3">
      <c r="A1401" s="2">
        <v>43934</v>
      </c>
      <c r="B1401" t="s">
        <v>689</v>
      </c>
      <c r="C1401">
        <v>-315</v>
      </c>
      <c r="D1401" s="2">
        <v>43934</v>
      </c>
      <c r="E1401" t="s">
        <v>27</v>
      </c>
      <c r="F1401">
        <v>-315</v>
      </c>
      <c r="G1401">
        <v>0</v>
      </c>
    </row>
    <row r="1402" spans="1:7" x14ac:dyDescent="0.3">
      <c r="A1402" s="2">
        <v>43934</v>
      </c>
      <c r="B1402" t="s">
        <v>47</v>
      </c>
      <c r="C1402">
        <v>247.5</v>
      </c>
      <c r="D1402" s="2">
        <v>43931</v>
      </c>
      <c r="E1402" t="s">
        <v>25</v>
      </c>
      <c r="F1402">
        <v>247.5</v>
      </c>
      <c r="G1402">
        <v>0</v>
      </c>
    </row>
    <row r="1403" spans="1:7" x14ac:dyDescent="0.3">
      <c r="A1403" s="2">
        <v>43934</v>
      </c>
      <c r="B1403" t="s">
        <v>300</v>
      </c>
      <c r="C1403">
        <v>-19.59</v>
      </c>
      <c r="D1403" s="2">
        <v>43934</v>
      </c>
      <c r="E1403" t="s">
        <v>27</v>
      </c>
      <c r="F1403">
        <v>-19.59</v>
      </c>
      <c r="G1403">
        <v>0</v>
      </c>
    </row>
    <row r="1404" spans="1:7" x14ac:dyDescent="0.3">
      <c r="A1404" s="2">
        <v>43935</v>
      </c>
      <c r="B1404" t="s">
        <v>302</v>
      </c>
      <c r="C1404">
        <v>-83.06</v>
      </c>
      <c r="D1404" s="2">
        <v>43935</v>
      </c>
      <c r="E1404" t="s">
        <v>27</v>
      </c>
      <c r="F1404">
        <v>-83.06</v>
      </c>
      <c r="G1404">
        <v>0</v>
      </c>
    </row>
    <row r="1405" spans="1:7" x14ac:dyDescent="0.3">
      <c r="A1405" s="2">
        <v>43937</v>
      </c>
      <c r="B1405" t="s">
        <v>690</v>
      </c>
      <c r="C1405">
        <v>-275</v>
      </c>
      <c r="D1405" s="2">
        <v>43937</v>
      </c>
      <c r="E1405" t="s">
        <v>27</v>
      </c>
      <c r="F1405">
        <v>-275</v>
      </c>
      <c r="G1405">
        <v>0</v>
      </c>
    </row>
    <row r="1406" spans="1:7" x14ac:dyDescent="0.3">
      <c r="A1406" s="2">
        <v>43938</v>
      </c>
      <c r="B1406" t="s">
        <v>47</v>
      </c>
      <c r="C1406">
        <v>618.75</v>
      </c>
      <c r="D1406" s="2">
        <v>43938</v>
      </c>
      <c r="E1406" t="s">
        <v>25</v>
      </c>
      <c r="F1406">
        <v>618.75</v>
      </c>
      <c r="G1406">
        <v>0</v>
      </c>
    </row>
    <row r="1407" spans="1:7" x14ac:dyDescent="0.3">
      <c r="A1407" s="2">
        <v>43941</v>
      </c>
      <c r="B1407" t="s">
        <v>47</v>
      </c>
      <c r="C1407">
        <v>123.75</v>
      </c>
      <c r="D1407" s="2">
        <v>43941</v>
      </c>
      <c r="E1407" t="s">
        <v>25</v>
      </c>
      <c r="F1407">
        <v>123.75</v>
      </c>
      <c r="G1407">
        <v>0</v>
      </c>
    </row>
    <row r="1408" spans="1:7" x14ac:dyDescent="0.3">
      <c r="A1408" s="2">
        <v>43942</v>
      </c>
      <c r="B1408" t="s">
        <v>691</v>
      </c>
      <c r="C1408">
        <v>-275</v>
      </c>
      <c r="D1408" s="2">
        <v>43942</v>
      </c>
      <c r="E1408" t="s">
        <v>27</v>
      </c>
      <c r="F1408">
        <v>-275</v>
      </c>
      <c r="G1408">
        <v>0</v>
      </c>
    </row>
    <row r="1409" spans="1:7" x14ac:dyDescent="0.3">
      <c r="A1409" s="2">
        <v>43942</v>
      </c>
      <c r="B1409" t="s">
        <v>692</v>
      </c>
      <c r="C1409">
        <v>-295</v>
      </c>
      <c r="D1409" s="2">
        <v>43942</v>
      </c>
      <c r="E1409" t="s">
        <v>27</v>
      </c>
      <c r="F1409">
        <v>-295</v>
      </c>
      <c r="G1409">
        <v>0</v>
      </c>
    </row>
    <row r="1410" spans="1:7" x14ac:dyDescent="0.3">
      <c r="A1410" s="2">
        <v>43942</v>
      </c>
      <c r="B1410" t="s">
        <v>693</v>
      </c>
      <c r="C1410">
        <v>-275</v>
      </c>
      <c r="D1410" s="2">
        <v>43942</v>
      </c>
      <c r="E1410" t="s">
        <v>27</v>
      </c>
      <c r="F1410">
        <v>-275</v>
      </c>
      <c r="G1410">
        <v>0</v>
      </c>
    </row>
    <row r="1411" spans="1:7" x14ac:dyDescent="0.3">
      <c r="A1411" s="2">
        <v>43942</v>
      </c>
      <c r="B1411" t="s">
        <v>694</v>
      </c>
      <c r="C1411">
        <v>-550</v>
      </c>
      <c r="D1411" s="2">
        <v>43942</v>
      </c>
      <c r="E1411" t="s">
        <v>27</v>
      </c>
      <c r="F1411">
        <v>-550</v>
      </c>
      <c r="G1411">
        <v>0</v>
      </c>
    </row>
    <row r="1412" spans="1:7" x14ac:dyDescent="0.3">
      <c r="A1412" s="2">
        <v>43943</v>
      </c>
      <c r="B1412" t="s">
        <v>695</v>
      </c>
      <c r="C1412">
        <v>-275</v>
      </c>
      <c r="D1412" s="2">
        <v>43943</v>
      </c>
      <c r="E1412" t="s">
        <v>27</v>
      </c>
      <c r="F1412">
        <v>-275</v>
      </c>
      <c r="G1412">
        <v>0</v>
      </c>
    </row>
    <row r="1413" spans="1:7" x14ac:dyDescent="0.3">
      <c r="A1413" s="2">
        <v>43943</v>
      </c>
      <c r="B1413" t="s">
        <v>696</v>
      </c>
      <c r="C1413">
        <v>-275</v>
      </c>
      <c r="D1413" s="2">
        <v>43943</v>
      </c>
      <c r="E1413" t="s">
        <v>27</v>
      </c>
      <c r="F1413">
        <v>-275</v>
      </c>
      <c r="G1413">
        <v>0</v>
      </c>
    </row>
    <row r="1414" spans="1:7" x14ac:dyDescent="0.3">
      <c r="A1414" s="2">
        <v>43943</v>
      </c>
      <c r="B1414" t="s">
        <v>47</v>
      </c>
      <c r="C1414">
        <v>618.75</v>
      </c>
      <c r="D1414" s="2">
        <v>43940</v>
      </c>
      <c r="E1414" t="s">
        <v>25</v>
      </c>
      <c r="F1414">
        <v>618.75</v>
      </c>
      <c r="G1414">
        <v>0</v>
      </c>
    </row>
    <row r="1415" spans="1:7" x14ac:dyDescent="0.3">
      <c r="A1415" s="2">
        <v>43944</v>
      </c>
      <c r="B1415" t="s">
        <v>697</v>
      </c>
      <c r="C1415">
        <v>-275</v>
      </c>
      <c r="D1415" s="2">
        <v>43944</v>
      </c>
      <c r="E1415" t="s">
        <v>27</v>
      </c>
      <c r="F1415">
        <v>-275</v>
      </c>
      <c r="G1415">
        <v>0</v>
      </c>
    </row>
    <row r="1416" spans="1:7" x14ac:dyDescent="0.3">
      <c r="A1416" s="2">
        <v>43945</v>
      </c>
      <c r="B1416" t="s">
        <v>698</v>
      </c>
      <c r="C1416">
        <v>-275</v>
      </c>
      <c r="D1416" s="2">
        <v>43945</v>
      </c>
      <c r="E1416" t="s">
        <v>27</v>
      </c>
      <c r="F1416">
        <v>-275</v>
      </c>
      <c r="G1416">
        <v>0</v>
      </c>
    </row>
    <row r="1417" spans="1:7" x14ac:dyDescent="0.3">
      <c r="A1417" s="2">
        <v>43945</v>
      </c>
      <c r="B1417" t="s">
        <v>699</v>
      </c>
      <c r="C1417">
        <v>-275</v>
      </c>
      <c r="D1417" s="2">
        <v>43945</v>
      </c>
      <c r="E1417" t="s">
        <v>27</v>
      </c>
      <c r="F1417">
        <v>-275</v>
      </c>
      <c r="G1417">
        <v>0</v>
      </c>
    </row>
    <row r="1418" spans="1:7" x14ac:dyDescent="0.3">
      <c r="A1418" s="2">
        <v>43945</v>
      </c>
      <c r="B1418" t="s">
        <v>700</v>
      </c>
      <c r="C1418">
        <v>-275</v>
      </c>
      <c r="D1418" s="2">
        <v>43945</v>
      </c>
      <c r="E1418" t="s">
        <v>27</v>
      </c>
      <c r="F1418">
        <v>-275</v>
      </c>
      <c r="G1418">
        <v>0</v>
      </c>
    </row>
    <row r="1419" spans="1:7" x14ac:dyDescent="0.3">
      <c r="A1419" s="2">
        <v>43948</v>
      </c>
      <c r="B1419" t="s">
        <v>701</v>
      </c>
      <c r="C1419">
        <v>-194.99</v>
      </c>
      <c r="D1419" s="2">
        <v>43948</v>
      </c>
      <c r="E1419" t="s">
        <v>27</v>
      </c>
      <c r="F1419">
        <v>-194.99</v>
      </c>
      <c r="G1419">
        <v>0</v>
      </c>
    </row>
    <row r="1420" spans="1:7" x14ac:dyDescent="0.3">
      <c r="A1420" s="2">
        <v>43948</v>
      </c>
      <c r="B1420" t="s">
        <v>47</v>
      </c>
      <c r="C1420">
        <v>123.75</v>
      </c>
      <c r="D1420" s="2">
        <v>43948</v>
      </c>
      <c r="E1420" t="s">
        <v>25</v>
      </c>
      <c r="F1420">
        <v>123.75</v>
      </c>
      <c r="G1420">
        <v>0</v>
      </c>
    </row>
    <row r="1421" spans="1:7" x14ac:dyDescent="0.3">
      <c r="A1421" s="2">
        <v>43949</v>
      </c>
      <c r="B1421" t="s">
        <v>311</v>
      </c>
      <c r="C1421">
        <v>-70.77</v>
      </c>
      <c r="D1421" s="2">
        <v>43949</v>
      </c>
      <c r="E1421" t="s">
        <v>27</v>
      </c>
      <c r="F1421">
        <v>-70.77</v>
      </c>
      <c r="G1421">
        <v>0</v>
      </c>
    </row>
    <row r="1422" spans="1:7" x14ac:dyDescent="0.3">
      <c r="A1422" s="2">
        <v>43949</v>
      </c>
      <c r="B1422" t="s">
        <v>47</v>
      </c>
      <c r="C1422">
        <v>123.75</v>
      </c>
      <c r="D1422" s="2">
        <v>43949</v>
      </c>
      <c r="E1422" t="s">
        <v>25</v>
      </c>
      <c r="F1422">
        <v>123.75</v>
      </c>
      <c r="G1422">
        <v>0</v>
      </c>
    </row>
    <row r="1423" spans="1:7" x14ac:dyDescent="0.3">
      <c r="A1423" s="2">
        <v>43950</v>
      </c>
      <c r="B1423" t="s">
        <v>24</v>
      </c>
      <c r="C1423">
        <v>165</v>
      </c>
      <c r="D1423" s="2">
        <v>43950</v>
      </c>
      <c r="E1423" t="s">
        <v>25</v>
      </c>
      <c r="F1423">
        <v>165</v>
      </c>
      <c r="G1423">
        <v>0</v>
      </c>
    </row>
    <row r="1424" spans="1:7" x14ac:dyDescent="0.3">
      <c r="A1424" s="2">
        <v>43951</v>
      </c>
      <c r="B1424" t="s">
        <v>47</v>
      </c>
      <c r="C1424">
        <v>412.5</v>
      </c>
      <c r="D1424" s="2">
        <v>43951</v>
      </c>
      <c r="E1424" t="s">
        <v>25</v>
      </c>
      <c r="F1424">
        <v>412.5</v>
      </c>
      <c r="G1424">
        <v>0</v>
      </c>
    </row>
    <row r="1425" spans="1:7" x14ac:dyDescent="0.3">
      <c r="A1425" s="2">
        <v>43952</v>
      </c>
      <c r="B1425" t="s">
        <v>702</v>
      </c>
      <c r="C1425">
        <v>275</v>
      </c>
      <c r="D1425" s="2">
        <v>43952</v>
      </c>
      <c r="E1425" t="s">
        <v>25</v>
      </c>
      <c r="F1425">
        <v>275</v>
      </c>
      <c r="G1425">
        <v>0</v>
      </c>
    </row>
    <row r="1426" spans="1:7" x14ac:dyDescent="0.3">
      <c r="A1426" s="2">
        <v>43952</v>
      </c>
      <c r="B1426" t="s">
        <v>703</v>
      </c>
      <c r="C1426">
        <v>-1026.33</v>
      </c>
      <c r="D1426" s="2">
        <v>43952</v>
      </c>
      <c r="E1426" t="s">
        <v>27</v>
      </c>
      <c r="F1426">
        <v>-1026.33</v>
      </c>
      <c r="G1426">
        <v>0</v>
      </c>
    </row>
    <row r="1427" spans="1:7" x14ac:dyDescent="0.3">
      <c r="A1427" s="2">
        <v>43955</v>
      </c>
      <c r="B1427" t="s">
        <v>317</v>
      </c>
      <c r="C1427">
        <v>-55</v>
      </c>
      <c r="D1427" s="2">
        <v>43955</v>
      </c>
      <c r="E1427" t="s">
        <v>27</v>
      </c>
      <c r="F1427">
        <v>-55</v>
      </c>
      <c r="G1427">
        <v>0</v>
      </c>
    </row>
    <row r="1428" spans="1:7" x14ac:dyDescent="0.3">
      <c r="A1428" s="2">
        <v>43955</v>
      </c>
      <c r="B1428" t="s">
        <v>53</v>
      </c>
      <c r="C1428">
        <v>-214.26</v>
      </c>
      <c r="D1428" s="2">
        <v>43955</v>
      </c>
      <c r="E1428" t="s">
        <v>27</v>
      </c>
      <c r="F1428">
        <v>-214.26</v>
      </c>
      <c r="G1428">
        <v>0</v>
      </c>
    </row>
    <row r="1429" spans="1:7" x14ac:dyDescent="0.3">
      <c r="A1429" s="2">
        <v>43955</v>
      </c>
      <c r="B1429" t="s">
        <v>47</v>
      </c>
      <c r="C1429">
        <v>123.75</v>
      </c>
      <c r="D1429" s="2">
        <v>43955</v>
      </c>
      <c r="E1429" t="s">
        <v>25</v>
      </c>
      <c r="F1429">
        <v>123.75</v>
      </c>
      <c r="G1429">
        <v>0</v>
      </c>
    </row>
    <row r="1430" spans="1:7" x14ac:dyDescent="0.3">
      <c r="A1430" s="2">
        <v>43955</v>
      </c>
      <c r="B1430" t="s">
        <v>47</v>
      </c>
      <c r="C1430">
        <v>371.25</v>
      </c>
      <c r="D1430" s="2">
        <v>43955</v>
      </c>
      <c r="E1430" t="s">
        <v>25</v>
      </c>
      <c r="F1430">
        <v>371.25</v>
      </c>
      <c r="G1430">
        <v>0</v>
      </c>
    </row>
    <row r="1431" spans="1:7" x14ac:dyDescent="0.3">
      <c r="A1431" s="2">
        <v>43955</v>
      </c>
      <c r="B1431" t="s">
        <v>47</v>
      </c>
      <c r="C1431">
        <v>371.25</v>
      </c>
      <c r="D1431" s="2">
        <v>43955</v>
      </c>
      <c r="E1431" t="s">
        <v>25</v>
      </c>
      <c r="F1431">
        <v>371.25</v>
      </c>
      <c r="G1431">
        <v>0</v>
      </c>
    </row>
    <row r="1432" spans="1:7" x14ac:dyDescent="0.3">
      <c r="A1432" s="2">
        <v>43955</v>
      </c>
      <c r="B1432" t="s">
        <v>704</v>
      </c>
      <c r="C1432">
        <v>-275</v>
      </c>
      <c r="D1432" s="2">
        <v>43958</v>
      </c>
      <c r="E1432" t="s">
        <v>27</v>
      </c>
      <c r="F1432">
        <v>-275</v>
      </c>
      <c r="G1432">
        <v>0</v>
      </c>
    </row>
    <row r="1433" spans="1:7" x14ac:dyDescent="0.3">
      <c r="A1433" s="2">
        <v>43956</v>
      </c>
      <c r="B1433" t="s">
        <v>318</v>
      </c>
      <c r="C1433">
        <v>-34.950000000000003</v>
      </c>
      <c r="D1433" s="2">
        <v>43956</v>
      </c>
      <c r="E1433" t="s">
        <v>27</v>
      </c>
      <c r="F1433">
        <v>-34.950000000000003</v>
      </c>
      <c r="G1433">
        <v>0</v>
      </c>
    </row>
    <row r="1434" spans="1:7" x14ac:dyDescent="0.3">
      <c r="A1434" s="2">
        <v>43956</v>
      </c>
      <c r="B1434" t="s">
        <v>705</v>
      </c>
      <c r="C1434">
        <v>-16000</v>
      </c>
      <c r="D1434" s="2">
        <v>43956</v>
      </c>
      <c r="E1434" t="s">
        <v>27</v>
      </c>
      <c r="F1434">
        <v>-16000</v>
      </c>
      <c r="G1434">
        <v>0</v>
      </c>
    </row>
    <row r="1435" spans="1:7" x14ac:dyDescent="0.3">
      <c r="A1435" s="2">
        <v>43957</v>
      </c>
      <c r="B1435" t="s">
        <v>47</v>
      </c>
      <c r="C1435">
        <v>412.5</v>
      </c>
      <c r="D1435" s="2">
        <v>43957</v>
      </c>
      <c r="E1435" t="s">
        <v>25</v>
      </c>
      <c r="F1435">
        <v>412.5</v>
      </c>
      <c r="G1435">
        <v>0</v>
      </c>
    </row>
    <row r="1436" spans="1:7" x14ac:dyDescent="0.3">
      <c r="A1436" s="2">
        <v>43958</v>
      </c>
      <c r="B1436" t="s">
        <v>706</v>
      </c>
      <c r="C1436">
        <v>-358.74</v>
      </c>
      <c r="D1436" s="2">
        <v>43958</v>
      </c>
      <c r="E1436" t="s">
        <v>27</v>
      </c>
      <c r="F1436">
        <v>-358.74</v>
      </c>
      <c r="G1436">
        <v>0</v>
      </c>
    </row>
    <row r="1437" spans="1:7" x14ac:dyDescent="0.3">
      <c r="A1437" s="2">
        <v>43962</v>
      </c>
      <c r="B1437" t="s">
        <v>322</v>
      </c>
      <c r="C1437">
        <v>-9.99</v>
      </c>
      <c r="D1437" s="2">
        <v>43962</v>
      </c>
      <c r="E1437" t="s">
        <v>27</v>
      </c>
      <c r="F1437">
        <v>-9.99</v>
      </c>
      <c r="G1437">
        <v>0</v>
      </c>
    </row>
    <row r="1438" spans="1:7" x14ac:dyDescent="0.3">
      <c r="A1438" s="2">
        <v>43962</v>
      </c>
      <c r="B1438" t="s">
        <v>52</v>
      </c>
      <c r="C1438">
        <v>-525</v>
      </c>
      <c r="D1438" s="2">
        <v>43962</v>
      </c>
      <c r="E1438" t="s">
        <v>27</v>
      </c>
      <c r="F1438">
        <v>-525</v>
      </c>
      <c r="G1438">
        <v>0</v>
      </c>
    </row>
    <row r="1439" spans="1:7" x14ac:dyDescent="0.3">
      <c r="A1439" s="2">
        <v>43962</v>
      </c>
      <c r="B1439" t="s">
        <v>47</v>
      </c>
      <c r="C1439">
        <v>225</v>
      </c>
      <c r="D1439" s="2">
        <v>43960</v>
      </c>
      <c r="E1439" t="s">
        <v>25</v>
      </c>
      <c r="F1439">
        <v>225</v>
      </c>
      <c r="G1439">
        <v>0</v>
      </c>
    </row>
    <row r="1440" spans="1:7" x14ac:dyDescent="0.3">
      <c r="A1440" s="2">
        <v>43962</v>
      </c>
      <c r="B1440" t="s">
        <v>47</v>
      </c>
      <c r="C1440">
        <v>225</v>
      </c>
      <c r="D1440" s="2">
        <v>43962</v>
      </c>
      <c r="E1440" t="s">
        <v>25</v>
      </c>
      <c r="F1440">
        <v>225</v>
      </c>
      <c r="G1440">
        <v>0</v>
      </c>
    </row>
    <row r="1441" spans="1:7" x14ac:dyDescent="0.3">
      <c r="A1441" s="2">
        <v>43963</v>
      </c>
      <c r="B1441" t="s">
        <v>707</v>
      </c>
      <c r="C1441">
        <v>-47.97</v>
      </c>
      <c r="D1441" s="2">
        <v>43963</v>
      </c>
      <c r="E1441" t="s">
        <v>27</v>
      </c>
      <c r="F1441">
        <v>-47.97</v>
      </c>
      <c r="G1441">
        <v>0</v>
      </c>
    </row>
    <row r="1442" spans="1:7" x14ac:dyDescent="0.3">
      <c r="A1442" s="2">
        <v>43963</v>
      </c>
      <c r="B1442" t="s">
        <v>708</v>
      </c>
      <c r="C1442">
        <v>-295</v>
      </c>
      <c r="D1442" s="2">
        <v>43963</v>
      </c>
      <c r="E1442" t="s">
        <v>27</v>
      </c>
      <c r="F1442">
        <v>-295</v>
      </c>
      <c r="G1442">
        <v>0</v>
      </c>
    </row>
    <row r="1443" spans="1:7" x14ac:dyDescent="0.3">
      <c r="A1443" s="2">
        <v>43964</v>
      </c>
      <c r="B1443" t="s">
        <v>332</v>
      </c>
      <c r="C1443">
        <v>-19.59</v>
      </c>
      <c r="D1443" s="2">
        <v>43964</v>
      </c>
      <c r="E1443" t="s">
        <v>27</v>
      </c>
      <c r="F1443">
        <v>-19.59</v>
      </c>
      <c r="G1443">
        <v>0</v>
      </c>
    </row>
    <row r="1444" spans="1:7" x14ac:dyDescent="0.3">
      <c r="A1444" s="2">
        <v>43964</v>
      </c>
      <c r="B1444" t="s">
        <v>709</v>
      </c>
      <c r="C1444">
        <v>-599.88</v>
      </c>
      <c r="D1444" s="2">
        <v>43964</v>
      </c>
      <c r="E1444" t="s">
        <v>27</v>
      </c>
      <c r="F1444">
        <v>-599.88</v>
      </c>
      <c r="G1444">
        <v>0</v>
      </c>
    </row>
    <row r="1445" spans="1:7" x14ac:dyDescent="0.3">
      <c r="A1445" s="2">
        <v>43965</v>
      </c>
      <c r="B1445" t="s">
        <v>333</v>
      </c>
      <c r="C1445">
        <v>-83.06</v>
      </c>
      <c r="D1445" s="2">
        <v>43965</v>
      </c>
      <c r="E1445" t="s">
        <v>27</v>
      </c>
      <c r="F1445">
        <v>-83.06</v>
      </c>
      <c r="G1445">
        <v>0</v>
      </c>
    </row>
    <row r="1446" spans="1:7" x14ac:dyDescent="0.3">
      <c r="A1446" s="2">
        <v>43969</v>
      </c>
      <c r="B1446" t="s">
        <v>710</v>
      </c>
      <c r="C1446">
        <v>1000</v>
      </c>
      <c r="D1446" s="2">
        <v>43969</v>
      </c>
      <c r="E1446" t="s">
        <v>25</v>
      </c>
      <c r="F1446">
        <v>1000</v>
      </c>
      <c r="G1446">
        <v>0</v>
      </c>
    </row>
    <row r="1447" spans="1:7" x14ac:dyDescent="0.3">
      <c r="A1447" s="2">
        <v>43969</v>
      </c>
      <c r="B1447" t="s">
        <v>711</v>
      </c>
      <c r="C1447">
        <v>-1.05</v>
      </c>
      <c r="D1447" s="2">
        <v>43969</v>
      </c>
      <c r="E1447" t="s">
        <v>27</v>
      </c>
      <c r="F1447">
        <v>-1.05</v>
      </c>
      <c r="G1447">
        <v>0</v>
      </c>
    </row>
    <row r="1448" spans="1:7" x14ac:dyDescent="0.3">
      <c r="A1448" s="2">
        <v>43970</v>
      </c>
      <c r="B1448" t="s">
        <v>712</v>
      </c>
      <c r="C1448">
        <v>-8301</v>
      </c>
      <c r="D1448" s="2">
        <v>43970</v>
      </c>
      <c r="E1448" t="s">
        <v>27</v>
      </c>
      <c r="F1448">
        <v>-8301</v>
      </c>
      <c r="G1448">
        <v>0</v>
      </c>
    </row>
    <row r="1449" spans="1:7" x14ac:dyDescent="0.3">
      <c r="A1449" s="2">
        <v>43971</v>
      </c>
      <c r="B1449" t="s">
        <v>713</v>
      </c>
      <c r="C1449">
        <v>123.75</v>
      </c>
      <c r="D1449" s="2">
        <v>43971</v>
      </c>
      <c r="E1449" t="s">
        <v>25</v>
      </c>
      <c r="F1449">
        <v>123.75</v>
      </c>
      <c r="G1449">
        <v>0</v>
      </c>
    </row>
    <row r="1450" spans="1:7" x14ac:dyDescent="0.3">
      <c r="A1450" s="2">
        <v>43972</v>
      </c>
      <c r="B1450" t="s">
        <v>714</v>
      </c>
      <c r="C1450">
        <v>-295</v>
      </c>
      <c r="D1450" s="2">
        <v>43972</v>
      </c>
      <c r="E1450" t="s">
        <v>27</v>
      </c>
      <c r="F1450">
        <v>-295</v>
      </c>
      <c r="G1450">
        <v>0</v>
      </c>
    </row>
    <row r="1451" spans="1:7" x14ac:dyDescent="0.3">
      <c r="A1451" s="2">
        <v>43972</v>
      </c>
      <c r="B1451" t="s">
        <v>715</v>
      </c>
      <c r="C1451">
        <v>165</v>
      </c>
      <c r="D1451" s="2">
        <v>43972</v>
      </c>
      <c r="E1451" t="s">
        <v>25</v>
      </c>
      <c r="F1451">
        <v>165</v>
      </c>
      <c r="G1451">
        <v>0</v>
      </c>
    </row>
    <row r="1452" spans="1:7" x14ac:dyDescent="0.3">
      <c r="A1452" s="2">
        <v>43973</v>
      </c>
      <c r="B1452" t="s">
        <v>716</v>
      </c>
      <c r="C1452">
        <v>123.75</v>
      </c>
      <c r="D1452" s="2">
        <v>43973</v>
      </c>
      <c r="E1452" t="s">
        <v>25</v>
      </c>
      <c r="F1452">
        <v>123.75</v>
      </c>
      <c r="G1452">
        <v>0</v>
      </c>
    </row>
    <row r="1453" spans="1:7" x14ac:dyDescent="0.3">
      <c r="A1453" s="2">
        <v>43977</v>
      </c>
      <c r="B1453" t="s">
        <v>717</v>
      </c>
      <c r="C1453">
        <v>-194.99</v>
      </c>
      <c r="D1453" s="2">
        <v>43975</v>
      </c>
      <c r="E1453" t="s">
        <v>27</v>
      </c>
      <c r="F1453">
        <v>-194.99</v>
      </c>
      <c r="G1453">
        <v>0</v>
      </c>
    </row>
    <row r="1454" spans="1:7" x14ac:dyDescent="0.3">
      <c r="A1454" s="2">
        <v>43977</v>
      </c>
      <c r="B1454" t="s">
        <v>718</v>
      </c>
      <c r="C1454">
        <v>371.25</v>
      </c>
      <c r="D1454" s="2">
        <v>43977</v>
      </c>
      <c r="E1454" t="s">
        <v>25</v>
      </c>
      <c r="F1454">
        <v>371.25</v>
      </c>
      <c r="G1454">
        <v>0</v>
      </c>
    </row>
    <row r="1455" spans="1:7" x14ac:dyDescent="0.3">
      <c r="A1455" s="2">
        <v>43978</v>
      </c>
      <c r="B1455" t="s">
        <v>719</v>
      </c>
      <c r="C1455">
        <v>165</v>
      </c>
      <c r="D1455" s="2">
        <v>43978</v>
      </c>
      <c r="E1455" t="s">
        <v>25</v>
      </c>
      <c r="F1455">
        <v>165</v>
      </c>
      <c r="G1455">
        <v>0</v>
      </c>
    </row>
    <row r="1456" spans="1:7" x14ac:dyDescent="0.3">
      <c r="A1456" s="2">
        <v>43978</v>
      </c>
      <c r="B1456" t="s">
        <v>720</v>
      </c>
      <c r="C1456">
        <v>-1250</v>
      </c>
      <c r="D1456" s="2">
        <v>43975</v>
      </c>
      <c r="E1456" t="s">
        <v>27</v>
      </c>
      <c r="F1456">
        <v>-1250</v>
      </c>
      <c r="G1456">
        <v>0</v>
      </c>
    </row>
    <row r="1457" spans="1:7" x14ac:dyDescent="0.3">
      <c r="A1457" s="2">
        <v>43979</v>
      </c>
      <c r="B1457" t="s">
        <v>721</v>
      </c>
      <c r="C1457">
        <v>588.75</v>
      </c>
      <c r="D1457" s="2">
        <v>43979</v>
      </c>
      <c r="E1457" t="s">
        <v>25</v>
      </c>
      <c r="F1457">
        <v>588.75</v>
      </c>
      <c r="G1457">
        <v>0</v>
      </c>
    </row>
    <row r="1458" spans="1:7" x14ac:dyDescent="0.3">
      <c r="A1458" s="2">
        <v>43980</v>
      </c>
      <c r="B1458" t="s">
        <v>722</v>
      </c>
      <c r="C1458">
        <v>165</v>
      </c>
      <c r="D1458" s="2">
        <v>43980</v>
      </c>
      <c r="E1458" t="s">
        <v>25</v>
      </c>
      <c r="F1458">
        <v>165</v>
      </c>
      <c r="G1458">
        <v>0</v>
      </c>
    </row>
    <row r="1459" spans="1:7" x14ac:dyDescent="0.3">
      <c r="A1459" s="2">
        <v>43983</v>
      </c>
      <c r="B1459" t="s">
        <v>723</v>
      </c>
      <c r="C1459">
        <v>123.75</v>
      </c>
      <c r="D1459" s="2">
        <v>43983</v>
      </c>
      <c r="E1459" t="s">
        <v>25</v>
      </c>
      <c r="F1459">
        <v>123.75</v>
      </c>
      <c r="G1459">
        <v>0</v>
      </c>
    </row>
    <row r="1460" spans="1:7" x14ac:dyDescent="0.3">
      <c r="A1460" s="2">
        <v>43983</v>
      </c>
      <c r="B1460" t="s">
        <v>724</v>
      </c>
      <c r="C1460">
        <v>348.75</v>
      </c>
      <c r="D1460" s="2">
        <v>43983</v>
      </c>
      <c r="E1460" t="s">
        <v>25</v>
      </c>
      <c r="F1460">
        <v>348.75</v>
      </c>
      <c r="G1460">
        <v>0</v>
      </c>
    </row>
    <row r="1461" spans="1:7" x14ac:dyDescent="0.3">
      <c r="A1461" s="2">
        <v>43984</v>
      </c>
      <c r="B1461" t="s">
        <v>725</v>
      </c>
      <c r="C1461">
        <v>247.5</v>
      </c>
      <c r="D1461" s="2">
        <v>43984</v>
      </c>
      <c r="E1461" t="s">
        <v>25</v>
      </c>
      <c r="F1461">
        <v>247.5</v>
      </c>
      <c r="G1461">
        <v>0</v>
      </c>
    </row>
    <row r="1462" spans="1:7" x14ac:dyDescent="0.3">
      <c r="A1462" s="2">
        <v>43984</v>
      </c>
      <c r="B1462" t="s">
        <v>723</v>
      </c>
      <c r="C1462">
        <v>-284.51</v>
      </c>
      <c r="D1462" s="2">
        <v>43984</v>
      </c>
      <c r="E1462" t="s">
        <v>27</v>
      </c>
      <c r="F1462">
        <v>-284.51</v>
      </c>
      <c r="G1462">
        <v>0</v>
      </c>
    </row>
    <row r="1463" spans="1:7" x14ac:dyDescent="0.3">
      <c r="A1463" s="2">
        <v>43984</v>
      </c>
      <c r="B1463" t="s">
        <v>373</v>
      </c>
      <c r="C1463">
        <v>-55</v>
      </c>
      <c r="D1463" s="2">
        <v>43984</v>
      </c>
      <c r="E1463" t="s">
        <v>27</v>
      </c>
      <c r="F1463">
        <v>-55</v>
      </c>
      <c r="G1463">
        <v>0</v>
      </c>
    </row>
    <row r="1464" spans="1:7" x14ac:dyDescent="0.3">
      <c r="A1464" s="2">
        <v>43985</v>
      </c>
      <c r="B1464" t="s">
        <v>29</v>
      </c>
      <c r="C1464">
        <v>-34.950000000000003</v>
      </c>
      <c r="D1464" s="2">
        <v>43985</v>
      </c>
      <c r="E1464" t="s">
        <v>27</v>
      </c>
      <c r="F1464">
        <v>-34.950000000000003</v>
      </c>
      <c r="G1464">
        <v>0</v>
      </c>
    </row>
    <row r="1465" spans="1:7" x14ac:dyDescent="0.3">
      <c r="A1465" s="2">
        <v>43986</v>
      </c>
      <c r="B1465" t="s">
        <v>726</v>
      </c>
      <c r="C1465">
        <v>-127.5</v>
      </c>
      <c r="D1465" s="2">
        <v>43986</v>
      </c>
      <c r="E1465" t="s">
        <v>27</v>
      </c>
      <c r="F1465">
        <v>-127.5</v>
      </c>
      <c r="G1465">
        <v>0</v>
      </c>
    </row>
    <row r="1466" spans="1:7" x14ac:dyDescent="0.3">
      <c r="A1466" s="2">
        <v>43987</v>
      </c>
      <c r="B1466" t="s">
        <v>727</v>
      </c>
      <c r="C1466">
        <v>8275</v>
      </c>
      <c r="D1466" s="2">
        <v>43987</v>
      </c>
      <c r="E1466" t="s">
        <v>25</v>
      </c>
      <c r="F1466">
        <v>8275</v>
      </c>
      <c r="G1466">
        <v>0</v>
      </c>
    </row>
    <row r="1467" spans="1:7" x14ac:dyDescent="0.3">
      <c r="A1467" s="2">
        <v>43990</v>
      </c>
      <c r="B1467" t="s">
        <v>728</v>
      </c>
      <c r="C1467">
        <v>983.75</v>
      </c>
      <c r="D1467" s="2">
        <v>43990</v>
      </c>
      <c r="E1467" t="s">
        <v>25</v>
      </c>
      <c r="F1467">
        <v>983.75</v>
      </c>
      <c r="G1467">
        <v>0</v>
      </c>
    </row>
    <row r="1468" spans="1:7" x14ac:dyDescent="0.3">
      <c r="A1468" s="2">
        <v>43990</v>
      </c>
      <c r="B1468" t="s">
        <v>729</v>
      </c>
      <c r="C1468">
        <v>210</v>
      </c>
      <c r="D1468" s="2">
        <v>43990</v>
      </c>
      <c r="E1468" t="s">
        <v>25</v>
      </c>
      <c r="F1468">
        <v>210</v>
      </c>
      <c r="G1468">
        <v>0</v>
      </c>
    </row>
    <row r="1469" spans="1:7" x14ac:dyDescent="0.3">
      <c r="A1469" s="2">
        <v>43990</v>
      </c>
      <c r="B1469" t="s">
        <v>730</v>
      </c>
      <c r="C1469">
        <v>-590</v>
      </c>
      <c r="D1469" s="2">
        <v>43990</v>
      </c>
      <c r="E1469" t="s">
        <v>27</v>
      </c>
      <c r="F1469">
        <v>-590</v>
      </c>
      <c r="G1469">
        <v>0</v>
      </c>
    </row>
    <row r="1470" spans="1:7" x14ac:dyDescent="0.3">
      <c r="A1470" s="2">
        <v>43991</v>
      </c>
      <c r="B1470" t="s">
        <v>731</v>
      </c>
      <c r="C1470">
        <v>-295</v>
      </c>
      <c r="D1470" s="2">
        <v>43991</v>
      </c>
      <c r="E1470" t="s">
        <v>27</v>
      </c>
      <c r="F1470">
        <v>-295</v>
      </c>
      <c r="G1470">
        <v>0</v>
      </c>
    </row>
    <row r="1471" spans="1:7" x14ac:dyDescent="0.3">
      <c r="A1471" s="2">
        <v>43991</v>
      </c>
      <c r="B1471" t="s">
        <v>732</v>
      </c>
      <c r="C1471">
        <v>333.75</v>
      </c>
      <c r="D1471" s="2">
        <v>43991</v>
      </c>
      <c r="E1471" t="s">
        <v>25</v>
      </c>
      <c r="F1471">
        <v>333.75</v>
      </c>
      <c r="G1471">
        <v>0</v>
      </c>
    </row>
    <row r="1472" spans="1:7" x14ac:dyDescent="0.3">
      <c r="A1472" s="2">
        <v>43992</v>
      </c>
      <c r="B1472" t="s">
        <v>733</v>
      </c>
      <c r="C1472">
        <v>3861.25</v>
      </c>
      <c r="D1472" s="2">
        <v>43992</v>
      </c>
      <c r="E1472" t="s">
        <v>25</v>
      </c>
      <c r="F1472">
        <v>3861.25</v>
      </c>
      <c r="G1472">
        <v>0</v>
      </c>
    </row>
    <row r="1473" spans="1:7" x14ac:dyDescent="0.3">
      <c r="A1473" s="2">
        <v>43992</v>
      </c>
      <c r="B1473" t="s">
        <v>377</v>
      </c>
      <c r="C1473">
        <v>-9.99</v>
      </c>
      <c r="D1473" s="2">
        <v>43992</v>
      </c>
      <c r="E1473" t="s">
        <v>27</v>
      </c>
      <c r="F1473">
        <v>-9.99</v>
      </c>
      <c r="G1473">
        <v>0</v>
      </c>
    </row>
    <row r="1474" spans="1:7" x14ac:dyDescent="0.3">
      <c r="A1474" s="2">
        <v>43993</v>
      </c>
      <c r="B1474" t="s">
        <v>734</v>
      </c>
      <c r="C1474">
        <v>1427.5</v>
      </c>
      <c r="D1474" s="2">
        <v>43993</v>
      </c>
      <c r="E1474" t="s">
        <v>25</v>
      </c>
      <c r="F1474">
        <v>1427.5</v>
      </c>
      <c r="G1474">
        <v>0</v>
      </c>
    </row>
    <row r="1475" spans="1:7" x14ac:dyDescent="0.3">
      <c r="A1475" s="2">
        <v>43994</v>
      </c>
      <c r="B1475" t="s">
        <v>735</v>
      </c>
      <c r="C1475">
        <v>1746.25</v>
      </c>
      <c r="D1475" s="2">
        <v>43994</v>
      </c>
      <c r="E1475" t="s">
        <v>25</v>
      </c>
      <c r="F1475">
        <v>1746.25</v>
      </c>
      <c r="G1475">
        <v>0</v>
      </c>
    </row>
    <row r="1476" spans="1:7" x14ac:dyDescent="0.3">
      <c r="A1476" s="2">
        <v>43997</v>
      </c>
      <c r="B1476" t="s">
        <v>385</v>
      </c>
      <c r="C1476">
        <v>-19.59</v>
      </c>
      <c r="D1476" s="2">
        <v>43997</v>
      </c>
      <c r="E1476" t="s">
        <v>27</v>
      </c>
      <c r="F1476">
        <v>-19.59</v>
      </c>
      <c r="G1476">
        <v>0</v>
      </c>
    </row>
    <row r="1477" spans="1:7" x14ac:dyDescent="0.3">
      <c r="A1477" s="2">
        <v>43997</v>
      </c>
      <c r="B1477" t="s">
        <v>736</v>
      </c>
      <c r="C1477">
        <v>-275</v>
      </c>
      <c r="D1477" s="2">
        <v>43997</v>
      </c>
      <c r="E1477" t="s">
        <v>27</v>
      </c>
      <c r="F1477">
        <v>-275</v>
      </c>
      <c r="G1477">
        <v>0</v>
      </c>
    </row>
    <row r="1478" spans="1:7" x14ac:dyDescent="0.3">
      <c r="A1478" s="2">
        <v>43997</v>
      </c>
      <c r="B1478" t="s">
        <v>737</v>
      </c>
      <c r="C1478">
        <v>786.25</v>
      </c>
      <c r="D1478" s="2">
        <v>43997</v>
      </c>
      <c r="E1478" t="s">
        <v>25</v>
      </c>
      <c r="F1478">
        <v>786.25</v>
      </c>
      <c r="G1478">
        <v>0</v>
      </c>
    </row>
    <row r="1479" spans="1:7" x14ac:dyDescent="0.3">
      <c r="A1479" s="2">
        <v>43997</v>
      </c>
      <c r="B1479" t="s">
        <v>40</v>
      </c>
      <c r="C1479">
        <v>-83.06</v>
      </c>
      <c r="D1479" s="2">
        <v>43997</v>
      </c>
      <c r="E1479" t="s">
        <v>27</v>
      </c>
      <c r="F1479">
        <v>-83.06</v>
      </c>
      <c r="G1479">
        <v>0</v>
      </c>
    </row>
    <row r="1480" spans="1:7" x14ac:dyDescent="0.3">
      <c r="A1480" s="2">
        <v>43998</v>
      </c>
      <c r="B1480" t="s">
        <v>738</v>
      </c>
      <c r="C1480">
        <v>660</v>
      </c>
      <c r="D1480" s="2">
        <v>43998</v>
      </c>
      <c r="E1480" t="s">
        <v>25</v>
      </c>
      <c r="F1480">
        <v>660</v>
      </c>
      <c r="G1480">
        <v>0</v>
      </c>
    </row>
    <row r="1481" spans="1:7" x14ac:dyDescent="0.3">
      <c r="A1481" s="2">
        <v>43999</v>
      </c>
      <c r="B1481" t="s">
        <v>739</v>
      </c>
      <c r="C1481">
        <v>45</v>
      </c>
      <c r="D1481" s="2">
        <v>43999</v>
      </c>
      <c r="E1481" t="s">
        <v>25</v>
      </c>
      <c r="F1481">
        <v>45</v>
      </c>
      <c r="G1481">
        <v>0</v>
      </c>
    </row>
    <row r="1482" spans="1:7" x14ac:dyDescent="0.3">
      <c r="A1482" s="2">
        <v>44000</v>
      </c>
      <c r="B1482" t="s">
        <v>740</v>
      </c>
      <c r="C1482">
        <v>663.75</v>
      </c>
      <c r="D1482" s="2">
        <v>44000</v>
      </c>
      <c r="E1482" t="s">
        <v>25</v>
      </c>
      <c r="F1482">
        <v>663.75</v>
      </c>
      <c r="G1482">
        <v>0</v>
      </c>
    </row>
    <row r="1483" spans="1:7" x14ac:dyDescent="0.3">
      <c r="A1483" s="2">
        <v>44004</v>
      </c>
      <c r="B1483" t="s">
        <v>741</v>
      </c>
      <c r="C1483">
        <v>465</v>
      </c>
      <c r="D1483" s="2">
        <v>44004</v>
      </c>
      <c r="E1483" t="s">
        <v>25</v>
      </c>
      <c r="F1483">
        <v>465</v>
      </c>
      <c r="G1483">
        <v>0</v>
      </c>
    </row>
    <row r="1484" spans="1:7" x14ac:dyDescent="0.3">
      <c r="A1484" s="2">
        <v>44004</v>
      </c>
      <c r="B1484" t="s">
        <v>742</v>
      </c>
      <c r="C1484">
        <v>543.75</v>
      </c>
      <c r="D1484" s="2">
        <v>44004</v>
      </c>
      <c r="E1484" t="s">
        <v>25</v>
      </c>
      <c r="F1484">
        <v>543.75</v>
      </c>
      <c r="G1484">
        <v>0</v>
      </c>
    </row>
    <row r="1485" spans="1:7" x14ac:dyDescent="0.3">
      <c r="A1485" s="2">
        <v>44004</v>
      </c>
      <c r="B1485" t="s">
        <v>742</v>
      </c>
      <c r="C1485">
        <v>581.25</v>
      </c>
      <c r="D1485" s="2">
        <v>44004</v>
      </c>
      <c r="E1485" t="s">
        <v>25</v>
      </c>
      <c r="F1485">
        <v>581.25</v>
      </c>
      <c r="G1485">
        <v>0</v>
      </c>
    </row>
    <row r="1486" spans="1:7" x14ac:dyDescent="0.3">
      <c r="A1486" s="2">
        <v>44006</v>
      </c>
      <c r="B1486" t="s">
        <v>743</v>
      </c>
      <c r="C1486">
        <v>233.75</v>
      </c>
      <c r="D1486" s="2">
        <v>44006</v>
      </c>
      <c r="E1486" t="s">
        <v>25</v>
      </c>
      <c r="F1486">
        <v>233.75</v>
      </c>
      <c r="G1486">
        <v>0</v>
      </c>
    </row>
    <row r="1487" spans="1:7" x14ac:dyDescent="0.3">
      <c r="A1487" s="2">
        <v>44007</v>
      </c>
      <c r="B1487" t="s">
        <v>744</v>
      </c>
      <c r="C1487">
        <v>893.75</v>
      </c>
      <c r="D1487" s="2">
        <v>44007</v>
      </c>
      <c r="E1487" t="s">
        <v>25</v>
      </c>
      <c r="F1487">
        <v>893.75</v>
      </c>
      <c r="G1487">
        <v>0</v>
      </c>
    </row>
    <row r="1488" spans="1:7" x14ac:dyDescent="0.3">
      <c r="A1488" s="2">
        <v>44008</v>
      </c>
      <c r="B1488" t="s">
        <v>745</v>
      </c>
      <c r="C1488">
        <v>1462.5</v>
      </c>
      <c r="D1488" s="2">
        <v>44008</v>
      </c>
      <c r="E1488" t="s">
        <v>25</v>
      </c>
      <c r="F1488">
        <v>1462.5</v>
      </c>
      <c r="G1488">
        <v>0</v>
      </c>
    </row>
    <row r="1489" spans="1:7" x14ac:dyDescent="0.3">
      <c r="A1489" s="2">
        <v>44008</v>
      </c>
      <c r="B1489" t="s">
        <v>746</v>
      </c>
      <c r="C1489">
        <v>-194.99</v>
      </c>
      <c r="D1489" s="2">
        <v>44008</v>
      </c>
      <c r="E1489" t="s">
        <v>27</v>
      </c>
      <c r="F1489">
        <v>-194.99</v>
      </c>
      <c r="G1489">
        <v>0</v>
      </c>
    </row>
    <row r="1490" spans="1:7" x14ac:dyDescent="0.3">
      <c r="A1490" s="2">
        <v>44011</v>
      </c>
      <c r="B1490" t="s">
        <v>747</v>
      </c>
      <c r="C1490">
        <v>-535</v>
      </c>
      <c r="D1490" s="2">
        <v>44011</v>
      </c>
      <c r="E1490" t="s">
        <v>27</v>
      </c>
      <c r="F1490">
        <v>-535</v>
      </c>
      <c r="G1490">
        <v>0</v>
      </c>
    </row>
    <row r="1491" spans="1:7" x14ac:dyDescent="0.3">
      <c r="A1491" s="2">
        <v>44011</v>
      </c>
      <c r="B1491" t="s">
        <v>748</v>
      </c>
      <c r="C1491">
        <v>-4492.18</v>
      </c>
      <c r="D1491" s="2">
        <v>44011</v>
      </c>
      <c r="E1491" t="s">
        <v>27</v>
      </c>
      <c r="F1491">
        <v>-4492.18</v>
      </c>
      <c r="G1491">
        <v>0</v>
      </c>
    </row>
    <row r="1492" spans="1:7" x14ac:dyDescent="0.3">
      <c r="A1492" s="2">
        <v>44011</v>
      </c>
      <c r="B1492" t="s">
        <v>749</v>
      </c>
      <c r="C1492">
        <v>-2500</v>
      </c>
      <c r="D1492" s="2">
        <v>44011</v>
      </c>
      <c r="E1492" t="s">
        <v>27</v>
      </c>
      <c r="F1492">
        <v>-2500</v>
      </c>
      <c r="G1492">
        <v>0</v>
      </c>
    </row>
    <row r="1493" spans="1:7" x14ac:dyDescent="0.3">
      <c r="A1493" s="2">
        <v>44011</v>
      </c>
      <c r="B1493" t="s">
        <v>50</v>
      </c>
      <c r="C1493">
        <v>-70.77</v>
      </c>
      <c r="D1493" s="2">
        <v>44011</v>
      </c>
      <c r="E1493" t="s">
        <v>27</v>
      </c>
      <c r="F1493">
        <v>-70.77</v>
      </c>
      <c r="G1493">
        <v>0</v>
      </c>
    </row>
    <row r="1494" spans="1:7" x14ac:dyDescent="0.3">
      <c r="A1494" s="2">
        <v>44011</v>
      </c>
      <c r="B1494" t="s">
        <v>747</v>
      </c>
      <c r="C1494">
        <v>123.75</v>
      </c>
      <c r="D1494" s="2">
        <v>44011</v>
      </c>
      <c r="E1494" t="s">
        <v>25</v>
      </c>
      <c r="F1494">
        <v>123.75</v>
      </c>
      <c r="G1494">
        <v>0</v>
      </c>
    </row>
    <row r="1495" spans="1:7" x14ac:dyDescent="0.3">
      <c r="A1495" s="2">
        <v>44011</v>
      </c>
      <c r="B1495" t="s">
        <v>750</v>
      </c>
      <c r="C1495">
        <v>2117.5</v>
      </c>
      <c r="D1495" s="2">
        <v>44011</v>
      </c>
      <c r="E1495" t="s">
        <v>25</v>
      </c>
      <c r="F1495">
        <v>2117.5</v>
      </c>
      <c r="G1495">
        <v>0</v>
      </c>
    </row>
    <row r="1496" spans="1:7" x14ac:dyDescent="0.3">
      <c r="A1496" s="2">
        <v>44012</v>
      </c>
      <c r="B1496" t="s">
        <v>751</v>
      </c>
      <c r="C1496">
        <v>247.5</v>
      </c>
      <c r="D1496" s="2">
        <v>44012</v>
      </c>
      <c r="E1496" t="s">
        <v>25</v>
      </c>
      <c r="F1496">
        <v>247.5</v>
      </c>
      <c r="G1496">
        <v>0</v>
      </c>
    </row>
    <row r="1497" spans="1:7" x14ac:dyDescent="0.3">
      <c r="A1497" s="2">
        <v>44013</v>
      </c>
      <c r="B1497" t="s">
        <v>752</v>
      </c>
      <c r="C1497">
        <v>330</v>
      </c>
      <c r="D1497" s="2">
        <v>44013</v>
      </c>
      <c r="E1497" t="s">
        <v>25</v>
      </c>
      <c r="F1497">
        <v>330</v>
      </c>
      <c r="G1497">
        <v>0</v>
      </c>
    </row>
    <row r="1498" spans="1:7" x14ac:dyDescent="0.3">
      <c r="A1498" s="2">
        <v>44014</v>
      </c>
      <c r="B1498" t="s">
        <v>753</v>
      </c>
      <c r="C1498">
        <v>732.5</v>
      </c>
      <c r="D1498" s="2">
        <v>44014</v>
      </c>
      <c r="E1498" t="s">
        <v>25</v>
      </c>
      <c r="F1498">
        <v>732.5</v>
      </c>
      <c r="G1498">
        <v>0</v>
      </c>
    </row>
    <row r="1499" spans="1:7" x14ac:dyDescent="0.3">
      <c r="A1499" s="2">
        <v>44014</v>
      </c>
      <c r="B1499" t="s">
        <v>752</v>
      </c>
      <c r="C1499">
        <v>-1155.05</v>
      </c>
      <c r="D1499" s="2">
        <v>44014</v>
      </c>
      <c r="E1499" t="s">
        <v>27</v>
      </c>
      <c r="F1499">
        <v>-1155.05</v>
      </c>
      <c r="G1499">
        <v>0</v>
      </c>
    </row>
    <row r="1500" spans="1:7" x14ac:dyDescent="0.3">
      <c r="A1500" s="2">
        <v>44014</v>
      </c>
      <c r="B1500" t="s">
        <v>54</v>
      </c>
      <c r="C1500">
        <v>-55</v>
      </c>
      <c r="D1500" s="2">
        <v>44014</v>
      </c>
      <c r="E1500" t="s">
        <v>27</v>
      </c>
      <c r="F1500">
        <v>-55</v>
      </c>
      <c r="G1500">
        <v>0</v>
      </c>
    </row>
    <row r="1501" spans="1:7" x14ac:dyDescent="0.3">
      <c r="A1501" s="2">
        <v>44015</v>
      </c>
      <c r="B1501" t="s">
        <v>754</v>
      </c>
      <c r="C1501">
        <v>3085</v>
      </c>
      <c r="D1501" s="2">
        <v>44015</v>
      </c>
      <c r="E1501" t="s">
        <v>25</v>
      </c>
      <c r="F1501">
        <v>3085</v>
      </c>
      <c r="G1501">
        <v>0</v>
      </c>
    </row>
    <row r="1502" spans="1:7" x14ac:dyDescent="0.3">
      <c r="A1502" s="2">
        <v>44018</v>
      </c>
      <c r="B1502" t="s">
        <v>755</v>
      </c>
      <c r="C1502">
        <v>1355</v>
      </c>
      <c r="D1502" s="2">
        <v>44018</v>
      </c>
      <c r="E1502" t="s">
        <v>25</v>
      </c>
      <c r="F1502">
        <v>1355</v>
      </c>
      <c r="G1502">
        <v>0</v>
      </c>
    </row>
    <row r="1503" spans="1:7" x14ac:dyDescent="0.3">
      <c r="A1503" s="2">
        <v>44018</v>
      </c>
      <c r="B1503" t="s">
        <v>56</v>
      </c>
      <c r="C1503">
        <v>-34.950000000000003</v>
      </c>
      <c r="D1503" s="2">
        <v>44018</v>
      </c>
      <c r="E1503" t="s">
        <v>27</v>
      </c>
      <c r="F1503">
        <v>-34.950000000000003</v>
      </c>
      <c r="G1503">
        <v>0</v>
      </c>
    </row>
    <row r="1504" spans="1:7" x14ac:dyDescent="0.3">
      <c r="A1504" s="2">
        <v>44018</v>
      </c>
      <c r="B1504" t="s">
        <v>756</v>
      </c>
      <c r="C1504">
        <v>712.5</v>
      </c>
      <c r="D1504" s="2">
        <v>44018</v>
      </c>
      <c r="E1504" t="s">
        <v>25</v>
      </c>
      <c r="F1504">
        <v>712.5</v>
      </c>
      <c r="G1504">
        <v>0</v>
      </c>
    </row>
    <row r="1505" spans="1:7" x14ac:dyDescent="0.3">
      <c r="A1505" s="2">
        <v>44018</v>
      </c>
      <c r="B1505" t="s">
        <v>756</v>
      </c>
      <c r="C1505">
        <v>302.5</v>
      </c>
      <c r="D1505" s="2">
        <v>44018</v>
      </c>
      <c r="E1505" t="s">
        <v>25</v>
      </c>
      <c r="F1505">
        <v>302.5</v>
      </c>
      <c r="G1505">
        <v>0</v>
      </c>
    </row>
    <row r="1506" spans="1:7" x14ac:dyDescent="0.3">
      <c r="A1506" s="2">
        <v>44019</v>
      </c>
      <c r="B1506" t="s">
        <v>757</v>
      </c>
      <c r="C1506">
        <v>715</v>
      </c>
      <c r="D1506" s="2">
        <v>44019</v>
      </c>
      <c r="E1506" t="s">
        <v>25</v>
      </c>
      <c r="F1506">
        <v>715</v>
      </c>
      <c r="G1506">
        <v>0</v>
      </c>
    </row>
    <row r="1507" spans="1:7" x14ac:dyDescent="0.3">
      <c r="A1507" s="2">
        <v>44020</v>
      </c>
      <c r="B1507" t="s">
        <v>758</v>
      </c>
      <c r="C1507">
        <v>3975</v>
      </c>
      <c r="D1507" s="2">
        <v>44020</v>
      </c>
      <c r="E1507" t="s">
        <v>25</v>
      </c>
      <c r="F1507">
        <v>3975</v>
      </c>
      <c r="G1507">
        <v>0</v>
      </c>
    </row>
    <row r="1508" spans="1:7" x14ac:dyDescent="0.3">
      <c r="A1508" s="2">
        <v>44021</v>
      </c>
      <c r="B1508" t="s">
        <v>759</v>
      </c>
      <c r="C1508">
        <v>3382.5</v>
      </c>
      <c r="D1508" s="2">
        <v>44021</v>
      </c>
      <c r="E1508" t="s">
        <v>25</v>
      </c>
      <c r="F1508">
        <v>3382.5</v>
      </c>
      <c r="G1508">
        <v>0</v>
      </c>
    </row>
    <row r="1509" spans="1:7" x14ac:dyDescent="0.3">
      <c r="A1509" s="2">
        <v>44022</v>
      </c>
      <c r="B1509" t="s">
        <v>760</v>
      </c>
      <c r="C1509">
        <v>1190</v>
      </c>
      <c r="D1509" s="2">
        <v>44022</v>
      </c>
      <c r="E1509" t="s">
        <v>25</v>
      </c>
      <c r="F1509">
        <v>1190</v>
      </c>
      <c r="G1509">
        <v>0</v>
      </c>
    </row>
    <row r="1510" spans="1:7" x14ac:dyDescent="0.3">
      <c r="A1510" s="2">
        <v>44022</v>
      </c>
      <c r="B1510" t="s">
        <v>761</v>
      </c>
      <c r="C1510">
        <v>-9.99</v>
      </c>
      <c r="D1510" s="2">
        <v>44022</v>
      </c>
      <c r="E1510" t="s">
        <v>27</v>
      </c>
      <c r="F1510">
        <v>-9.99</v>
      </c>
      <c r="G1510">
        <v>0</v>
      </c>
    </row>
    <row r="1511" spans="1:7" x14ac:dyDescent="0.3">
      <c r="A1511" s="2">
        <v>44025</v>
      </c>
      <c r="B1511" t="s">
        <v>762</v>
      </c>
      <c r="C1511">
        <v>82.5</v>
      </c>
      <c r="D1511" s="2">
        <v>44025</v>
      </c>
      <c r="E1511" t="s">
        <v>25</v>
      </c>
      <c r="F1511">
        <v>82.5</v>
      </c>
      <c r="G1511">
        <v>0</v>
      </c>
    </row>
    <row r="1512" spans="1:7" x14ac:dyDescent="0.3">
      <c r="A1512" s="2">
        <v>44025</v>
      </c>
      <c r="B1512" t="s">
        <v>763</v>
      </c>
      <c r="C1512">
        <v>412.5</v>
      </c>
      <c r="D1512" s="2">
        <v>44025</v>
      </c>
      <c r="E1512" t="s">
        <v>25</v>
      </c>
      <c r="F1512">
        <v>412.5</v>
      </c>
      <c r="G1512">
        <v>0</v>
      </c>
    </row>
    <row r="1513" spans="1:7" x14ac:dyDescent="0.3">
      <c r="A1513" s="2">
        <v>44025</v>
      </c>
      <c r="B1513" t="s">
        <v>397</v>
      </c>
      <c r="C1513">
        <v>-19.59</v>
      </c>
      <c r="D1513" s="2">
        <v>44025</v>
      </c>
      <c r="E1513" t="s">
        <v>27</v>
      </c>
      <c r="F1513">
        <v>-19.59</v>
      </c>
      <c r="G1513">
        <v>0</v>
      </c>
    </row>
    <row r="1514" spans="1:7" x14ac:dyDescent="0.3">
      <c r="A1514" s="2">
        <v>44025</v>
      </c>
      <c r="B1514" t="s">
        <v>762</v>
      </c>
      <c r="C1514">
        <v>1732.5</v>
      </c>
      <c r="D1514" s="2">
        <v>44025</v>
      </c>
      <c r="E1514" t="s">
        <v>25</v>
      </c>
      <c r="F1514">
        <v>1732.5</v>
      </c>
      <c r="G1514">
        <v>0</v>
      </c>
    </row>
    <row r="1515" spans="1:7" x14ac:dyDescent="0.3">
      <c r="A1515" s="2">
        <v>44026</v>
      </c>
      <c r="B1515" t="s">
        <v>67</v>
      </c>
      <c r="C1515">
        <v>-75.98</v>
      </c>
      <c r="D1515" s="2">
        <v>44026</v>
      </c>
      <c r="E1515" t="s">
        <v>27</v>
      </c>
      <c r="F1515">
        <v>-75.98</v>
      </c>
      <c r="G1515">
        <v>0</v>
      </c>
    </row>
    <row r="1516" spans="1:7" x14ac:dyDescent="0.3">
      <c r="A1516" s="2">
        <v>44026</v>
      </c>
      <c r="B1516" t="s">
        <v>764</v>
      </c>
      <c r="C1516">
        <v>20</v>
      </c>
      <c r="D1516" s="2">
        <v>44026</v>
      </c>
      <c r="E1516" t="s">
        <v>25</v>
      </c>
      <c r="F1516">
        <v>20</v>
      </c>
      <c r="G1516">
        <v>0</v>
      </c>
    </row>
    <row r="1517" spans="1:7" x14ac:dyDescent="0.3">
      <c r="A1517" s="2">
        <v>44026</v>
      </c>
      <c r="B1517" t="s">
        <v>71</v>
      </c>
      <c r="C1517">
        <v>-83.06</v>
      </c>
      <c r="D1517" s="2">
        <v>44026</v>
      </c>
      <c r="E1517" t="s">
        <v>27</v>
      </c>
      <c r="F1517">
        <v>-83.06</v>
      </c>
      <c r="G1517">
        <v>0</v>
      </c>
    </row>
    <row r="1518" spans="1:7" x14ac:dyDescent="0.3">
      <c r="A1518" s="2">
        <v>44027</v>
      </c>
      <c r="B1518" t="s">
        <v>765</v>
      </c>
      <c r="C1518">
        <v>3942.5</v>
      </c>
      <c r="D1518" s="2">
        <v>44027</v>
      </c>
      <c r="E1518" t="s">
        <v>25</v>
      </c>
      <c r="F1518">
        <v>3942.5</v>
      </c>
      <c r="G1518">
        <v>0</v>
      </c>
    </row>
    <row r="1519" spans="1:7" x14ac:dyDescent="0.3">
      <c r="A1519" s="2">
        <v>44028</v>
      </c>
      <c r="B1519" t="s">
        <v>766</v>
      </c>
      <c r="C1519">
        <v>1025</v>
      </c>
      <c r="D1519" s="2">
        <v>44028</v>
      </c>
      <c r="E1519" t="s">
        <v>25</v>
      </c>
      <c r="F1519">
        <v>1025</v>
      </c>
      <c r="G1519">
        <v>0</v>
      </c>
    </row>
    <row r="1520" spans="1:7" x14ac:dyDescent="0.3">
      <c r="A1520" s="2">
        <v>44029</v>
      </c>
      <c r="B1520" t="s">
        <v>767</v>
      </c>
      <c r="C1520">
        <v>16990</v>
      </c>
      <c r="D1520" s="2">
        <v>44029</v>
      </c>
      <c r="E1520" t="s">
        <v>25</v>
      </c>
      <c r="F1520">
        <v>16990</v>
      </c>
      <c r="G1520">
        <v>0</v>
      </c>
    </row>
    <row r="1521" spans="1:7" x14ac:dyDescent="0.3">
      <c r="A1521" s="2">
        <v>44032</v>
      </c>
      <c r="B1521" t="s">
        <v>768</v>
      </c>
      <c r="C1521">
        <v>2300</v>
      </c>
      <c r="D1521" s="2">
        <v>44032</v>
      </c>
      <c r="E1521" t="s">
        <v>25</v>
      </c>
      <c r="F1521">
        <v>2300</v>
      </c>
      <c r="G1521">
        <v>0</v>
      </c>
    </row>
    <row r="1522" spans="1:7" x14ac:dyDescent="0.3">
      <c r="A1522" s="2">
        <v>44032</v>
      </c>
      <c r="B1522" t="s">
        <v>769</v>
      </c>
      <c r="C1522">
        <v>52045</v>
      </c>
      <c r="D1522" s="2">
        <v>44032</v>
      </c>
      <c r="E1522" t="s">
        <v>25</v>
      </c>
      <c r="F1522">
        <v>52045</v>
      </c>
      <c r="G1522">
        <v>0</v>
      </c>
    </row>
    <row r="1523" spans="1:7" x14ac:dyDescent="0.3">
      <c r="A1523" s="2">
        <v>44032</v>
      </c>
      <c r="B1523" t="s">
        <v>768</v>
      </c>
      <c r="C1523">
        <v>82.5</v>
      </c>
      <c r="D1523" s="2">
        <v>44032</v>
      </c>
      <c r="E1523" t="s">
        <v>25</v>
      </c>
      <c r="F1523">
        <v>82.5</v>
      </c>
      <c r="G1523">
        <v>0</v>
      </c>
    </row>
    <row r="1524" spans="1:7" x14ac:dyDescent="0.3">
      <c r="A1524" s="2">
        <v>44033</v>
      </c>
      <c r="B1524" t="s">
        <v>770</v>
      </c>
      <c r="C1524">
        <v>60</v>
      </c>
      <c r="D1524" s="2">
        <v>44033</v>
      </c>
      <c r="E1524" t="s">
        <v>25</v>
      </c>
      <c r="F1524">
        <v>60</v>
      </c>
      <c r="G1524">
        <v>0</v>
      </c>
    </row>
    <row r="1525" spans="1:7" x14ac:dyDescent="0.3">
      <c r="A1525" s="2">
        <v>44034</v>
      </c>
      <c r="B1525" t="s">
        <v>771</v>
      </c>
      <c r="C1525">
        <v>165</v>
      </c>
      <c r="D1525" s="2">
        <v>44034</v>
      </c>
      <c r="E1525" t="s">
        <v>25</v>
      </c>
      <c r="F1525">
        <v>165</v>
      </c>
      <c r="G1525">
        <v>0</v>
      </c>
    </row>
    <row r="1526" spans="1:7" x14ac:dyDescent="0.3">
      <c r="A1526" s="2">
        <v>44035</v>
      </c>
      <c r="B1526" t="s">
        <v>772</v>
      </c>
      <c r="C1526">
        <v>90</v>
      </c>
      <c r="D1526" s="2">
        <v>44035</v>
      </c>
      <c r="E1526" t="s">
        <v>25</v>
      </c>
      <c r="F1526">
        <v>90</v>
      </c>
      <c r="G1526">
        <v>0</v>
      </c>
    </row>
    <row r="1527" spans="1:7" x14ac:dyDescent="0.3">
      <c r="A1527" s="2">
        <v>44036</v>
      </c>
      <c r="B1527" t="s">
        <v>773</v>
      </c>
      <c r="C1527">
        <v>1782.5</v>
      </c>
      <c r="D1527" s="2">
        <v>44036</v>
      </c>
      <c r="E1527" t="s">
        <v>25</v>
      </c>
      <c r="F1527">
        <v>1782.5</v>
      </c>
      <c r="G1527">
        <v>0</v>
      </c>
    </row>
    <row r="1528" spans="1:7" x14ac:dyDescent="0.3">
      <c r="A1528" s="2">
        <v>44039</v>
      </c>
      <c r="B1528" t="s">
        <v>774</v>
      </c>
      <c r="C1528">
        <v>-6000</v>
      </c>
      <c r="D1528" s="2">
        <v>44039</v>
      </c>
      <c r="E1528" t="s">
        <v>27</v>
      </c>
      <c r="F1528">
        <v>-6000</v>
      </c>
      <c r="G1528">
        <v>0</v>
      </c>
    </row>
    <row r="1529" spans="1:7" x14ac:dyDescent="0.3">
      <c r="A1529" s="2">
        <v>44039</v>
      </c>
      <c r="B1529" t="s">
        <v>775</v>
      </c>
      <c r="C1529">
        <v>82.5</v>
      </c>
      <c r="D1529" s="2">
        <v>44039</v>
      </c>
      <c r="E1529" t="s">
        <v>25</v>
      </c>
      <c r="F1529">
        <v>82.5</v>
      </c>
      <c r="G1529">
        <v>0</v>
      </c>
    </row>
    <row r="1530" spans="1:7" x14ac:dyDescent="0.3">
      <c r="A1530" s="2">
        <v>44039</v>
      </c>
      <c r="B1530" t="s">
        <v>776</v>
      </c>
      <c r="C1530">
        <v>82.5</v>
      </c>
      <c r="D1530" s="2">
        <v>44039</v>
      </c>
      <c r="E1530" t="s">
        <v>25</v>
      </c>
      <c r="F1530">
        <v>82.5</v>
      </c>
      <c r="G1530">
        <v>0</v>
      </c>
    </row>
    <row r="1531" spans="1:7" x14ac:dyDescent="0.3">
      <c r="A1531" s="2">
        <v>44039</v>
      </c>
      <c r="B1531" t="s">
        <v>777</v>
      </c>
      <c r="C1531">
        <v>-194.99</v>
      </c>
      <c r="D1531" s="2">
        <v>44039</v>
      </c>
      <c r="E1531" t="s">
        <v>27</v>
      </c>
      <c r="F1531">
        <v>-194.99</v>
      </c>
      <c r="G1531">
        <v>0</v>
      </c>
    </row>
    <row r="1532" spans="1:7" x14ac:dyDescent="0.3">
      <c r="A1532" s="2">
        <v>44039</v>
      </c>
      <c r="B1532" t="s">
        <v>775</v>
      </c>
      <c r="C1532">
        <v>260</v>
      </c>
      <c r="D1532" s="2">
        <v>44039</v>
      </c>
      <c r="E1532" t="s">
        <v>25</v>
      </c>
      <c r="F1532">
        <v>260</v>
      </c>
      <c r="G1532">
        <v>0</v>
      </c>
    </row>
    <row r="1533" spans="1:7" x14ac:dyDescent="0.3">
      <c r="A1533" s="2">
        <v>44041</v>
      </c>
      <c r="B1533" t="s">
        <v>778</v>
      </c>
      <c r="C1533">
        <v>82.5</v>
      </c>
      <c r="D1533" s="2">
        <v>44041</v>
      </c>
      <c r="E1533" t="s">
        <v>25</v>
      </c>
      <c r="F1533">
        <v>82.5</v>
      </c>
      <c r="G1533">
        <v>0</v>
      </c>
    </row>
    <row r="1534" spans="1:7" x14ac:dyDescent="0.3">
      <c r="A1534" s="2">
        <v>44042</v>
      </c>
      <c r="B1534" t="s">
        <v>779</v>
      </c>
      <c r="C1534">
        <v>-221.49</v>
      </c>
      <c r="D1534" s="2">
        <v>44042</v>
      </c>
      <c r="E1534" t="s">
        <v>27</v>
      </c>
      <c r="F1534">
        <v>-221.49</v>
      </c>
      <c r="G1534">
        <v>0</v>
      </c>
    </row>
    <row r="1535" spans="1:7" x14ac:dyDescent="0.3">
      <c r="A1535" s="2">
        <v>44042</v>
      </c>
      <c r="B1535" t="s">
        <v>780</v>
      </c>
      <c r="C1535">
        <v>165</v>
      </c>
      <c r="D1535" s="2">
        <v>44042</v>
      </c>
      <c r="E1535" t="s">
        <v>25</v>
      </c>
      <c r="F1535">
        <v>165</v>
      </c>
      <c r="G1535">
        <v>0</v>
      </c>
    </row>
    <row r="1536" spans="1:7" x14ac:dyDescent="0.3">
      <c r="A1536" s="2">
        <v>44046</v>
      </c>
      <c r="B1536" t="s">
        <v>781</v>
      </c>
      <c r="C1536">
        <v>-4356.6499999999996</v>
      </c>
      <c r="D1536" s="2">
        <v>44046</v>
      </c>
      <c r="E1536" t="s">
        <v>27</v>
      </c>
      <c r="F1536">
        <v>-4356.6499999999996</v>
      </c>
      <c r="G1536">
        <v>0</v>
      </c>
    </row>
    <row r="1537" spans="1:7" x14ac:dyDescent="0.3">
      <c r="A1537" s="2">
        <v>44046</v>
      </c>
      <c r="B1537" t="s">
        <v>84</v>
      </c>
      <c r="C1537">
        <v>-55</v>
      </c>
      <c r="D1537" s="2">
        <v>44046</v>
      </c>
      <c r="E1537" t="s">
        <v>27</v>
      </c>
      <c r="F1537">
        <v>-55</v>
      </c>
      <c r="G1537">
        <v>0</v>
      </c>
    </row>
    <row r="1538" spans="1:7" x14ac:dyDescent="0.3">
      <c r="A1538" s="2">
        <v>44046</v>
      </c>
      <c r="B1538" t="s">
        <v>782</v>
      </c>
      <c r="C1538">
        <v>82.5</v>
      </c>
      <c r="D1538" s="2">
        <v>44046</v>
      </c>
      <c r="E1538" t="s">
        <v>25</v>
      </c>
      <c r="F1538">
        <v>82.5</v>
      </c>
      <c r="G1538">
        <v>0</v>
      </c>
    </row>
    <row r="1539" spans="1:7" x14ac:dyDescent="0.3">
      <c r="A1539" s="2">
        <v>44046</v>
      </c>
      <c r="B1539" t="s">
        <v>781</v>
      </c>
      <c r="C1539">
        <v>165</v>
      </c>
      <c r="D1539" s="2">
        <v>44046</v>
      </c>
      <c r="E1539" t="s">
        <v>25</v>
      </c>
      <c r="F1539">
        <v>165</v>
      </c>
      <c r="G1539">
        <v>0</v>
      </c>
    </row>
    <row r="1540" spans="1:7" x14ac:dyDescent="0.3">
      <c r="A1540" s="2">
        <v>44048</v>
      </c>
      <c r="B1540" t="s">
        <v>85</v>
      </c>
      <c r="C1540">
        <v>-34.950000000000003</v>
      </c>
      <c r="D1540" s="2">
        <v>44048</v>
      </c>
      <c r="E1540" t="s">
        <v>27</v>
      </c>
      <c r="F1540">
        <v>-34.950000000000003</v>
      </c>
      <c r="G1540">
        <v>0</v>
      </c>
    </row>
    <row r="1541" spans="1:7" x14ac:dyDescent="0.3">
      <c r="A1541" s="2">
        <v>44049</v>
      </c>
      <c r="B1541" t="s">
        <v>783</v>
      </c>
      <c r="C1541">
        <v>165</v>
      </c>
      <c r="D1541" s="2">
        <v>44049</v>
      </c>
      <c r="E1541" t="s">
        <v>25</v>
      </c>
      <c r="F1541">
        <v>165</v>
      </c>
      <c r="G1541">
        <v>0</v>
      </c>
    </row>
    <row r="1542" spans="1:7" x14ac:dyDescent="0.3">
      <c r="A1542" s="2">
        <v>44050</v>
      </c>
      <c r="B1542" t="s">
        <v>784</v>
      </c>
      <c r="C1542">
        <v>82.5</v>
      </c>
      <c r="D1542" s="2">
        <v>44053</v>
      </c>
      <c r="E1542" t="s">
        <v>25</v>
      </c>
      <c r="F1542">
        <v>82.5</v>
      </c>
      <c r="G1542">
        <v>0</v>
      </c>
    </row>
    <row r="1543" spans="1:7" x14ac:dyDescent="0.3">
      <c r="A1543" s="2">
        <v>44053</v>
      </c>
      <c r="B1543" t="s">
        <v>785</v>
      </c>
      <c r="C1543">
        <v>160</v>
      </c>
      <c r="D1543" s="2">
        <v>44053</v>
      </c>
      <c r="E1543" t="s">
        <v>25</v>
      </c>
      <c r="F1543">
        <v>160</v>
      </c>
      <c r="G1543">
        <v>0</v>
      </c>
    </row>
    <row r="1544" spans="1:7" x14ac:dyDescent="0.3">
      <c r="A1544" s="2">
        <v>44053</v>
      </c>
      <c r="B1544" t="s">
        <v>786</v>
      </c>
      <c r="C1544">
        <v>242.5</v>
      </c>
      <c r="D1544" s="2">
        <v>44053</v>
      </c>
      <c r="E1544" t="s">
        <v>25</v>
      </c>
      <c r="F1544">
        <v>242.5</v>
      </c>
      <c r="G1544">
        <v>0</v>
      </c>
    </row>
    <row r="1545" spans="1:7" x14ac:dyDescent="0.3">
      <c r="A1545" s="2">
        <v>44054</v>
      </c>
      <c r="B1545" t="s">
        <v>787</v>
      </c>
      <c r="C1545">
        <v>-9.99</v>
      </c>
      <c r="D1545" s="2">
        <v>44054</v>
      </c>
      <c r="E1545" t="s">
        <v>27</v>
      </c>
      <c r="F1545">
        <v>-9.99</v>
      </c>
      <c r="G1545">
        <v>0</v>
      </c>
    </row>
    <row r="1546" spans="1:7" x14ac:dyDescent="0.3">
      <c r="A1546" s="2">
        <v>44055</v>
      </c>
      <c r="B1546" t="s">
        <v>788</v>
      </c>
      <c r="C1546">
        <v>82.5</v>
      </c>
      <c r="D1546" s="2">
        <v>44057</v>
      </c>
      <c r="E1546" t="s">
        <v>25</v>
      </c>
      <c r="F1546">
        <v>82.5</v>
      </c>
      <c r="G1546">
        <v>0</v>
      </c>
    </row>
    <row r="1547" spans="1:7" x14ac:dyDescent="0.3">
      <c r="A1547" s="2">
        <v>44056</v>
      </c>
      <c r="B1547" t="s">
        <v>789</v>
      </c>
      <c r="C1547">
        <v>635</v>
      </c>
      <c r="D1547" s="2">
        <v>44056</v>
      </c>
      <c r="E1547" t="s">
        <v>25</v>
      </c>
      <c r="F1547">
        <v>635</v>
      </c>
      <c r="G1547">
        <v>0</v>
      </c>
    </row>
    <row r="1548" spans="1:7" x14ac:dyDescent="0.3">
      <c r="A1548" s="2">
        <v>44056</v>
      </c>
      <c r="B1548" t="s">
        <v>88</v>
      </c>
      <c r="C1548">
        <v>-19.59</v>
      </c>
      <c r="D1548" s="2">
        <v>44056</v>
      </c>
      <c r="E1548" t="s">
        <v>27</v>
      </c>
      <c r="F1548">
        <v>-19.59</v>
      </c>
      <c r="G1548">
        <v>0</v>
      </c>
    </row>
    <row r="1549" spans="1:7" x14ac:dyDescent="0.3">
      <c r="A1549" s="2">
        <v>44057</v>
      </c>
      <c r="B1549" t="s">
        <v>790</v>
      </c>
      <c r="C1549">
        <v>82.5</v>
      </c>
      <c r="D1549" s="2">
        <v>44057</v>
      </c>
      <c r="E1549" t="s">
        <v>25</v>
      </c>
      <c r="F1549">
        <v>82.5</v>
      </c>
      <c r="G1549">
        <v>0</v>
      </c>
    </row>
    <row r="1550" spans="1:7" x14ac:dyDescent="0.3">
      <c r="A1550" s="2">
        <v>44057</v>
      </c>
      <c r="B1550" t="s">
        <v>91</v>
      </c>
      <c r="C1550">
        <v>-84.29</v>
      </c>
      <c r="D1550" s="2">
        <v>44057</v>
      </c>
      <c r="E1550" t="s">
        <v>27</v>
      </c>
      <c r="F1550">
        <v>-84.29</v>
      </c>
      <c r="G1550">
        <v>0</v>
      </c>
    </row>
    <row r="1551" spans="1:7" x14ac:dyDescent="0.3">
      <c r="A1551" s="2">
        <v>44060</v>
      </c>
      <c r="B1551" t="s">
        <v>791</v>
      </c>
      <c r="C1551">
        <v>325</v>
      </c>
      <c r="D1551" s="2">
        <v>44060</v>
      </c>
      <c r="E1551" t="s">
        <v>25</v>
      </c>
      <c r="F1551">
        <v>325</v>
      </c>
      <c r="G1551">
        <v>0</v>
      </c>
    </row>
    <row r="1552" spans="1:7" x14ac:dyDescent="0.3">
      <c r="A1552" s="2">
        <v>44060</v>
      </c>
      <c r="B1552" t="s">
        <v>792</v>
      </c>
      <c r="C1552">
        <v>-275</v>
      </c>
      <c r="D1552" s="2">
        <v>44060</v>
      </c>
      <c r="E1552" t="s">
        <v>27</v>
      </c>
      <c r="F1552">
        <v>-275</v>
      </c>
      <c r="G1552">
        <v>0</v>
      </c>
    </row>
    <row r="1553" spans="1:7" x14ac:dyDescent="0.3">
      <c r="A1553" s="2">
        <v>44061</v>
      </c>
      <c r="B1553" t="s">
        <v>793</v>
      </c>
      <c r="C1553">
        <v>82.5</v>
      </c>
      <c r="D1553" s="2">
        <v>44061</v>
      </c>
      <c r="E1553" t="s">
        <v>25</v>
      </c>
      <c r="F1553">
        <v>82.5</v>
      </c>
      <c r="G1553">
        <v>0</v>
      </c>
    </row>
    <row r="1554" spans="1:7" x14ac:dyDescent="0.3">
      <c r="A1554" s="2">
        <v>44062</v>
      </c>
      <c r="B1554" t="s">
        <v>794</v>
      </c>
      <c r="C1554">
        <v>392.5</v>
      </c>
      <c r="D1554" s="2">
        <v>44062</v>
      </c>
      <c r="E1554" t="s">
        <v>25</v>
      </c>
      <c r="F1554">
        <v>392.5</v>
      </c>
      <c r="G1554">
        <v>0</v>
      </c>
    </row>
    <row r="1555" spans="1:7" x14ac:dyDescent="0.3">
      <c r="A1555" s="2">
        <v>44063</v>
      </c>
      <c r="B1555" t="s">
        <v>795</v>
      </c>
      <c r="C1555">
        <v>247.5</v>
      </c>
      <c r="D1555" s="2">
        <v>44063</v>
      </c>
      <c r="E1555" t="s">
        <v>25</v>
      </c>
      <c r="F1555">
        <v>247.5</v>
      </c>
      <c r="G1555">
        <v>0</v>
      </c>
    </row>
    <row r="1556" spans="1:7" x14ac:dyDescent="0.3">
      <c r="A1556" s="2">
        <v>44064</v>
      </c>
      <c r="B1556" t="s">
        <v>796</v>
      </c>
      <c r="C1556">
        <v>767.5</v>
      </c>
      <c r="D1556" s="2">
        <v>44064</v>
      </c>
      <c r="E1556" t="s">
        <v>25</v>
      </c>
      <c r="F1556">
        <v>767.5</v>
      </c>
      <c r="G1556">
        <v>0</v>
      </c>
    </row>
    <row r="1557" spans="1:7" x14ac:dyDescent="0.3">
      <c r="A1557" s="2">
        <v>44064</v>
      </c>
      <c r="B1557" t="s">
        <v>797</v>
      </c>
      <c r="C1557">
        <v>-85</v>
      </c>
      <c r="D1557" s="2">
        <v>44064</v>
      </c>
      <c r="E1557" t="s">
        <v>27</v>
      </c>
      <c r="F1557">
        <v>-85</v>
      </c>
      <c r="G1557">
        <v>0</v>
      </c>
    </row>
    <row r="1558" spans="1:7" x14ac:dyDescent="0.3">
      <c r="A1558" s="2">
        <v>44064</v>
      </c>
      <c r="B1558" t="s">
        <v>798</v>
      </c>
      <c r="C1558">
        <v>-3750</v>
      </c>
      <c r="D1558" s="2">
        <v>44064</v>
      </c>
      <c r="E1558" t="s">
        <v>27</v>
      </c>
      <c r="F1558">
        <v>-3750</v>
      </c>
      <c r="G1558">
        <v>0</v>
      </c>
    </row>
    <row r="1559" spans="1:7" x14ac:dyDescent="0.3">
      <c r="A1559" s="2">
        <v>44064</v>
      </c>
      <c r="B1559" t="s">
        <v>799</v>
      </c>
      <c r="C1559">
        <v>-6609.12</v>
      </c>
      <c r="D1559" s="2">
        <v>44064</v>
      </c>
      <c r="E1559" t="s">
        <v>27</v>
      </c>
      <c r="F1559">
        <v>-6609.12</v>
      </c>
      <c r="G1559">
        <v>0</v>
      </c>
    </row>
    <row r="1560" spans="1:7" x14ac:dyDescent="0.3">
      <c r="A1560" s="2">
        <v>44067</v>
      </c>
      <c r="B1560" t="s">
        <v>800</v>
      </c>
      <c r="C1560">
        <v>-2500</v>
      </c>
      <c r="D1560" s="2">
        <v>44067</v>
      </c>
      <c r="E1560" t="s">
        <v>27</v>
      </c>
      <c r="F1560">
        <v>-2500</v>
      </c>
      <c r="G1560">
        <v>0</v>
      </c>
    </row>
    <row r="1561" spans="1:7" x14ac:dyDescent="0.3">
      <c r="A1561" s="2">
        <v>44067</v>
      </c>
      <c r="B1561" t="s">
        <v>801</v>
      </c>
      <c r="C1561">
        <v>210</v>
      </c>
      <c r="D1561" s="2">
        <v>44067</v>
      </c>
      <c r="E1561" t="s">
        <v>25</v>
      </c>
      <c r="F1561">
        <v>210</v>
      </c>
      <c r="G1561">
        <v>0</v>
      </c>
    </row>
    <row r="1562" spans="1:7" x14ac:dyDescent="0.3">
      <c r="A1562" s="2">
        <v>44067</v>
      </c>
      <c r="B1562" t="s">
        <v>802</v>
      </c>
      <c r="C1562">
        <v>1430</v>
      </c>
      <c r="D1562" s="2">
        <v>44067</v>
      </c>
      <c r="E1562" t="s">
        <v>25</v>
      </c>
      <c r="F1562">
        <v>1430</v>
      </c>
      <c r="G1562">
        <v>0</v>
      </c>
    </row>
    <row r="1563" spans="1:7" x14ac:dyDescent="0.3">
      <c r="A1563" s="2">
        <v>44068</v>
      </c>
      <c r="B1563" t="s">
        <v>803</v>
      </c>
      <c r="C1563">
        <v>420</v>
      </c>
      <c r="D1563" s="2">
        <v>44068</v>
      </c>
      <c r="E1563" t="s">
        <v>25</v>
      </c>
      <c r="F1563">
        <v>420</v>
      </c>
      <c r="G1563">
        <v>0</v>
      </c>
    </row>
    <row r="1564" spans="1:7" x14ac:dyDescent="0.3">
      <c r="A1564" s="2">
        <v>44069</v>
      </c>
      <c r="B1564" t="s">
        <v>804</v>
      </c>
      <c r="C1564">
        <v>247.5</v>
      </c>
      <c r="D1564" s="2">
        <v>44071</v>
      </c>
      <c r="E1564" t="s">
        <v>25</v>
      </c>
      <c r="F1564">
        <v>247.5</v>
      </c>
      <c r="G1564">
        <v>0</v>
      </c>
    </row>
    <row r="1565" spans="1:7" x14ac:dyDescent="0.3">
      <c r="A1565" s="2">
        <v>44071</v>
      </c>
      <c r="B1565" t="s">
        <v>805</v>
      </c>
      <c r="C1565">
        <v>160</v>
      </c>
      <c r="D1565" s="2">
        <v>44074</v>
      </c>
      <c r="E1565" t="s">
        <v>25</v>
      </c>
      <c r="F1565">
        <v>160</v>
      </c>
      <c r="G1565">
        <v>0</v>
      </c>
    </row>
    <row r="1566" spans="1:7" x14ac:dyDescent="0.3">
      <c r="A1566" s="2">
        <v>44074</v>
      </c>
      <c r="B1566" t="s">
        <v>806</v>
      </c>
      <c r="C1566">
        <v>402.5</v>
      </c>
      <c r="D1566" s="2">
        <v>44074</v>
      </c>
      <c r="E1566" t="s">
        <v>25</v>
      </c>
      <c r="F1566">
        <v>402.5</v>
      </c>
      <c r="G1566">
        <v>0</v>
      </c>
    </row>
    <row r="1567" spans="1:7" x14ac:dyDescent="0.3">
      <c r="A1567" s="2">
        <v>44074</v>
      </c>
      <c r="B1567" t="s">
        <v>807</v>
      </c>
      <c r="C1567">
        <v>260</v>
      </c>
      <c r="D1567" s="2">
        <v>44074</v>
      </c>
      <c r="E1567" t="s">
        <v>25</v>
      </c>
      <c r="F1567">
        <v>260</v>
      </c>
      <c r="G1567">
        <v>0</v>
      </c>
    </row>
    <row r="1568" spans="1:7" x14ac:dyDescent="0.3">
      <c r="A1568" s="2">
        <v>44074</v>
      </c>
      <c r="B1568" t="s">
        <v>97</v>
      </c>
      <c r="C1568">
        <v>-70.77</v>
      </c>
      <c r="D1568" s="2">
        <v>44074</v>
      </c>
      <c r="E1568" t="s">
        <v>27</v>
      </c>
      <c r="F1568">
        <v>-70.77</v>
      </c>
      <c r="G1568">
        <v>0</v>
      </c>
    </row>
    <row r="1569" spans="1:7" x14ac:dyDescent="0.3">
      <c r="A1569" s="2">
        <v>44076</v>
      </c>
      <c r="B1569" t="s">
        <v>808</v>
      </c>
      <c r="C1569">
        <v>-337.23</v>
      </c>
      <c r="D1569" s="2">
        <v>44076</v>
      </c>
      <c r="E1569" t="s">
        <v>27</v>
      </c>
      <c r="F1569">
        <v>-337.23</v>
      </c>
      <c r="G1569">
        <v>0</v>
      </c>
    </row>
    <row r="1570" spans="1:7" x14ac:dyDescent="0.3">
      <c r="A1570" s="2">
        <v>44076</v>
      </c>
      <c r="B1570" t="s">
        <v>100</v>
      </c>
      <c r="C1570">
        <v>-59.23</v>
      </c>
      <c r="D1570" s="2">
        <v>44076</v>
      </c>
      <c r="E1570" t="s">
        <v>27</v>
      </c>
      <c r="F1570">
        <v>-59.23</v>
      </c>
      <c r="G1570">
        <v>0</v>
      </c>
    </row>
    <row r="1571" spans="1:7" x14ac:dyDescent="0.3">
      <c r="A1571" s="2">
        <v>44076</v>
      </c>
      <c r="B1571" t="s">
        <v>809</v>
      </c>
      <c r="C1571">
        <v>642.5</v>
      </c>
      <c r="D1571" s="2">
        <v>44076</v>
      </c>
      <c r="E1571" t="s">
        <v>25</v>
      </c>
      <c r="F1571">
        <v>642.5</v>
      </c>
      <c r="G1571">
        <v>0</v>
      </c>
    </row>
    <row r="1572" spans="1:7" x14ac:dyDescent="0.3">
      <c r="A1572" s="2">
        <v>44077</v>
      </c>
      <c r="B1572" t="s">
        <v>810</v>
      </c>
      <c r="C1572">
        <v>275</v>
      </c>
      <c r="D1572" s="2">
        <v>44077</v>
      </c>
      <c r="E1572" t="s">
        <v>25</v>
      </c>
      <c r="F1572">
        <v>275</v>
      </c>
      <c r="G1572">
        <v>0</v>
      </c>
    </row>
    <row r="1573" spans="1:7" x14ac:dyDescent="0.3">
      <c r="A1573" s="2">
        <v>44077</v>
      </c>
      <c r="B1573" t="s">
        <v>102</v>
      </c>
      <c r="C1573">
        <v>-34.950000000000003</v>
      </c>
      <c r="D1573" s="2">
        <v>44077</v>
      </c>
      <c r="E1573" t="s">
        <v>27</v>
      </c>
      <c r="F1573">
        <v>-34.950000000000003</v>
      </c>
      <c r="G1573">
        <v>0</v>
      </c>
    </row>
    <row r="1574" spans="1:7" x14ac:dyDescent="0.3">
      <c r="A1574" s="2">
        <v>44082</v>
      </c>
      <c r="B1574" t="s">
        <v>811</v>
      </c>
      <c r="C1574">
        <v>82.5</v>
      </c>
      <c r="D1574" s="2">
        <v>44082</v>
      </c>
      <c r="E1574" t="s">
        <v>25</v>
      </c>
      <c r="F1574">
        <v>82.5</v>
      </c>
      <c r="G1574">
        <v>0</v>
      </c>
    </row>
    <row r="1575" spans="1:7" x14ac:dyDescent="0.3">
      <c r="A1575" s="2">
        <v>44082</v>
      </c>
      <c r="B1575" t="s">
        <v>418</v>
      </c>
      <c r="C1575">
        <v>-71.97</v>
      </c>
      <c r="D1575" s="2">
        <v>44082</v>
      </c>
      <c r="E1575" t="s">
        <v>27</v>
      </c>
      <c r="F1575">
        <v>-71.97</v>
      </c>
      <c r="G1575">
        <v>0</v>
      </c>
    </row>
    <row r="1576" spans="1:7" x14ac:dyDescent="0.3">
      <c r="A1576" s="2">
        <v>44082</v>
      </c>
      <c r="B1576" t="s">
        <v>812</v>
      </c>
      <c r="C1576">
        <v>845</v>
      </c>
      <c r="D1576" s="2">
        <v>44082</v>
      </c>
      <c r="E1576" t="s">
        <v>25</v>
      </c>
      <c r="F1576">
        <v>845</v>
      </c>
      <c r="G1576">
        <v>0</v>
      </c>
    </row>
    <row r="1577" spans="1:7" x14ac:dyDescent="0.3">
      <c r="A1577" s="2">
        <v>44082</v>
      </c>
      <c r="B1577" t="s">
        <v>813</v>
      </c>
      <c r="C1577">
        <v>320</v>
      </c>
      <c r="D1577" s="2">
        <v>44082</v>
      </c>
      <c r="E1577" t="s">
        <v>25</v>
      </c>
      <c r="F1577">
        <v>320</v>
      </c>
      <c r="G1577">
        <v>0</v>
      </c>
    </row>
    <row r="1578" spans="1:7" x14ac:dyDescent="0.3">
      <c r="A1578" s="2">
        <v>44083</v>
      </c>
      <c r="B1578" t="s">
        <v>31</v>
      </c>
      <c r="C1578">
        <v>110</v>
      </c>
      <c r="D1578" s="2">
        <v>44083</v>
      </c>
      <c r="E1578" t="s">
        <v>25</v>
      </c>
      <c r="F1578">
        <v>110</v>
      </c>
      <c r="G1578">
        <v>0</v>
      </c>
    </row>
    <row r="1579" spans="1:7" x14ac:dyDescent="0.3">
      <c r="A1579" s="2">
        <v>44084</v>
      </c>
      <c r="B1579" t="s">
        <v>814</v>
      </c>
      <c r="C1579">
        <v>425</v>
      </c>
      <c r="D1579" s="2">
        <v>44084</v>
      </c>
      <c r="E1579" t="s">
        <v>25</v>
      </c>
      <c r="F1579">
        <v>425</v>
      </c>
      <c r="G1579">
        <v>0</v>
      </c>
    </row>
    <row r="1580" spans="1:7" x14ac:dyDescent="0.3">
      <c r="A1580" s="2">
        <v>44085</v>
      </c>
      <c r="B1580" t="s">
        <v>815</v>
      </c>
      <c r="C1580">
        <v>325</v>
      </c>
      <c r="D1580" s="2">
        <v>44085</v>
      </c>
      <c r="E1580" t="s">
        <v>25</v>
      </c>
      <c r="F1580">
        <v>325</v>
      </c>
      <c r="G1580">
        <v>0</v>
      </c>
    </row>
    <row r="1581" spans="1:7" x14ac:dyDescent="0.3">
      <c r="A1581" s="2">
        <v>44085</v>
      </c>
      <c r="B1581" t="s">
        <v>816</v>
      </c>
      <c r="C1581">
        <v>-9.99</v>
      </c>
      <c r="D1581" s="2">
        <v>44085</v>
      </c>
      <c r="E1581" t="s">
        <v>27</v>
      </c>
      <c r="F1581">
        <v>-9.99</v>
      </c>
      <c r="G1581">
        <v>0</v>
      </c>
    </row>
    <row r="1582" spans="1:7" x14ac:dyDescent="0.3">
      <c r="A1582" s="2">
        <v>44088</v>
      </c>
      <c r="B1582" t="s">
        <v>104</v>
      </c>
      <c r="C1582">
        <v>-83.78</v>
      </c>
      <c r="D1582" s="2">
        <v>44088</v>
      </c>
      <c r="E1582" t="s">
        <v>27</v>
      </c>
      <c r="F1582">
        <v>-83.78</v>
      </c>
      <c r="G1582">
        <v>0</v>
      </c>
    </row>
    <row r="1583" spans="1:7" x14ac:dyDescent="0.3">
      <c r="A1583" s="2">
        <v>44088</v>
      </c>
      <c r="B1583" t="s">
        <v>103</v>
      </c>
      <c r="C1583">
        <v>-19.59</v>
      </c>
      <c r="D1583" s="2">
        <v>44088</v>
      </c>
      <c r="E1583" t="s">
        <v>27</v>
      </c>
      <c r="F1583">
        <v>-19.59</v>
      </c>
      <c r="G1583">
        <v>0</v>
      </c>
    </row>
    <row r="1584" spans="1:7" x14ac:dyDescent="0.3">
      <c r="A1584" s="2">
        <v>44088</v>
      </c>
      <c r="B1584" t="s">
        <v>817</v>
      </c>
      <c r="C1584">
        <v>512.5</v>
      </c>
      <c r="D1584" s="2">
        <v>44088</v>
      </c>
      <c r="E1584" t="s">
        <v>25</v>
      </c>
      <c r="F1584">
        <v>512.5</v>
      </c>
      <c r="G1584">
        <v>0</v>
      </c>
    </row>
    <row r="1585" spans="1:7" x14ac:dyDescent="0.3">
      <c r="A1585" s="2">
        <v>44088</v>
      </c>
      <c r="B1585" t="s">
        <v>817</v>
      </c>
      <c r="C1585">
        <v>82.5</v>
      </c>
      <c r="D1585" s="2">
        <v>44088</v>
      </c>
      <c r="E1585" t="s">
        <v>25</v>
      </c>
      <c r="F1585">
        <v>82.5</v>
      </c>
      <c r="G1585">
        <v>0</v>
      </c>
    </row>
    <row r="1586" spans="1:7" x14ac:dyDescent="0.3">
      <c r="A1586" s="2">
        <v>44088</v>
      </c>
      <c r="B1586" t="s">
        <v>818</v>
      </c>
      <c r="C1586">
        <v>480</v>
      </c>
      <c r="D1586" s="2">
        <v>44088</v>
      </c>
      <c r="E1586" t="s">
        <v>25</v>
      </c>
      <c r="F1586">
        <v>480</v>
      </c>
      <c r="G1586">
        <v>0</v>
      </c>
    </row>
    <row r="1587" spans="1:7" x14ac:dyDescent="0.3">
      <c r="A1587" s="2">
        <v>44090</v>
      </c>
      <c r="B1587" t="s">
        <v>819</v>
      </c>
      <c r="C1587">
        <v>82.5</v>
      </c>
      <c r="D1587" s="2">
        <v>44090</v>
      </c>
      <c r="E1587" t="s">
        <v>25</v>
      </c>
      <c r="F1587">
        <v>82.5</v>
      </c>
      <c r="G1587">
        <v>0</v>
      </c>
    </row>
    <row r="1588" spans="1:7" x14ac:dyDescent="0.3">
      <c r="A1588" s="2">
        <v>44091</v>
      </c>
      <c r="B1588" t="s">
        <v>820</v>
      </c>
      <c r="C1588">
        <v>82.5</v>
      </c>
      <c r="D1588" s="2">
        <v>44091</v>
      </c>
      <c r="E1588" t="s">
        <v>25</v>
      </c>
      <c r="F1588">
        <v>82.5</v>
      </c>
      <c r="G1588">
        <v>0</v>
      </c>
    </row>
    <row r="1589" spans="1:7" x14ac:dyDescent="0.3">
      <c r="A1589" s="2">
        <v>44092</v>
      </c>
      <c r="B1589" t="s">
        <v>821</v>
      </c>
      <c r="C1589">
        <v>2655</v>
      </c>
      <c r="D1589" s="2">
        <v>44090</v>
      </c>
      <c r="E1589" t="s">
        <v>25</v>
      </c>
      <c r="F1589">
        <v>2655</v>
      </c>
      <c r="G1589">
        <v>0</v>
      </c>
    </row>
    <row r="1590" spans="1:7" x14ac:dyDescent="0.3">
      <c r="A1590" s="2">
        <v>44095</v>
      </c>
      <c r="B1590" t="s">
        <v>822</v>
      </c>
      <c r="C1590">
        <v>352.5</v>
      </c>
      <c r="D1590" s="2">
        <v>44095</v>
      </c>
      <c r="E1590" t="s">
        <v>25</v>
      </c>
      <c r="F1590">
        <v>352.5</v>
      </c>
      <c r="G1590">
        <v>0</v>
      </c>
    </row>
    <row r="1591" spans="1:7" x14ac:dyDescent="0.3">
      <c r="A1591" s="2">
        <v>44096</v>
      </c>
      <c r="B1591" t="s">
        <v>823</v>
      </c>
      <c r="C1591">
        <v>247.5</v>
      </c>
      <c r="D1591" s="2">
        <v>44096</v>
      </c>
      <c r="E1591" t="s">
        <v>25</v>
      </c>
      <c r="F1591">
        <v>247.5</v>
      </c>
      <c r="G1591">
        <v>0</v>
      </c>
    </row>
    <row r="1592" spans="1:7" x14ac:dyDescent="0.3">
      <c r="A1592" s="2">
        <v>44097</v>
      </c>
      <c r="B1592" t="s">
        <v>824</v>
      </c>
      <c r="C1592">
        <v>430</v>
      </c>
      <c r="D1592" s="2">
        <v>44097</v>
      </c>
      <c r="E1592" t="s">
        <v>25</v>
      </c>
      <c r="F1592">
        <v>430</v>
      </c>
      <c r="G1592">
        <v>0</v>
      </c>
    </row>
    <row r="1593" spans="1:7" x14ac:dyDescent="0.3">
      <c r="A1593" s="2">
        <v>44098</v>
      </c>
      <c r="B1593" t="s">
        <v>825</v>
      </c>
      <c r="C1593">
        <v>947.5</v>
      </c>
      <c r="D1593" s="2">
        <v>44098</v>
      </c>
      <c r="E1593" t="s">
        <v>25</v>
      </c>
      <c r="F1593">
        <v>947.5</v>
      </c>
      <c r="G1593">
        <v>0</v>
      </c>
    </row>
    <row r="1594" spans="1:7" x14ac:dyDescent="0.3">
      <c r="A1594" s="2">
        <v>44099</v>
      </c>
      <c r="B1594" t="s">
        <v>826</v>
      </c>
      <c r="C1594">
        <v>40</v>
      </c>
      <c r="D1594" s="2">
        <v>44099</v>
      </c>
      <c r="E1594" t="s">
        <v>25</v>
      </c>
      <c r="F1594">
        <v>40</v>
      </c>
      <c r="G1594">
        <v>0</v>
      </c>
    </row>
    <row r="1595" spans="1:7" x14ac:dyDescent="0.3">
      <c r="A1595" s="2">
        <v>44099</v>
      </c>
      <c r="B1595" t="s">
        <v>826</v>
      </c>
      <c r="C1595">
        <v>40</v>
      </c>
      <c r="D1595" s="2">
        <v>44099</v>
      </c>
      <c r="E1595" t="s">
        <v>25</v>
      </c>
      <c r="F1595">
        <v>40</v>
      </c>
      <c r="G1595">
        <v>0</v>
      </c>
    </row>
    <row r="1596" spans="1:7" x14ac:dyDescent="0.3">
      <c r="A1596" s="2">
        <v>44099</v>
      </c>
      <c r="B1596" t="s">
        <v>826</v>
      </c>
      <c r="C1596">
        <v>40</v>
      </c>
      <c r="D1596" s="2">
        <v>44099</v>
      </c>
      <c r="E1596" t="s">
        <v>25</v>
      </c>
      <c r="F1596">
        <v>40</v>
      </c>
      <c r="G1596">
        <v>0</v>
      </c>
    </row>
    <row r="1597" spans="1:7" x14ac:dyDescent="0.3">
      <c r="A1597" s="2">
        <v>44099</v>
      </c>
      <c r="B1597" t="s">
        <v>826</v>
      </c>
      <c r="C1597">
        <v>40</v>
      </c>
      <c r="D1597" s="2">
        <v>44099</v>
      </c>
      <c r="E1597" t="s">
        <v>25</v>
      </c>
      <c r="F1597">
        <v>40</v>
      </c>
      <c r="G1597">
        <v>0</v>
      </c>
    </row>
    <row r="1598" spans="1:7" x14ac:dyDescent="0.3">
      <c r="A1598" s="2">
        <v>44099</v>
      </c>
      <c r="B1598" t="s">
        <v>827</v>
      </c>
      <c r="C1598">
        <v>965</v>
      </c>
      <c r="D1598" s="2">
        <v>44099</v>
      </c>
      <c r="E1598" t="s">
        <v>25</v>
      </c>
      <c r="F1598">
        <v>965</v>
      </c>
      <c r="G1598">
        <v>0</v>
      </c>
    </row>
    <row r="1599" spans="1:7" x14ac:dyDescent="0.3">
      <c r="A1599" s="2">
        <v>44102</v>
      </c>
      <c r="B1599" t="s">
        <v>828</v>
      </c>
      <c r="C1599">
        <v>3622.5</v>
      </c>
      <c r="D1599" s="2">
        <v>44102</v>
      </c>
      <c r="E1599" t="s">
        <v>25</v>
      </c>
      <c r="F1599">
        <v>3622.5</v>
      </c>
      <c r="G1599">
        <v>0</v>
      </c>
    </row>
    <row r="1600" spans="1:7" x14ac:dyDescent="0.3">
      <c r="A1600" s="2">
        <v>44102</v>
      </c>
      <c r="B1600" t="s">
        <v>829</v>
      </c>
      <c r="C1600">
        <v>545</v>
      </c>
      <c r="D1600" s="2">
        <v>44102</v>
      </c>
      <c r="E1600" t="s">
        <v>25</v>
      </c>
      <c r="F1600">
        <v>545</v>
      </c>
      <c r="G1600">
        <v>0</v>
      </c>
    </row>
    <row r="1601" spans="1:7" x14ac:dyDescent="0.3">
      <c r="A1601" s="2">
        <v>44102</v>
      </c>
      <c r="B1601" t="s">
        <v>829</v>
      </c>
      <c r="C1601">
        <v>330</v>
      </c>
      <c r="D1601" s="2">
        <v>44102</v>
      </c>
      <c r="E1601" t="s">
        <v>25</v>
      </c>
      <c r="F1601">
        <v>330</v>
      </c>
      <c r="G1601">
        <v>0</v>
      </c>
    </row>
    <row r="1602" spans="1:7" x14ac:dyDescent="0.3">
      <c r="A1602" s="2">
        <v>44102</v>
      </c>
      <c r="B1602" t="s">
        <v>111</v>
      </c>
      <c r="C1602">
        <v>-70.77</v>
      </c>
      <c r="D1602" s="2">
        <v>44102</v>
      </c>
      <c r="E1602" t="s">
        <v>27</v>
      </c>
      <c r="F1602">
        <v>-70.77</v>
      </c>
      <c r="G1602">
        <v>0</v>
      </c>
    </row>
    <row r="1603" spans="1:7" x14ac:dyDescent="0.3">
      <c r="A1603" s="2">
        <v>44103</v>
      </c>
      <c r="B1603" t="s">
        <v>31</v>
      </c>
      <c r="C1603">
        <v>7920</v>
      </c>
      <c r="D1603" s="2">
        <v>44103</v>
      </c>
      <c r="E1603" t="s">
        <v>25</v>
      </c>
      <c r="F1603">
        <v>7920</v>
      </c>
      <c r="G1603">
        <v>0</v>
      </c>
    </row>
    <row r="1604" spans="1:7" x14ac:dyDescent="0.3">
      <c r="A1604" s="2">
        <v>44104</v>
      </c>
      <c r="B1604" t="s">
        <v>830</v>
      </c>
      <c r="C1604">
        <v>2905</v>
      </c>
      <c r="D1604" s="2">
        <v>44104</v>
      </c>
      <c r="E1604" t="s">
        <v>25</v>
      </c>
      <c r="F1604">
        <v>2905</v>
      </c>
      <c r="G1604">
        <v>0</v>
      </c>
    </row>
    <row r="1605" spans="1:7" x14ac:dyDescent="0.3">
      <c r="A1605" s="2">
        <v>44105</v>
      </c>
      <c r="B1605" t="s">
        <v>831</v>
      </c>
      <c r="C1605">
        <v>2582.5</v>
      </c>
      <c r="D1605" s="2">
        <v>44105</v>
      </c>
      <c r="E1605" t="s">
        <v>25</v>
      </c>
      <c r="F1605">
        <v>2582.5</v>
      </c>
      <c r="G1605">
        <v>0</v>
      </c>
    </row>
    <row r="1606" spans="1:7" x14ac:dyDescent="0.3">
      <c r="A1606" s="2">
        <v>44106</v>
      </c>
      <c r="B1606" t="s">
        <v>831</v>
      </c>
      <c r="C1606">
        <v>-869.74</v>
      </c>
      <c r="D1606" s="2">
        <v>44106</v>
      </c>
      <c r="E1606" t="s">
        <v>27</v>
      </c>
      <c r="F1606">
        <v>-869.74</v>
      </c>
      <c r="G1606">
        <v>0</v>
      </c>
    </row>
    <row r="1607" spans="1:7" x14ac:dyDescent="0.3">
      <c r="A1607" s="2">
        <v>44106</v>
      </c>
      <c r="B1607" t="s">
        <v>832</v>
      </c>
      <c r="C1607">
        <v>7080</v>
      </c>
      <c r="D1607" s="2">
        <v>44106</v>
      </c>
      <c r="E1607" t="s">
        <v>25</v>
      </c>
      <c r="F1607">
        <v>7080</v>
      </c>
      <c r="G1607">
        <v>0</v>
      </c>
    </row>
    <row r="1608" spans="1:7" x14ac:dyDescent="0.3">
      <c r="A1608" s="2">
        <v>44106</v>
      </c>
      <c r="B1608" t="s">
        <v>112</v>
      </c>
      <c r="C1608">
        <v>-30.54</v>
      </c>
      <c r="D1608" s="2">
        <v>44106</v>
      </c>
      <c r="E1608" t="s">
        <v>27</v>
      </c>
      <c r="F1608">
        <v>-30.54</v>
      </c>
      <c r="G1608">
        <v>0</v>
      </c>
    </row>
    <row r="1609" spans="1:7" x14ac:dyDescent="0.3">
      <c r="A1609" s="2">
        <v>44109</v>
      </c>
      <c r="B1609" t="s">
        <v>833</v>
      </c>
      <c r="C1609">
        <v>2516.25</v>
      </c>
      <c r="D1609" s="2">
        <v>44109</v>
      </c>
      <c r="E1609" t="s">
        <v>25</v>
      </c>
      <c r="F1609">
        <v>2516.25</v>
      </c>
      <c r="G1609">
        <v>0</v>
      </c>
    </row>
    <row r="1610" spans="1:7" x14ac:dyDescent="0.3">
      <c r="A1610" s="2">
        <v>44109</v>
      </c>
      <c r="B1610" t="s">
        <v>833</v>
      </c>
      <c r="C1610">
        <v>375</v>
      </c>
      <c r="D1610" s="2">
        <v>44109</v>
      </c>
      <c r="E1610" t="s">
        <v>25</v>
      </c>
      <c r="F1610">
        <v>375</v>
      </c>
      <c r="G1610">
        <v>0</v>
      </c>
    </row>
    <row r="1611" spans="1:7" x14ac:dyDescent="0.3">
      <c r="A1611" s="2">
        <v>44109</v>
      </c>
      <c r="B1611" t="s">
        <v>834</v>
      </c>
      <c r="C1611">
        <v>10635</v>
      </c>
      <c r="D1611" s="2">
        <v>44109</v>
      </c>
      <c r="E1611" t="s">
        <v>25</v>
      </c>
      <c r="F1611">
        <v>10635</v>
      </c>
      <c r="G1611">
        <v>0</v>
      </c>
    </row>
    <row r="1612" spans="1:7" x14ac:dyDescent="0.3">
      <c r="A1612" s="2">
        <v>44109</v>
      </c>
      <c r="B1612" t="s">
        <v>113</v>
      </c>
      <c r="C1612">
        <v>-34.950000000000003</v>
      </c>
      <c r="D1612" s="2">
        <v>44109</v>
      </c>
      <c r="E1612" t="s">
        <v>27</v>
      </c>
      <c r="F1612">
        <v>-34.950000000000003</v>
      </c>
      <c r="G1612">
        <v>0</v>
      </c>
    </row>
    <row r="1613" spans="1:7" x14ac:dyDescent="0.3">
      <c r="A1613" s="2">
        <v>44111</v>
      </c>
      <c r="B1613" t="s">
        <v>835</v>
      </c>
      <c r="C1613">
        <v>-1250</v>
      </c>
      <c r="D1613" s="2">
        <v>44111</v>
      </c>
      <c r="E1613" t="s">
        <v>27</v>
      </c>
      <c r="F1613">
        <v>-1250</v>
      </c>
      <c r="G1613">
        <v>0</v>
      </c>
    </row>
    <row r="1614" spans="1:7" x14ac:dyDescent="0.3">
      <c r="A1614" s="2">
        <v>44111</v>
      </c>
      <c r="B1614" t="s">
        <v>836</v>
      </c>
      <c r="C1614">
        <v>-3750</v>
      </c>
      <c r="D1614" s="2">
        <v>44111</v>
      </c>
      <c r="E1614" t="s">
        <v>27</v>
      </c>
      <c r="F1614">
        <v>-3750</v>
      </c>
      <c r="G1614">
        <v>0</v>
      </c>
    </row>
    <row r="1615" spans="1:7" x14ac:dyDescent="0.3">
      <c r="A1615" s="2">
        <v>44111</v>
      </c>
      <c r="B1615" t="s">
        <v>837</v>
      </c>
      <c r="C1615">
        <v>412.5</v>
      </c>
      <c r="D1615" s="2">
        <v>44111</v>
      </c>
      <c r="E1615" t="s">
        <v>25</v>
      </c>
      <c r="F1615">
        <v>412.5</v>
      </c>
      <c r="G1615">
        <v>0</v>
      </c>
    </row>
    <row r="1616" spans="1:7" x14ac:dyDescent="0.3">
      <c r="A1616" s="2">
        <v>44112</v>
      </c>
      <c r="B1616" t="s">
        <v>838</v>
      </c>
      <c r="C1616">
        <v>8020</v>
      </c>
      <c r="D1616" s="2">
        <v>44112</v>
      </c>
      <c r="E1616" t="s">
        <v>25</v>
      </c>
      <c r="F1616">
        <v>8020</v>
      </c>
      <c r="G1616">
        <v>0</v>
      </c>
    </row>
    <row r="1617" spans="1:7" x14ac:dyDescent="0.3">
      <c r="A1617" s="2">
        <v>44113</v>
      </c>
      <c r="B1617" t="s">
        <v>839</v>
      </c>
      <c r="C1617">
        <v>206.25</v>
      </c>
      <c r="D1617" s="2">
        <v>44113</v>
      </c>
      <c r="E1617" t="s">
        <v>25</v>
      </c>
      <c r="F1617">
        <v>206.25</v>
      </c>
      <c r="G1617">
        <v>0</v>
      </c>
    </row>
    <row r="1618" spans="1:7" x14ac:dyDescent="0.3">
      <c r="A1618" s="2">
        <v>44117</v>
      </c>
      <c r="B1618" t="s">
        <v>840</v>
      </c>
      <c r="C1618">
        <v>416.25</v>
      </c>
      <c r="D1618" s="2">
        <v>44117</v>
      </c>
      <c r="E1618" t="s">
        <v>25</v>
      </c>
      <c r="F1618">
        <v>416.25</v>
      </c>
      <c r="G1618">
        <v>0</v>
      </c>
    </row>
    <row r="1619" spans="1:7" x14ac:dyDescent="0.3">
      <c r="A1619" s="2">
        <v>44117</v>
      </c>
      <c r="B1619" t="s">
        <v>840</v>
      </c>
      <c r="C1619">
        <v>210</v>
      </c>
      <c r="D1619" s="2">
        <v>44117</v>
      </c>
      <c r="E1619" t="s">
        <v>25</v>
      </c>
      <c r="F1619">
        <v>210</v>
      </c>
      <c r="G1619">
        <v>0</v>
      </c>
    </row>
    <row r="1620" spans="1:7" x14ac:dyDescent="0.3">
      <c r="A1620" s="2">
        <v>44117</v>
      </c>
      <c r="B1620" t="s">
        <v>841</v>
      </c>
      <c r="C1620">
        <v>220</v>
      </c>
      <c r="D1620" s="2">
        <v>44117</v>
      </c>
      <c r="E1620" t="s">
        <v>25</v>
      </c>
      <c r="F1620">
        <v>220</v>
      </c>
      <c r="G1620">
        <v>0</v>
      </c>
    </row>
    <row r="1621" spans="1:7" x14ac:dyDescent="0.3">
      <c r="A1621" s="2">
        <v>44117</v>
      </c>
      <c r="B1621" t="s">
        <v>842</v>
      </c>
      <c r="C1621">
        <v>-9.99</v>
      </c>
      <c r="D1621" s="2">
        <v>44117</v>
      </c>
      <c r="E1621" t="s">
        <v>27</v>
      </c>
      <c r="F1621">
        <v>-9.99</v>
      </c>
      <c r="G1621">
        <v>0</v>
      </c>
    </row>
    <row r="1622" spans="1:7" x14ac:dyDescent="0.3">
      <c r="A1622" s="2">
        <v>44117</v>
      </c>
      <c r="B1622" t="s">
        <v>843</v>
      </c>
      <c r="C1622">
        <v>-536</v>
      </c>
      <c r="D1622" s="2">
        <v>44117</v>
      </c>
      <c r="E1622" t="s">
        <v>27</v>
      </c>
      <c r="F1622">
        <v>-536</v>
      </c>
      <c r="G1622">
        <v>0</v>
      </c>
    </row>
    <row r="1623" spans="1:7" x14ac:dyDescent="0.3">
      <c r="A1623" s="2">
        <v>44117</v>
      </c>
      <c r="B1623" t="s">
        <v>123</v>
      </c>
      <c r="C1623">
        <v>-19.59</v>
      </c>
      <c r="D1623" s="2">
        <v>44117</v>
      </c>
      <c r="E1623" t="s">
        <v>27</v>
      </c>
      <c r="F1623">
        <v>-19.59</v>
      </c>
      <c r="G1623">
        <v>0</v>
      </c>
    </row>
    <row r="1624" spans="1:7" x14ac:dyDescent="0.3">
      <c r="A1624" s="2">
        <v>44118</v>
      </c>
      <c r="B1624" t="s">
        <v>844</v>
      </c>
      <c r="C1624">
        <v>577.5</v>
      </c>
      <c r="D1624" s="2">
        <v>44118</v>
      </c>
      <c r="E1624" t="s">
        <v>25</v>
      </c>
      <c r="F1624">
        <v>577.5</v>
      </c>
      <c r="G1624">
        <v>0</v>
      </c>
    </row>
    <row r="1625" spans="1:7" x14ac:dyDescent="0.3">
      <c r="A1625" s="2">
        <v>44118</v>
      </c>
      <c r="B1625" t="s">
        <v>121</v>
      </c>
      <c r="C1625">
        <v>-83.81</v>
      </c>
      <c r="D1625" s="2">
        <v>44118</v>
      </c>
      <c r="E1625" t="s">
        <v>27</v>
      </c>
      <c r="F1625">
        <v>-83.81</v>
      </c>
      <c r="G1625">
        <v>0</v>
      </c>
    </row>
    <row r="1626" spans="1:7" x14ac:dyDescent="0.3">
      <c r="A1626" s="2">
        <v>44119</v>
      </c>
      <c r="B1626" t="s">
        <v>845</v>
      </c>
      <c r="C1626">
        <v>801.25</v>
      </c>
      <c r="D1626" s="2">
        <v>44119</v>
      </c>
      <c r="E1626" t="s">
        <v>25</v>
      </c>
      <c r="F1626">
        <v>801.25</v>
      </c>
      <c r="G1626">
        <v>0</v>
      </c>
    </row>
    <row r="1627" spans="1:7" x14ac:dyDescent="0.3">
      <c r="A1627" s="2">
        <v>44120</v>
      </c>
      <c r="B1627" t="s">
        <v>846</v>
      </c>
      <c r="C1627">
        <v>466.25</v>
      </c>
      <c r="D1627" s="2">
        <v>44120</v>
      </c>
      <c r="E1627" t="s">
        <v>25</v>
      </c>
      <c r="F1627">
        <v>466.25</v>
      </c>
      <c r="G1627">
        <v>0</v>
      </c>
    </row>
    <row r="1628" spans="1:7" x14ac:dyDescent="0.3">
      <c r="A1628" s="2">
        <v>44123</v>
      </c>
      <c r="B1628" t="s">
        <v>847</v>
      </c>
      <c r="C1628">
        <v>260</v>
      </c>
      <c r="D1628" s="2">
        <v>44123</v>
      </c>
      <c r="E1628" t="s">
        <v>25</v>
      </c>
      <c r="F1628">
        <v>260</v>
      </c>
      <c r="G1628">
        <v>0</v>
      </c>
    </row>
    <row r="1629" spans="1:7" x14ac:dyDescent="0.3">
      <c r="A1629" s="2">
        <v>44123</v>
      </c>
      <c r="B1629" t="s">
        <v>848</v>
      </c>
      <c r="C1629">
        <v>1212.5</v>
      </c>
      <c r="D1629" s="2">
        <v>44123</v>
      </c>
      <c r="E1629" t="s">
        <v>25</v>
      </c>
      <c r="F1629">
        <v>1212.5</v>
      </c>
      <c r="G1629">
        <v>0</v>
      </c>
    </row>
    <row r="1630" spans="1:7" x14ac:dyDescent="0.3">
      <c r="A1630" s="2">
        <v>44126</v>
      </c>
      <c r="B1630" t="s">
        <v>849</v>
      </c>
      <c r="C1630">
        <v>206.25</v>
      </c>
      <c r="D1630" s="2">
        <v>44126</v>
      </c>
      <c r="E1630" t="s">
        <v>25</v>
      </c>
      <c r="F1630">
        <v>206.25</v>
      </c>
      <c r="G1630">
        <v>0</v>
      </c>
    </row>
    <row r="1631" spans="1:7" x14ac:dyDescent="0.3">
      <c r="A1631" s="2">
        <v>44127</v>
      </c>
      <c r="B1631" t="s">
        <v>850</v>
      </c>
      <c r="C1631">
        <v>371.25</v>
      </c>
      <c r="D1631" s="2">
        <v>44127</v>
      </c>
      <c r="E1631" t="s">
        <v>25</v>
      </c>
      <c r="F1631">
        <v>371.25</v>
      </c>
      <c r="G1631">
        <v>0</v>
      </c>
    </row>
    <row r="1632" spans="1:7" x14ac:dyDescent="0.3">
      <c r="A1632" s="2">
        <v>44130</v>
      </c>
      <c r="B1632" t="s">
        <v>851</v>
      </c>
      <c r="C1632">
        <v>1155</v>
      </c>
      <c r="D1632" s="2">
        <v>44130</v>
      </c>
      <c r="E1632" t="s">
        <v>25</v>
      </c>
      <c r="F1632">
        <v>1155</v>
      </c>
      <c r="G1632">
        <v>0</v>
      </c>
    </row>
    <row r="1633" spans="1:7" x14ac:dyDescent="0.3">
      <c r="A1633" s="2">
        <v>44130</v>
      </c>
      <c r="B1633" t="s">
        <v>852</v>
      </c>
      <c r="C1633">
        <v>206.25</v>
      </c>
      <c r="D1633" s="2">
        <v>44130</v>
      </c>
      <c r="E1633" t="s">
        <v>25</v>
      </c>
      <c r="F1633">
        <v>206.25</v>
      </c>
      <c r="G1633">
        <v>0</v>
      </c>
    </row>
    <row r="1634" spans="1:7" x14ac:dyDescent="0.3">
      <c r="A1634" s="2">
        <v>44131</v>
      </c>
      <c r="B1634" t="s">
        <v>853</v>
      </c>
      <c r="C1634">
        <v>206.25</v>
      </c>
      <c r="D1634" s="2">
        <v>44131</v>
      </c>
      <c r="E1634" t="s">
        <v>25</v>
      </c>
      <c r="F1634">
        <v>206.25</v>
      </c>
      <c r="G1634">
        <v>0</v>
      </c>
    </row>
    <row r="1635" spans="1:7" x14ac:dyDescent="0.3">
      <c r="A1635" s="2">
        <v>44132</v>
      </c>
      <c r="B1635" t="s">
        <v>854</v>
      </c>
      <c r="C1635">
        <v>206.25</v>
      </c>
      <c r="D1635" s="2">
        <v>44132</v>
      </c>
      <c r="E1635" t="s">
        <v>25</v>
      </c>
      <c r="F1635">
        <v>206.25</v>
      </c>
      <c r="G1635">
        <v>0</v>
      </c>
    </row>
    <row r="1636" spans="1:7" x14ac:dyDescent="0.3">
      <c r="A1636" s="2">
        <v>44133</v>
      </c>
      <c r="B1636" t="s">
        <v>855</v>
      </c>
      <c r="C1636">
        <v>206.25</v>
      </c>
      <c r="D1636" s="2">
        <v>44133</v>
      </c>
      <c r="E1636" t="s">
        <v>25</v>
      </c>
      <c r="F1636">
        <v>206.25</v>
      </c>
      <c r="G1636">
        <v>0</v>
      </c>
    </row>
    <row r="1637" spans="1:7" x14ac:dyDescent="0.3">
      <c r="A1637" s="2">
        <v>44133</v>
      </c>
      <c r="B1637" t="s">
        <v>131</v>
      </c>
      <c r="C1637">
        <v>-70.77</v>
      </c>
      <c r="D1637" s="2">
        <v>44133</v>
      </c>
      <c r="E1637" t="s">
        <v>27</v>
      </c>
      <c r="F1637">
        <v>-70.77</v>
      </c>
      <c r="G1637">
        <v>0</v>
      </c>
    </row>
    <row r="1638" spans="1:7" x14ac:dyDescent="0.3">
      <c r="A1638" s="2">
        <v>44133</v>
      </c>
      <c r="B1638" t="s">
        <v>133</v>
      </c>
      <c r="C1638">
        <v>-39.99</v>
      </c>
      <c r="D1638" s="2">
        <v>44133</v>
      </c>
      <c r="E1638" t="s">
        <v>27</v>
      </c>
      <c r="F1638">
        <v>-39.99</v>
      </c>
      <c r="G1638">
        <v>0</v>
      </c>
    </row>
    <row r="1639" spans="1:7" x14ac:dyDescent="0.3">
      <c r="A1639" s="2">
        <v>44134</v>
      </c>
      <c r="B1639" t="s">
        <v>856</v>
      </c>
      <c r="C1639">
        <v>412.5</v>
      </c>
      <c r="D1639" s="2">
        <v>44134</v>
      </c>
      <c r="E1639" t="s">
        <v>25</v>
      </c>
      <c r="F1639">
        <v>412.5</v>
      </c>
      <c r="G1639">
        <v>0</v>
      </c>
    </row>
    <row r="1640" spans="1:7" x14ac:dyDescent="0.3">
      <c r="A1640" s="2">
        <v>44137</v>
      </c>
      <c r="B1640" t="s">
        <v>857</v>
      </c>
      <c r="C1640">
        <v>-1691.63</v>
      </c>
      <c r="D1640" s="2">
        <v>44137</v>
      </c>
      <c r="E1640" t="s">
        <v>27</v>
      </c>
      <c r="F1640">
        <v>-1691.63</v>
      </c>
      <c r="G1640">
        <v>0</v>
      </c>
    </row>
    <row r="1641" spans="1:7" x14ac:dyDescent="0.3">
      <c r="A1641" s="2">
        <v>44137</v>
      </c>
      <c r="B1641" t="s">
        <v>137</v>
      </c>
      <c r="C1641">
        <v>-30</v>
      </c>
      <c r="D1641" s="2">
        <v>44137</v>
      </c>
      <c r="E1641" t="s">
        <v>27</v>
      </c>
      <c r="F1641">
        <v>-30</v>
      </c>
      <c r="G1641">
        <v>0</v>
      </c>
    </row>
    <row r="1642" spans="1:7" x14ac:dyDescent="0.3">
      <c r="A1642" s="2">
        <v>44137</v>
      </c>
      <c r="B1642" t="s">
        <v>857</v>
      </c>
      <c r="C1642">
        <v>786.25</v>
      </c>
      <c r="D1642" s="2">
        <v>44137</v>
      </c>
      <c r="E1642" t="s">
        <v>25</v>
      </c>
      <c r="F1642">
        <v>786.25</v>
      </c>
      <c r="G1642">
        <v>0</v>
      </c>
    </row>
    <row r="1643" spans="1:7" x14ac:dyDescent="0.3">
      <c r="A1643" s="2">
        <v>44137</v>
      </c>
      <c r="B1643" t="s">
        <v>858</v>
      </c>
      <c r="C1643">
        <v>580</v>
      </c>
      <c r="D1643" s="2">
        <v>44137</v>
      </c>
      <c r="E1643" t="s">
        <v>25</v>
      </c>
      <c r="F1643">
        <v>580</v>
      </c>
      <c r="G1643">
        <v>0</v>
      </c>
    </row>
    <row r="1644" spans="1:7" x14ac:dyDescent="0.3">
      <c r="A1644" s="2">
        <v>44139</v>
      </c>
      <c r="B1644" t="s">
        <v>859</v>
      </c>
      <c r="C1644">
        <v>-7.95</v>
      </c>
      <c r="D1644" s="2">
        <v>44139</v>
      </c>
      <c r="E1644" t="s">
        <v>27</v>
      </c>
      <c r="F1644">
        <v>-7.95</v>
      </c>
      <c r="G1644">
        <v>0</v>
      </c>
    </row>
    <row r="1645" spans="1:7" x14ac:dyDescent="0.3">
      <c r="A1645" s="2">
        <v>44139</v>
      </c>
      <c r="B1645" t="s">
        <v>138</v>
      </c>
      <c r="C1645">
        <v>-34.950000000000003</v>
      </c>
      <c r="D1645" s="2">
        <v>44139</v>
      </c>
      <c r="E1645" t="s">
        <v>27</v>
      </c>
      <c r="F1645">
        <v>-34.950000000000003</v>
      </c>
      <c r="G1645">
        <v>0</v>
      </c>
    </row>
    <row r="1646" spans="1:7" x14ac:dyDescent="0.3">
      <c r="A1646" s="2">
        <v>44141</v>
      </c>
      <c r="B1646" t="s">
        <v>860</v>
      </c>
      <c r="C1646">
        <v>-7.95</v>
      </c>
      <c r="D1646" s="2">
        <v>44141</v>
      </c>
      <c r="E1646" t="s">
        <v>27</v>
      </c>
      <c r="F1646">
        <v>-7.95</v>
      </c>
      <c r="G1646">
        <v>0</v>
      </c>
    </row>
    <row r="1647" spans="1:7" x14ac:dyDescent="0.3">
      <c r="A1647" s="2">
        <v>44144</v>
      </c>
      <c r="B1647" t="s">
        <v>861</v>
      </c>
      <c r="C1647">
        <v>-7.95</v>
      </c>
      <c r="D1647" s="2">
        <v>44144</v>
      </c>
      <c r="E1647" t="s">
        <v>27</v>
      </c>
      <c r="F1647">
        <v>-7.95</v>
      </c>
      <c r="G1647">
        <v>0</v>
      </c>
    </row>
    <row r="1648" spans="1:7" x14ac:dyDescent="0.3">
      <c r="A1648" s="2">
        <v>44144</v>
      </c>
      <c r="B1648" t="s">
        <v>31</v>
      </c>
      <c r="C1648">
        <v>4120</v>
      </c>
      <c r="D1648" s="2">
        <v>44144</v>
      </c>
      <c r="E1648" t="s">
        <v>25</v>
      </c>
      <c r="F1648">
        <v>4120</v>
      </c>
      <c r="G1648">
        <v>0</v>
      </c>
    </row>
    <row r="1649" spans="1:7" x14ac:dyDescent="0.3">
      <c r="A1649" s="2">
        <v>44144</v>
      </c>
      <c r="B1649" t="s">
        <v>31</v>
      </c>
      <c r="C1649">
        <v>160</v>
      </c>
      <c r="D1649" s="2">
        <v>44144</v>
      </c>
      <c r="E1649" t="s">
        <v>25</v>
      </c>
      <c r="F1649">
        <v>160</v>
      </c>
      <c r="G1649">
        <v>0</v>
      </c>
    </row>
    <row r="1650" spans="1:7" x14ac:dyDescent="0.3">
      <c r="A1650" s="2">
        <v>44145</v>
      </c>
      <c r="B1650" t="s">
        <v>862</v>
      </c>
      <c r="C1650">
        <v>-4810.5600000000004</v>
      </c>
      <c r="D1650" s="2">
        <v>44145</v>
      </c>
      <c r="E1650" t="s">
        <v>27</v>
      </c>
      <c r="F1650">
        <v>-4810.5600000000004</v>
      </c>
      <c r="G1650">
        <v>0</v>
      </c>
    </row>
    <row r="1651" spans="1:7" x14ac:dyDescent="0.3">
      <c r="A1651" s="2">
        <v>44147</v>
      </c>
      <c r="B1651" t="s">
        <v>863</v>
      </c>
      <c r="C1651">
        <v>1661.25</v>
      </c>
      <c r="D1651" s="2">
        <v>44147</v>
      </c>
      <c r="E1651" t="s">
        <v>25</v>
      </c>
      <c r="F1651">
        <v>1661.25</v>
      </c>
      <c r="G1651">
        <v>0</v>
      </c>
    </row>
    <row r="1652" spans="1:7" x14ac:dyDescent="0.3">
      <c r="A1652" s="2">
        <v>44147</v>
      </c>
      <c r="B1652" t="s">
        <v>864</v>
      </c>
      <c r="C1652">
        <v>206.25</v>
      </c>
      <c r="D1652" s="2">
        <v>44147</v>
      </c>
      <c r="E1652" t="s">
        <v>25</v>
      </c>
      <c r="F1652">
        <v>206.25</v>
      </c>
      <c r="G1652">
        <v>0</v>
      </c>
    </row>
    <row r="1653" spans="1:7" x14ac:dyDescent="0.3">
      <c r="A1653" s="2">
        <v>44147</v>
      </c>
      <c r="B1653" t="s">
        <v>865</v>
      </c>
      <c r="C1653">
        <v>-9.99</v>
      </c>
      <c r="D1653" s="2">
        <v>44147</v>
      </c>
      <c r="E1653" t="s">
        <v>27</v>
      </c>
      <c r="F1653">
        <v>-9.99</v>
      </c>
      <c r="G1653">
        <v>0</v>
      </c>
    </row>
    <row r="1654" spans="1:7" x14ac:dyDescent="0.3">
      <c r="A1654" s="2">
        <v>44147</v>
      </c>
      <c r="B1654" t="s">
        <v>866</v>
      </c>
      <c r="C1654">
        <v>-26.95</v>
      </c>
      <c r="D1654" s="2">
        <v>44147</v>
      </c>
      <c r="E1654" t="s">
        <v>27</v>
      </c>
      <c r="F1654">
        <v>-26.95</v>
      </c>
      <c r="G1654">
        <v>0</v>
      </c>
    </row>
    <row r="1655" spans="1:7" x14ac:dyDescent="0.3">
      <c r="A1655" s="2">
        <v>44148</v>
      </c>
      <c r="B1655" t="s">
        <v>867</v>
      </c>
      <c r="C1655">
        <v>1665</v>
      </c>
      <c r="D1655" s="2">
        <v>44147</v>
      </c>
      <c r="E1655" t="s">
        <v>25</v>
      </c>
      <c r="F1655">
        <v>1665</v>
      </c>
      <c r="G1655">
        <v>0</v>
      </c>
    </row>
    <row r="1656" spans="1:7" x14ac:dyDescent="0.3">
      <c r="A1656" s="2">
        <v>44148</v>
      </c>
      <c r="B1656" t="s">
        <v>142</v>
      </c>
      <c r="C1656">
        <v>-19.59</v>
      </c>
      <c r="D1656" s="2">
        <v>44148</v>
      </c>
      <c r="E1656" t="s">
        <v>27</v>
      </c>
      <c r="F1656">
        <v>-19.59</v>
      </c>
      <c r="G1656">
        <v>0</v>
      </c>
    </row>
    <row r="1657" spans="1:7" x14ac:dyDescent="0.3">
      <c r="A1657" s="2">
        <v>44151</v>
      </c>
      <c r="B1657" t="s">
        <v>868</v>
      </c>
      <c r="C1657">
        <v>206.25</v>
      </c>
      <c r="D1657" s="2">
        <v>44151</v>
      </c>
      <c r="E1657" t="s">
        <v>25</v>
      </c>
      <c r="F1657">
        <v>206.25</v>
      </c>
      <c r="G1657">
        <v>0</v>
      </c>
    </row>
    <row r="1658" spans="1:7" x14ac:dyDescent="0.3">
      <c r="A1658" s="2">
        <v>44151</v>
      </c>
      <c r="B1658" t="s">
        <v>143</v>
      </c>
      <c r="C1658">
        <v>-83.81</v>
      </c>
      <c r="D1658" s="2">
        <v>44151</v>
      </c>
      <c r="E1658" t="s">
        <v>27</v>
      </c>
      <c r="F1658">
        <v>-83.81</v>
      </c>
      <c r="G1658">
        <v>0</v>
      </c>
    </row>
    <row r="1659" spans="1:7" x14ac:dyDescent="0.3">
      <c r="A1659" s="2">
        <v>44151</v>
      </c>
      <c r="B1659" t="s">
        <v>869</v>
      </c>
      <c r="C1659">
        <v>206.25</v>
      </c>
      <c r="D1659" s="2">
        <v>44151</v>
      </c>
      <c r="E1659" t="s">
        <v>25</v>
      </c>
      <c r="F1659">
        <v>206.25</v>
      </c>
      <c r="G1659">
        <v>0</v>
      </c>
    </row>
    <row r="1660" spans="1:7" x14ac:dyDescent="0.3">
      <c r="A1660" s="2">
        <v>44152</v>
      </c>
      <c r="B1660" t="s">
        <v>870</v>
      </c>
      <c r="C1660">
        <v>495</v>
      </c>
      <c r="D1660" s="2">
        <v>44152</v>
      </c>
      <c r="E1660" t="s">
        <v>25</v>
      </c>
      <c r="F1660">
        <v>495</v>
      </c>
      <c r="G1660">
        <v>0</v>
      </c>
    </row>
    <row r="1661" spans="1:7" x14ac:dyDescent="0.3">
      <c r="A1661" s="2">
        <v>44153</v>
      </c>
      <c r="B1661" t="s">
        <v>871</v>
      </c>
      <c r="C1661">
        <v>-7414.7</v>
      </c>
      <c r="D1661" s="2">
        <v>44153</v>
      </c>
      <c r="E1661" t="s">
        <v>27</v>
      </c>
      <c r="F1661">
        <v>-7414.7</v>
      </c>
      <c r="G1661">
        <v>0</v>
      </c>
    </row>
    <row r="1662" spans="1:7" x14ac:dyDescent="0.3">
      <c r="A1662" s="2">
        <v>44153</v>
      </c>
      <c r="B1662" t="s">
        <v>872</v>
      </c>
      <c r="C1662">
        <v>29260</v>
      </c>
      <c r="D1662" s="2">
        <v>44153</v>
      </c>
      <c r="E1662" t="s">
        <v>25</v>
      </c>
      <c r="F1662">
        <v>29260</v>
      </c>
      <c r="G1662">
        <v>0</v>
      </c>
    </row>
    <row r="1663" spans="1:7" x14ac:dyDescent="0.3">
      <c r="A1663" s="2">
        <v>44154</v>
      </c>
      <c r="B1663" t="s">
        <v>873</v>
      </c>
      <c r="C1663">
        <v>4342.5</v>
      </c>
      <c r="D1663" s="2">
        <v>44154</v>
      </c>
      <c r="E1663" t="s">
        <v>25</v>
      </c>
      <c r="F1663">
        <v>4342.5</v>
      </c>
      <c r="G1663">
        <v>0</v>
      </c>
    </row>
    <row r="1664" spans="1:7" x14ac:dyDescent="0.3">
      <c r="A1664" s="2">
        <v>44155</v>
      </c>
      <c r="B1664" t="s">
        <v>874</v>
      </c>
      <c r="C1664">
        <v>-2500</v>
      </c>
      <c r="D1664" s="2">
        <v>44155</v>
      </c>
      <c r="E1664" t="s">
        <v>27</v>
      </c>
      <c r="F1664">
        <v>-2500</v>
      </c>
      <c r="G1664">
        <v>0</v>
      </c>
    </row>
    <row r="1665" spans="1:7" x14ac:dyDescent="0.3">
      <c r="A1665" s="2">
        <v>44155</v>
      </c>
      <c r="B1665" t="s">
        <v>875</v>
      </c>
      <c r="C1665">
        <v>9921.25</v>
      </c>
      <c r="D1665" s="2">
        <v>44155</v>
      </c>
      <c r="E1665" t="s">
        <v>25</v>
      </c>
      <c r="F1665">
        <v>9921.25</v>
      </c>
      <c r="G1665">
        <v>0</v>
      </c>
    </row>
    <row r="1666" spans="1:7" x14ac:dyDescent="0.3">
      <c r="A1666" s="2">
        <v>44155</v>
      </c>
      <c r="B1666" t="s">
        <v>875</v>
      </c>
      <c r="C1666">
        <v>-7300</v>
      </c>
      <c r="D1666" s="2">
        <v>44155</v>
      </c>
      <c r="E1666" t="s">
        <v>27</v>
      </c>
      <c r="F1666">
        <v>-7300</v>
      </c>
      <c r="G1666">
        <v>0</v>
      </c>
    </row>
    <row r="1667" spans="1:7" x14ac:dyDescent="0.3">
      <c r="A1667" s="2">
        <v>44158</v>
      </c>
      <c r="B1667" t="s">
        <v>876</v>
      </c>
      <c r="C1667">
        <v>330</v>
      </c>
      <c r="D1667" s="2">
        <v>44158</v>
      </c>
      <c r="E1667" t="s">
        <v>25</v>
      </c>
      <c r="F1667">
        <v>330</v>
      </c>
      <c r="G1667">
        <v>0</v>
      </c>
    </row>
    <row r="1668" spans="1:7" x14ac:dyDescent="0.3">
      <c r="A1668" s="2">
        <v>44158</v>
      </c>
      <c r="B1668" t="s">
        <v>877</v>
      </c>
      <c r="C1668">
        <v>1590</v>
      </c>
      <c r="D1668" s="2">
        <v>44158</v>
      </c>
      <c r="E1668" t="s">
        <v>25</v>
      </c>
      <c r="F1668">
        <v>1590</v>
      </c>
      <c r="G1668">
        <v>0</v>
      </c>
    </row>
    <row r="1669" spans="1:7" x14ac:dyDescent="0.3">
      <c r="A1669" s="2">
        <v>44158</v>
      </c>
      <c r="B1669" t="s">
        <v>876</v>
      </c>
      <c r="C1669">
        <v>2696.25</v>
      </c>
      <c r="D1669" s="2">
        <v>44158</v>
      </c>
      <c r="E1669" t="s">
        <v>25</v>
      </c>
      <c r="F1669">
        <v>2696.25</v>
      </c>
      <c r="G1669">
        <v>0</v>
      </c>
    </row>
    <row r="1670" spans="1:7" x14ac:dyDescent="0.3">
      <c r="A1670" s="2">
        <v>44159</v>
      </c>
      <c r="B1670" t="s">
        <v>878</v>
      </c>
      <c r="C1670">
        <v>-121.25</v>
      </c>
      <c r="D1670" s="2">
        <v>44159</v>
      </c>
      <c r="E1670" t="s">
        <v>27</v>
      </c>
      <c r="F1670">
        <v>-121.25</v>
      </c>
      <c r="G1670">
        <v>0</v>
      </c>
    </row>
    <row r="1671" spans="1:7" x14ac:dyDescent="0.3">
      <c r="A1671" s="2">
        <v>44160</v>
      </c>
      <c r="B1671" t="s">
        <v>879</v>
      </c>
      <c r="C1671">
        <v>8590</v>
      </c>
      <c r="D1671" s="2">
        <v>44160</v>
      </c>
      <c r="E1671" t="s">
        <v>25</v>
      </c>
      <c r="F1671">
        <v>8590</v>
      </c>
      <c r="G1671">
        <v>0</v>
      </c>
    </row>
    <row r="1672" spans="1:7" x14ac:dyDescent="0.3">
      <c r="A1672" s="2">
        <v>44162</v>
      </c>
      <c r="B1672" t="s">
        <v>880</v>
      </c>
      <c r="C1672">
        <v>165</v>
      </c>
      <c r="D1672" s="2">
        <v>44162</v>
      </c>
      <c r="E1672" t="s">
        <v>25</v>
      </c>
      <c r="F1672">
        <v>165</v>
      </c>
      <c r="G1672">
        <v>0</v>
      </c>
    </row>
    <row r="1673" spans="1:7" x14ac:dyDescent="0.3">
      <c r="A1673" s="2">
        <v>44162</v>
      </c>
      <c r="B1673" t="s">
        <v>881</v>
      </c>
      <c r="C1673">
        <v>825</v>
      </c>
      <c r="D1673" s="2">
        <v>44162</v>
      </c>
      <c r="E1673" t="s">
        <v>25</v>
      </c>
      <c r="F1673">
        <v>825</v>
      </c>
      <c r="G1673">
        <v>0</v>
      </c>
    </row>
    <row r="1674" spans="1:7" x14ac:dyDescent="0.3">
      <c r="A1674" s="2">
        <v>44165</v>
      </c>
      <c r="B1674" t="s">
        <v>882</v>
      </c>
      <c r="C1674">
        <v>-73.75</v>
      </c>
      <c r="D1674" s="2">
        <v>44165</v>
      </c>
      <c r="E1674" t="s">
        <v>27</v>
      </c>
      <c r="F1674">
        <v>-73.75</v>
      </c>
      <c r="G1674">
        <v>0</v>
      </c>
    </row>
    <row r="1675" spans="1:7" x14ac:dyDescent="0.3">
      <c r="A1675" s="2">
        <v>44165</v>
      </c>
      <c r="B1675" t="s">
        <v>883</v>
      </c>
      <c r="C1675">
        <v>225</v>
      </c>
      <c r="D1675" s="2">
        <v>44165</v>
      </c>
      <c r="E1675" t="s">
        <v>25</v>
      </c>
      <c r="F1675">
        <v>225</v>
      </c>
      <c r="G1675">
        <v>0</v>
      </c>
    </row>
    <row r="1676" spans="1:7" x14ac:dyDescent="0.3">
      <c r="A1676" s="2">
        <v>44165</v>
      </c>
      <c r="B1676" t="s">
        <v>882</v>
      </c>
      <c r="C1676">
        <v>-1.79</v>
      </c>
      <c r="D1676" s="2">
        <v>44165</v>
      </c>
      <c r="E1676" t="s">
        <v>27</v>
      </c>
      <c r="F1676">
        <v>-1.79</v>
      </c>
      <c r="G1676">
        <v>0</v>
      </c>
    </row>
    <row r="1677" spans="1:7" x14ac:dyDescent="0.3">
      <c r="A1677" s="2">
        <v>44165</v>
      </c>
      <c r="B1677" t="s">
        <v>156</v>
      </c>
      <c r="C1677">
        <v>-70.77</v>
      </c>
      <c r="D1677" s="2">
        <v>44165</v>
      </c>
      <c r="E1677" t="s">
        <v>27</v>
      </c>
      <c r="F1677">
        <v>-70.77</v>
      </c>
      <c r="G1677">
        <v>0</v>
      </c>
    </row>
    <row r="1678" spans="1:7" x14ac:dyDescent="0.3">
      <c r="A1678" s="2">
        <v>44165</v>
      </c>
      <c r="B1678" t="s">
        <v>883</v>
      </c>
      <c r="C1678">
        <v>495</v>
      </c>
      <c r="D1678" s="2">
        <v>44165</v>
      </c>
      <c r="E1678" t="s">
        <v>25</v>
      </c>
      <c r="F1678">
        <v>495</v>
      </c>
      <c r="G1678">
        <v>0</v>
      </c>
    </row>
    <row r="1679" spans="1:7" x14ac:dyDescent="0.3">
      <c r="A1679" s="2">
        <v>44166</v>
      </c>
      <c r="B1679" t="s">
        <v>884</v>
      </c>
      <c r="C1679">
        <v>990</v>
      </c>
      <c r="D1679" s="2">
        <v>44166</v>
      </c>
      <c r="E1679" t="s">
        <v>25</v>
      </c>
      <c r="F1679">
        <v>990</v>
      </c>
      <c r="G1679">
        <v>0</v>
      </c>
    </row>
    <row r="1680" spans="1:7" x14ac:dyDescent="0.3">
      <c r="A1680" s="2">
        <v>44167</v>
      </c>
      <c r="B1680" t="s">
        <v>885</v>
      </c>
      <c r="C1680">
        <v>866.25</v>
      </c>
      <c r="D1680" s="2">
        <v>44167</v>
      </c>
      <c r="E1680" t="s">
        <v>25</v>
      </c>
      <c r="F1680">
        <v>866.25</v>
      </c>
      <c r="G1680">
        <v>0</v>
      </c>
    </row>
    <row r="1681" spans="1:7" x14ac:dyDescent="0.3">
      <c r="A1681" s="2">
        <v>44167</v>
      </c>
      <c r="B1681" t="s">
        <v>161</v>
      </c>
      <c r="C1681">
        <v>-30</v>
      </c>
      <c r="D1681" s="2">
        <v>44167</v>
      </c>
      <c r="E1681" t="s">
        <v>27</v>
      </c>
      <c r="F1681">
        <v>-30</v>
      </c>
      <c r="G1681">
        <v>0</v>
      </c>
    </row>
    <row r="1682" spans="1:7" x14ac:dyDescent="0.3">
      <c r="A1682" s="2">
        <v>44167</v>
      </c>
      <c r="B1682" t="s">
        <v>884</v>
      </c>
      <c r="C1682">
        <v>-2840.97</v>
      </c>
      <c r="D1682" s="2">
        <v>44167</v>
      </c>
      <c r="E1682" t="s">
        <v>27</v>
      </c>
      <c r="F1682">
        <v>-2840.97</v>
      </c>
      <c r="G1682">
        <v>0</v>
      </c>
    </row>
    <row r="1683" spans="1:7" x14ac:dyDescent="0.3">
      <c r="A1683" s="2">
        <v>44168</v>
      </c>
      <c r="B1683" t="s">
        <v>162</v>
      </c>
      <c r="C1683">
        <v>-34.950000000000003</v>
      </c>
      <c r="D1683" s="2">
        <v>44168</v>
      </c>
      <c r="E1683" t="s">
        <v>27</v>
      </c>
      <c r="F1683">
        <v>-34.950000000000003</v>
      </c>
      <c r="G1683">
        <v>0</v>
      </c>
    </row>
    <row r="1684" spans="1:7" x14ac:dyDescent="0.3">
      <c r="A1684" s="2">
        <v>44168</v>
      </c>
      <c r="B1684" t="s">
        <v>886</v>
      </c>
      <c r="C1684">
        <v>795</v>
      </c>
      <c r="D1684" s="2">
        <v>44168</v>
      </c>
      <c r="E1684" t="s">
        <v>25</v>
      </c>
      <c r="F1684">
        <v>795</v>
      </c>
      <c r="G1684">
        <v>0</v>
      </c>
    </row>
    <row r="1685" spans="1:7" x14ac:dyDescent="0.3">
      <c r="A1685" s="2">
        <v>44169</v>
      </c>
      <c r="B1685" t="s">
        <v>887</v>
      </c>
      <c r="C1685">
        <v>-7.95</v>
      </c>
      <c r="D1685" s="2">
        <v>44169</v>
      </c>
      <c r="E1685" t="s">
        <v>27</v>
      </c>
      <c r="F1685">
        <v>-7.95</v>
      </c>
      <c r="G1685">
        <v>0</v>
      </c>
    </row>
    <row r="1686" spans="1:7" x14ac:dyDescent="0.3">
      <c r="A1686" s="2">
        <v>44169</v>
      </c>
      <c r="B1686" t="s">
        <v>888</v>
      </c>
      <c r="C1686">
        <v>795</v>
      </c>
      <c r="D1686" s="2">
        <v>44169</v>
      </c>
      <c r="E1686" t="s">
        <v>25</v>
      </c>
      <c r="F1686">
        <v>795</v>
      </c>
      <c r="G1686">
        <v>0</v>
      </c>
    </row>
    <row r="1687" spans="1:7" x14ac:dyDescent="0.3">
      <c r="A1687" s="2">
        <v>44172</v>
      </c>
      <c r="B1687" t="s">
        <v>889</v>
      </c>
      <c r="C1687">
        <v>1830</v>
      </c>
      <c r="D1687" s="2">
        <v>44172</v>
      </c>
      <c r="E1687" t="s">
        <v>25</v>
      </c>
      <c r="F1687">
        <v>1830</v>
      </c>
      <c r="G1687">
        <v>0</v>
      </c>
    </row>
    <row r="1688" spans="1:7" x14ac:dyDescent="0.3">
      <c r="A1688" s="2">
        <v>44172</v>
      </c>
      <c r="B1688" t="s">
        <v>889</v>
      </c>
      <c r="C1688">
        <v>330</v>
      </c>
      <c r="D1688" s="2">
        <v>44172</v>
      </c>
      <c r="E1688" t="s">
        <v>25</v>
      </c>
      <c r="F1688">
        <v>330</v>
      </c>
      <c r="G1688">
        <v>0</v>
      </c>
    </row>
    <row r="1689" spans="1:7" x14ac:dyDescent="0.3">
      <c r="A1689" s="2">
        <v>44172</v>
      </c>
      <c r="B1689" t="s">
        <v>890</v>
      </c>
      <c r="C1689">
        <v>536.25</v>
      </c>
      <c r="D1689" s="2">
        <v>44172</v>
      </c>
      <c r="E1689" t="s">
        <v>25</v>
      </c>
      <c r="F1689">
        <v>536.25</v>
      </c>
      <c r="G1689">
        <v>0</v>
      </c>
    </row>
    <row r="1690" spans="1:7" x14ac:dyDescent="0.3">
      <c r="A1690" s="2">
        <v>44172</v>
      </c>
      <c r="B1690" t="s">
        <v>891</v>
      </c>
      <c r="C1690">
        <v>-7.95</v>
      </c>
      <c r="D1690" s="2">
        <v>44172</v>
      </c>
      <c r="E1690" t="s">
        <v>27</v>
      </c>
      <c r="F1690">
        <v>-7.95</v>
      </c>
      <c r="G1690">
        <v>0</v>
      </c>
    </row>
    <row r="1691" spans="1:7" x14ac:dyDescent="0.3">
      <c r="A1691" s="2">
        <v>44172</v>
      </c>
      <c r="B1691" t="s">
        <v>892</v>
      </c>
      <c r="C1691">
        <v>-212.69</v>
      </c>
      <c r="D1691" s="2">
        <v>44172</v>
      </c>
      <c r="E1691" t="s">
        <v>27</v>
      </c>
      <c r="F1691">
        <v>-212.69</v>
      </c>
      <c r="G1691">
        <v>0</v>
      </c>
    </row>
    <row r="1692" spans="1:7" x14ac:dyDescent="0.3">
      <c r="A1692" s="2">
        <v>44173</v>
      </c>
      <c r="B1692" t="s">
        <v>893</v>
      </c>
      <c r="C1692">
        <v>2790</v>
      </c>
      <c r="D1692" s="2">
        <v>44173</v>
      </c>
      <c r="E1692" t="s">
        <v>25</v>
      </c>
      <c r="F1692">
        <v>2790</v>
      </c>
      <c r="G1692">
        <v>0</v>
      </c>
    </row>
    <row r="1693" spans="1:7" x14ac:dyDescent="0.3">
      <c r="A1693" s="2">
        <v>44174</v>
      </c>
      <c r="B1693" t="s">
        <v>894</v>
      </c>
      <c r="C1693">
        <v>2130</v>
      </c>
      <c r="D1693" s="2">
        <v>44174</v>
      </c>
      <c r="E1693" t="s">
        <v>25</v>
      </c>
      <c r="F1693">
        <v>2130</v>
      </c>
      <c r="G1693">
        <v>0</v>
      </c>
    </row>
    <row r="1694" spans="1:7" x14ac:dyDescent="0.3">
      <c r="A1694" s="2">
        <v>44175</v>
      </c>
      <c r="B1694" t="s">
        <v>895</v>
      </c>
      <c r="C1694">
        <v>701.25</v>
      </c>
      <c r="D1694" s="2">
        <v>44175</v>
      </c>
      <c r="E1694" t="s">
        <v>25</v>
      </c>
      <c r="F1694">
        <v>701.25</v>
      </c>
      <c r="G1694">
        <v>0</v>
      </c>
    </row>
    <row r="1695" spans="1:7" x14ac:dyDescent="0.3">
      <c r="A1695" s="2">
        <v>44175</v>
      </c>
      <c r="B1695" t="s">
        <v>896</v>
      </c>
      <c r="C1695">
        <v>-7.95</v>
      </c>
      <c r="D1695" s="2">
        <v>44175</v>
      </c>
      <c r="E1695" t="s">
        <v>27</v>
      </c>
      <c r="F1695">
        <v>-7.95</v>
      </c>
      <c r="G1695">
        <v>0</v>
      </c>
    </row>
    <row r="1696" spans="1:7" x14ac:dyDescent="0.3">
      <c r="A1696" s="2">
        <v>44175</v>
      </c>
      <c r="B1696" t="s">
        <v>166</v>
      </c>
      <c r="C1696">
        <v>-9.99</v>
      </c>
      <c r="D1696" s="2">
        <v>44175</v>
      </c>
      <c r="E1696" t="s">
        <v>27</v>
      </c>
      <c r="F1696">
        <v>-9.99</v>
      </c>
      <c r="G1696">
        <v>0</v>
      </c>
    </row>
    <row r="1697" spans="1:7" x14ac:dyDescent="0.3">
      <c r="A1697" s="2">
        <v>44175</v>
      </c>
      <c r="B1697" t="s">
        <v>897</v>
      </c>
      <c r="C1697">
        <v>-16.95</v>
      </c>
      <c r="D1697" s="2">
        <v>44175</v>
      </c>
      <c r="E1697" t="s">
        <v>27</v>
      </c>
      <c r="F1697">
        <v>-16.95</v>
      </c>
      <c r="G1697">
        <v>0</v>
      </c>
    </row>
    <row r="1698" spans="1:7" x14ac:dyDescent="0.3">
      <c r="A1698" s="2">
        <v>44176</v>
      </c>
      <c r="B1698" t="s">
        <v>898</v>
      </c>
      <c r="C1698">
        <v>2940</v>
      </c>
      <c r="D1698" s="2">
        <v>44176</v>
      </c>
      <c r="E1698" t="s">
        <v>25</v>
      </c>
      <c r="F1698">
        <v>2940</v>
      </c>
      <c r="G1698">
        <v>0</v>
      </c>
    </row>
    <row r="1699" spans="1:7" x14ac:dyDescent="0.3">
      <c r="A1699" s="2">
        <v>44176</v>
      </c>
      <c r="B1699" t="s">
        <v>899</v>
      </c>
      <c r="C1699">
        <v>-500</v>
      </c>
      <c r="D1699" s="2">
        <v>44176</v>
      </c>
      <c r="E1699" t="s">
        <v>27</v>
      </c>
      <c r="F1699">
        <v>-500</v>
      </c>
      <c r="G1699">
        <v>0</v>
      </c>
    </row>
    <row r="1700" spans="1:7" x14ac:dyDescent="0.3">
      <c r="A1700" s="2">
        <v>44179</v>
      </c>
      <c r="B1700" t="s">
        <v>900</v>
      </c>
      <c r="C1700">
        <v>206.25</v>
      </c>
      <c r="D1700" s="2">
        <v>44179</v>
      </c>
      <c r="E1700" t="s">
        <v>25</v>
      </c>
      <c r="F1700">
        <v>206.25</v>
      </c>
      <c r="G1700">
        <v>0</v>
      </c>
    </row>
    <row r="1701" spans="1:7" x14ac:dyDescent="0.3">
      <c r="A1701" s="2">
        <v>44179</v>
      </c>
      <c r="B1701" t="s">
        <v>901</v>
      </c>
      <c r="C1701">
        <v>300</v>
      </c>
      <c r="D1701" s="2">
        <v>44179</v>
      </c>
      <c r="E1701" t="s">
        <v>25</v>
      </c>
      <c r="F1701">
        <v>300</v>
      </c>
      <c r="G1701">
        <v>0</v>
      </c>
    </row>
    <row r="1702" spans="1:7" x14ac:dyDescent="0.3">
      <c r="A1702" s="2">
        <v>44179</v>
      </c>
      <c r="B1702" t="s">
        <v>172</v>
      </c>
      <c r="C1702">
        <v>-84.05</v>
      </c>
      <c r="D1702" s="2">
        <v>44179</v>
      </c>
      <c r="E1702" t="s">
        <v>27</v>
      </c>
      <c r="F1702">
        <v>-84.05</v>
      </c>
      <c r="G1702">
        <v>0</v>
      </c>
    </row>
    <row r="1703" spans="1:7" x14ac:dyDescent="0.3">
      <c r="A1703" s="2">
        <v>44179</v>
      </c>
      <c r="B1703" t="s">
        <v>171</v>
      </c>
      <c r="C1703">
        <v>-19.59</v>
      </c>
      <c r="D1703" s="2">
        <v>44179</v>
      </c>
      <c r="E1703" t="s">
        <v>27</v>
      </c>
      <c r="F1703">
        <v>-19.59</v>
      </c>
      <c r="G1703">
        <v>0</v>
      </c>
    </row>
    <row r="1704" spans="1:7" x14ac:dyDescent="0.3">
      <c r="A1704" s="2">
        <v>44179</v>
      </c>
      <c r="B1704" t="s">
        <v>901</v>
      </c>
      <c r="C1704">
        <v>5165</v>
      </c>
      <c r="D1704" s="2">
        <v>44179</v>
      </c>
      <c r="E1704" t="s">
        <v>25</v>
      </c>
      <c r="F1704">
        <v>5165</v>
      </c>
      <c r="G1704">
        <v>0</v>
      </c>
    </row>
    <row r="1705" spans="1:7" x14ac:dyDescent="0.3">
      <c r="A1705" s="2">
        <v>44181</v>
      </c>
      <c r="B1705" t="s">
        <v>902</v>
      </c>
      <c r="C1705">
        <v>7465</v>
      </c>
      <c r="D1705" s="2">
        <v>44181</v>
      </c>
      <c r="E1705" t="s">
        <v>25</v>
      </c>
      <c r="F1705">
        <v>7465</v>
      </c>
      <c r="G1705">
        <v>0</v>
      </c>
    </row>
    <row r="1706" spans="1:7" x14ac:dyDescent="0.3">
      <c r="A1706" s="2">
        <v>44181</v>
      </c>
      <c r="B1706" t="s">
        <v>31</v>
      </c>
      <c r="C1706">
        <v>8800</v>
      </c>
      <c r="D1706" s="2">
        <v>44181</v>
      </c>
      <c r="E1706" t="s">
        <v>25</v>
      </c>
      <c r="F1706">
        <v>8800</v>
      </c>
      <c r="G1706">
        <v>0</v>
      </c>
    </row>
    <row r="1707" spans="1:7" x14ac:dyDescent="0.3">
      <c r="A1707" s="2">
        <v>44181</v>
      </c>
      <c r="B1707" t="s">
        <v>31</v>
      </c>
      <c r="C1707">
        <v>7300</v>
      </c>
      <c r="D1707" s="2">
        <v>44181</v>
      </c>
      <c r="E1707" t="s">
        <v>25</v>
      </c>
      <c r="F1707">
        <v>7300</v>
      </c>
      <c r="G1707">
        <v>0</v>
      </c>
    </row>
    <row r="1708" spans="1:7" x14ac:dyDescent="0.3">
      <c r="A1708" s="2">
        <v>44181</v>
      </c>
      <c r="B1708" t="s">
        <v>31</v>
      </c>
      <c r="C1708">
        <v>7300</v>
      </c>
      <c r="D1708" s="2">
        <v>44181</v>
      </c>
      <c r="E1708" t="s">
        <v>25</v>
      </c>
      <c r="F1708">
        <v>7300</v>
      </c>
      <c r="G1708">
        <v>0</v>
      </c>
    </row>
    <row r="1709" spans="1:7" x14ac:dyDescent="0.3">
      <c r="A1709" s="2">
        <v>44181</v>
      </c>
      <c r="B1709" t="s">
        <v>31</v>
      </c>
      <c r="C1709">
        <v>330</v>
      </c>
      <c r="D1709" s="2">
        <v>44181</v>
      </c>
      <c r="E1709" t="s">
        <v>25</v>
      </c>
      <c r="F1709">
        <v>330</v>
      </c>
      <c r="G1709">
        <v>0</v>
      </c>
    </row>
    <row r="1710" spans="1:7" x14ac:dyDescent="0.3">
      <c r="A1710" s="2">
        <v>44182</v>
      </c>
      <c r="B1710" t="s">
        <v>903</v>
      </c>
      <c r="C1710">
        <v>1641.25</v>
      </c>
      <c r="D1710" s="2">
        <v>44182</v>
      </c>
      <c r="E1710" t="s">
        <v>25</v>
      </c>
      <c r="F1710">
        <v>1641.25</v>
      </c>
      <c r="G1710">
        <v>0</v>
      </c>
    </row>
    <row r="1711" spans="1:7" x14ac:dyDescent="0.3">
      <c r="A1711" s="2">
        <v>44183</v>
      </c>
      <c r="B1711" t="s">
        <v>904</v>
      </c>
      <c r="C1711">
        <v>-7.95</v>
      </c>
      <c r="D1711" s="2">
        <v>44183</v>
      </c>
      <c r="E1711" t="s">
        <v>27</v>
      </c>
      <c r="F1711">
        <v>-7.95</v>
      </c>
      <c r="G1711">
        <v>0</v>
      </c>
    </row>
    <row r="1712" spans="1:7" x14ac:dyDescent="0.3">
      <c r="A1712" s="2">
        <v>44183</v>
      </c>
      <c r="B1712" t="s">
        <v>905</v>
      </c>
      <c r="C1712">
        <v>701.25</v>
      </c>
      <c r="D1712" s="2">
        <v>44183</v>
      </c>
      <c r="E1712" t="s">
        <v>25</v>
      </c>
      <c r="F1712">
        <v>701.25</v>
      </c>
      <c r="G1712">
        <v>0</v>
      </c>
    </row>
    <row r="1713" spans="1:7" x14ac:dyDescent="0.3">
      <c r="A1713" s="2">
        <v>44183</v>
      </c>
      <c r="B1713" t="s">
        <v>906</v>
      </c>
      <c r="C1713">
        <v>-7.95</v>
      </c>
      <c r="D1713" s="2">
        <v>44183</v>
      </c>
      <c r="E1713" t="s">
        <v>27</v>
      </c>
      <c r="F1713">
        <v>-7.95</v>
      </c>
      <c r="G1713">
        <v>0</v>
      </c>
    </row>
    <row r="1714" spans="1:7" x14ac:dyDescent="0.3">
      <c r="A1714" s="2">
        <v>44186</v>
      </c>
      <c r="B1714" t="s">
        <v>907</v>
      </c>
      <c r="C1714">
        <v>2160</v>
      </c>
      <c r="D1714" s="2">
        <v>44186</v>
      </c>
      <c r="E1714" t="s">
        <v>25</v>
      </c>
      <c r="F1714">
        <v>2160</v>
      </c>
      <c r="G1714">
        <v>0</v>
      </c>
    </row>
    <row r="1715" spans="1:7" x14ac:dyDescent="0.3">
      <c r="A1715" s="2">
        <v>44186</v>
      </c>
      <c r="B1715" t="s">
        <v>908</v>
      </c>
      <c r="C1715">
        <v>-275</v>
      </c>
      <c r="D1715" s="2">
        <v>44186</v>
      </c>
      <c r="E1715" t="s">
        <v>27</v>
      </c>
      <c r="F1715">
        <v>-275</v>
      </c>
      <c r="G1715">
        <v>0</v>
      </c>
    </row>
    <row r="1716" spans="1:7" x14ac:dyDescent="0.3">
      <c r="A1716" s="2">
        <v>44186</v>
      </c>
      <c r="B1716" t="s">
        <v>909</v>
      </c>
      <c r="C1716">
        <v>1040</v>
      </c>
      <c r="D1716" s="2">
        <v>44186</v>
      </c>
      <c r="E1716" t="s">
        <v>25</v>
      </c>
      <c r="F1716">
        <v>1040</v>
      </c>
      <c r="G1716">
        <v>0</v>
      </c>
    </row>
    <row r="1717" spans="1:7" x14ac:dyDescent="0.3">
      <c r="A1717" s="2">
        <v>44186</v>
      </c>
      <c r="B1717" t="s">
        <v>908</v>
      </c>
      <c r="C1717">
        <v>371.25</v>
      </c>
      <c r="D1717" s="2">
        <v>44186</v>
      </c>
      <c r="E1717" t="s">
        <v>25</v>
      </c>
      <c r="F1717">
        <v>371.25</v>
      </c>
      <c r="G1717">
        <v>0</v>
      </c>
    </row>
    <row r="1718" spans="1:7" x14ac:dyDescent="0.3">
      <c r="A1718" s="2">
        <v>44186</v>
      </c>
      <c r="B1718" t="s">
        <v>908</v>
      </c>
      <c r="C1718">
        <v>5742.5</v>
      </c>
      <c r="D1718" s="2">
        <v>44186</v>
      </c>
      <c r="E1718" t="s">
        <v>25</v>
      </c>
      <c r="F1718">
        <v>5742.5</v>
      </c>
      <c r="G1718">
        <v>0</v>
      </c>
    </row>
    <row r="1719" spans="1:7" x14ac:dyDescent="0.3">
      <c r="A1719" s="2">
        <v>44188</v>
      </c>
      <c r="B1719" t="s">
        <v>910</v>
      </c>
      <c r="C1719">
        <v>165</v>
      </c>
      <c r="D1719" s="2">
        <v>44188</v>
      </c>
      <c r="E1719" t="s">
        <v>25</v>
      </c>
      <c r="F1719">
        <v>165</v>
      </c>
      <c r="G1719">
        <v>0</v>
      </c>
    </row>
    <row r="1720" spans="1:7" x14ac:dyDescent="0.3">
      <c r="A1720" s="2">
        <v>44189</v>
      </c>
      <c r="B1720" t="s">
        <v>911</v>
      </c>
      <c r="C1720">
        <v>836.25</v>
      </c>
      <c r="D1720" s="2">
        <v>44189</v>
      </c>
      <c r="E1720" t="s">
        <v>25</v>
      </c>
      <c r="F1720">
        <v>836.25</v>
      </c>
      <c r="G1720">
        <v>0</v>
      </c>
    </row>
    <row r="1721" spans="1:7" x14ac:dyDescent="0.3">
      <c r="A1721" s="2">
        <v>44193</v>
      </c>
      <c r="B1721" t="s">
        <v>912</v>
      </c>
      <c r="C1721">
        <v>465</v>
      </c>
      <c r="D1721" s="2">
        <v>44193</v>
      </c>
      <c r="E1721" t="s">
        <v>25</v>
      </c>
      <c r="F1721">
        <v>465</v>
      </c>
      <c r="G1721">
        <v>0</v>
      </c>
    </row>
    <row r="1722" spans="1:7" x14ac:dyDescent="0.3">
      <c r="A1722" s="2">
        <v>44193</v>
      </c>
      <c r="B1722" t="s">
        <v>913</v>
      </c>
      <c r="C1722">
        <v>1800</v>
      </c>
      <c r="D1722" s="2">
        <v>44193</v>
      </c>
      <c r="E1722" t="s">
        <v>25</v>
      </c>
      <c r="F1722">
        <v>1800</v>
      </c>
      <c r="G1722">
        <v>0</v>
      </c>
    </row>
    <row r="1723" spans="1:7" x14ac:dyDescent="0.3">
      <c r="A1723" s="2">
        <v>44194</v>
      </c>
      <c r="B1723" t="s">
        <v>914</v>
      </c>
      <c r="C1723">
        <v>465</v>
      </c>
      <c r="D1723" s="2">
        <v>44194</v>
      </c>
      <c r="E1723" t="s">
        <v>25</v>
      </c>
      <c r="F1723">
        <v>465</v>
      </c>
      <c r="G1723">
        <v>0</v>
      </c>
    </row>
    <row r="1724" spans="1:7" x14ac:dyDescent="0.3">
      <c r="A1724" s="2">
        <v>44194</v>
      </c>
      <c r="B1724" t="s">
        <v>186</v>
      </c>
      <c r="C1724">
        <v>-70.77</v>
      </c>
      <c r="D1724" s="2">
        <v>44194</v>
      </c>
      <c r="E1724" t="s">
        <v>27</v>
      </c>
      <c r="F1724">
        <v>-70.77</v>
      </c>
      <c r="G1724">
        <v>0</v>
      </c>
    </row>
    <row r="1725" spans="1:7" x14ac:dyDescent="0.3">
      <c r="A1725" s="2">
        <v>44195</v>
      </c>
      <c r="B1725" t="s">
        <v>915</v>
      </c>
      <c r="C1725">
        <v>-4700</v>
      </c>
      <c r="D1725" s="2">
        <v>44195</v>
      </c>
      <c r="E1725" t="s">
        <v>27</v>
      </c>
      <c r="F1725">
        <v>-4700</v>
      </c>
      <c r="G1725">
        <v>0</v>
      </c>
    </row>
    <row r="1726" spans="1:7" x14ac:dyDescent="0.3">
      <c r="A1726" s="2">
        <v>44195</v>
      </c>
      <c r="B1726" t="s">
        <v>916</v>
      </c>
      <c r="C1726">
        <v>300</v>
      </c>
      <c r="D1726" s="2">
        <v>44195</v>
      </c>
      <c r="E1726" t="s">
        <v>25</v>
      </c>
      <c r="F1726">
        <v>300</v>
      </c>
      <c r="G1726">
        <v>0</v>
      </c>
    </row>
    <row r="1727" spans="1:7" x14ac:dyDescent="0.3">
      <c r="A1727" s="2">
        <v>44195</v>
      </c>
      <c r="B1727" t="s">
        <v>917</v>
      </c>
      <c r="C1727">
        <v>825</v>
      </c>
      <c r="D1727" s="2">
        <v>44195</v>
      </c>
      <c r="E1727" t="s">
        <v>25</v>
      </c>
      <c r="F1727">
        <v>825</v>
      </c>
      <c r="G1727">
        <v>0</v>
      </c>
    </row>
    <row r="1728" spans="1:7" x14ac:dyDescent="0.3">
      <c r="A1728" s="2">
        <v>44196</v>
      </c>
      <c r="B1728" t="s">
        <v>918</v>
      </c>
      <c r="C1728">
        <v>1650</v>
      </c>
      <c r="D1728" s="2">
        <v>44196</v>
      </c>
      <c r="E1728" t="s">
        <v>25</v>
      </c>
      <c r="F1728">
        <v>1650</v>
      </c>
      <c r="G1728">
        <v>0</v>
      </c>
    </row>
    <row r="1729" spans="1:7" x14ac:dyDescent="0.3">
      <c r="A1729" s="2">
        <v>44200</v>
      </c>
      <c r="B1729" t="s">
        <v>919</v>
      </c>
      <c r="C1729">
        <v>1320</v>
      </c>
      <c r="D1729" s="2">
        <v>44200</v>
      </c>
      <c r="E1729" t="s">
        <v>25</v>
      </c>
      <c r="F1729">
        <v>1320</v>
      </c>
      <c r="G1729">
        <v>0</v>
      </c>
    </row>
    <row r="1730" spans="1:7" x14ac:dyDescent="0.3">
      <c r="A1730" s="2">
        <v>44200</v>
      </c>
      <c r="B1730" t="s">
        <v>920</v>
      </c>
      <c r="C1730">
        <v>2685</v>
      </c>
      <c r="D1730" s="2">
        <v>44200</v>
      </c>
      <c r="E1730" t="s">
        <v>25</v>
      </c>
      <c r="F1730">
        <v>2685</v>
      </c>
      <c r="G1730">
        <v>0</v>
      </c>
    </row>
    <row r="1731" spans="1:7" x14ac:dyDescent="0.3">
      <c r="A1731" s="2">
        <v>44200</v>
      </c>
      <c r="B1731" t="s">
        <v>921</v>
      </c>
      <c r="C1731">
        <v>13901.25</v>
      </c>
      <c r="D1731" s="2">
        <v>44200</v>
      </c>
      <c r="E1731" t="s">
        <v>25</v>
      </c>
      <c r="F1731">
        <v>13901.25</v>
      </c>
      <c r="G1731">
        <v>0</v>
      </c>
    </row>
    <row r="1732" spans="1:7" x14ac:dyDescent="0.3">
      <c r="A1732" s="2">
        <v>44200</v>
      </c>
      <c r="B1732" t="s">
        <v>919</v>
      </c>
      <c r="C1732">
        <v>1125</v>
      </c>
      <c r="D1732" s="2">
        <v>44200</v>
      </c>
      <c r="E1732" t="s">
        <v>25</v>
      </c>
      <c r="F1732">
        <v>1125</v>
      </c>
      <c r="G1732">
        <v>0</v>
      </c>
    </row>
    <row r="1733" spans="1:7" x14ac:dyDescent="0.3">
      <c r="A1733" s="2">
        <v>44200</v>
      </c>
      <c r="B1733" t="s">
        <v>188</v>
      </c>
      <c r="C1733">
        <v>-30</v>
      </c>
      <c r="D1733" s="2">
        <v>44200</v>
      </c>
      <c r="E1733" t="s">
        <v>27</v>
      </c>
      <c r="F1733">
        <v>-30</v>
      </c>
      <c r="G1733">
        <v>0</v>
      </c>
    </row>
    <row r="1734" spans="1:7" x14ac:dyDescent="0.3">
      <c r="A1734" s="2">
        <v>44201</v>
      </c>
      <c r="B1734" t="s">
        <v>922</v>
      </c>
      <c r="C1734">
        <v>495</v>
      </c>
      <c r="D1734" s="2">
        <v>44201</v>
      </c>
      <c r="E1734" t="s">
        <v>25</v>
      </c>
      <c r="F1734">
        <v>495</v>
      </c>
      <c r="G1734">
        <v>0</v>
      </c>
    </row>
    <row r="1735" spans="1:7" x14ac:dyDescent="0.3">
      <c r="A1735" s="2">
        <v>44202</v>
      </c>
      <c r="B1735" t="s">
        <v>923</v>
      </c>
      <c r="C1735">
        <v>12940</v>
      </c>
      <c r="D1735" s="2">
        <v>44202</v>
      </c>
      <c r="E1735" t="s">
        <v>25</v>
      </c>
      <c r="F1735">
        <v>12940</v>
      </c>
      <c r="G1735">
        <v>0</v>
      </c>
    </row>
    <row r="1736" spans="1:7" x14ac:dyDescent="0.3">
      <c r="A1736" s="2">
        <v>44202</v>
      </c>
      <c r="B1736" t="s">
        <v>189</v>
      </c>
      <c r="C1736">
        <v>-34.950000000000003</v>
      </c>
      <c r="D1736" s="2">
        <v>44202</v>
      </c>
      <c r="E1736" t="s">
        <v>27</v>
      </c>
      <c r="F1736">
        <v>-34.950000000000003</v>
      </c>
      <c r="G1736">
        <v>0</v>
      </c>
    </row>
    <row r="1737" spans="1:7" x14ac:dyDescent="0.3">
      <c r="A1737" s="2">
        <v>44203</v>
      </c>
      <c r="B1737" t="s">
        <v>924</v>
      </c>
      <c r="C1737">
        <v>2250</v>
      </c>
      <c r="D1737" s="2">
        <v>44203</v>
      </c>
      <c r="E1737" t="s">
        <v>25</v>
      </c>
      <c r="F1737">
        <v>2250</v>
      </c>
      <c r="G1737">
        <v>0</v>
      </c>
    </row>
    <row r="1738" spans="1:7" x14ac:dyDescent="0.3">
      <c r="A1738" s="2">
        <v>44204</v>
      </c>
      <c r="B1738" t="s">
        <v>925</v>
      </c>
      <c r="C1738">
        <v>10990</v>
      </c>
      <c r="D1738" s="2">
        <v>44204</v>
      </c>
      <c r="E1738" t="s">
        <v>25</v>
      </c>
      <c r="F1738">
        <v>10990</v>
      </c>
      <c r="G1738">
        <v>0</v>
      </c>
    </row>
    <row r="1739" spans="1:7" x14ac:dyDescent="0.3">
      <c r="A1739" s="2">
        <v>44207</v>
      </c>
      <c r="B1739" t="s">
        <v>191</v>
      </c>
      <c r="C1739">
        <v>-9.99</v>
      </c>
      <c r="D1739" s="2">
        <v>44207</v>
      </c>
      <c r="E1739" t="s">
        <v>27</v>
      </c>
      <c r="F1739">
        <v>-9.99</v>
      </c>
      <c r="G1739">
        <v>0</v>
      </c>
    </row>
    <row r="1740" spans="1:7" x14ac:dyDescent="0.3">
      <c r="A1740" s="2">
        <v>44207</v>
      </c>
      <c r="B1740" t="s">
        <v>926</v>
      </c>
      <c r="C1740">
        <v>-16.95</v>
      </c>
      <c r="D1740" s="2">
        <v>44207</v>
      </c>
      <c r="E1740" t="s">
        <v>27</v>
      </c>
      <c r="F1740">
        <v>-16.95</v>
      </c>
      <c r="G1740">
        <v>0</v>
      </c>
    </row>
    <row r="1741" spans="1:7" x14ac:dyDescent="0.3">
      <c r="A1741" s="2">
        <v>44207</v>
      </c>
      <c r="B1741" t="s">
        <v>927</v>
      </c>
      <c r="C1741">
        <v>995</v>
      </c>
      <c r="D1741" s="2">
        <v>44207</v>
      </c>
      <c r="E1741" t="s">
        <v>25</v>
      </c>
      <c r="F1741">
        <v>995</v>
      </c>
      <c r="G1741">
        <v>0</v>
      </c>
    </row>
    <row r="1742" spans="1:7" x14ac:dyDescent="0.3">
      <c r="A1742" s="2">
        <v>44207</v>
      </c>
      <c r="B1742" t="s">
        <v>928</v>
      </c>
      <c r="C1742">
        <v>6875</v>
      </c>
      <c r="D1742" s="2">
        <v>44207</v>
      </c>
      <c r="E1742" t="s">
        <v>25</v>
      </c>
      <c r="F1742">
        <v>6875</v>
      </c>
      <c r="G1742">
        <v>0</v>
      </c>
    </row>
    <row r="1743" spans="1:7" x14ac:dyDescent="0.3">
      <c r="A1743" s="2">
        <v>44207</v>
      </c>
      <c r="B1743" t="s">
        <v>927</v>
      </c>
      <c r="C1743">
        <v>3315</v>
      </c>
      <c r="D1743" s="2">
        <v>44207</v>
      </c>
      <c r="E1743" t="s">
        <v>25</v>
      </c>
      <c r="F1743">
        <v>3315</v>
      </c>
      <c r="G1743">
        <v>0</v>
      </c>
    </row>
    <row r="1744" spans="1:7" x14ac:dyDescent="0.3">
      <c r="A1744" s="2">
        <v>44208</v>
      </c>
      <c r="B1744" t="s">
        <v>929</v>
      </c>
      <c r="C1744">
        <v>165</v>
      </c>
      <c r="D1744" s="2">
        <v>44208</v>
      </c>
      <c r="E1744" t="s">
        <v>25</v>
      </c>
      <c r="F1744">
        <v>165</v>
      </c>
      <c r="G1744">
        <v>0</v>
      </c>
    </row>
    <row r="1745" spans="1:7" x14ac:dyDescent="0.3">
      <c r="A1745" s="2">
        <v>44209</v>
      </c>
      <c r="B1745" t="s">
        <v>930</v>
      </c>
      <c r="C1745">
        <v>4800</v>
      </c>
      <c r="D1745" s="2">
        <v>44209</v>
      </c>
      <c r="E1745" t="s">
        <v>25</v>
      </c>
      <c r="F1745">
        <v>4800</v>
      </c>
      <c r="G1745">
        <v>0</v>
      </c>
    </row>
    <row r="1746" spans="1:7" x14ac:dyDescent="0.3">
      <c r="A1746" s="2">
        <v>44209</v>
      </c>
      <c r="B1746" t="s">
        <v>931</v>
      </c>
      <c r="C1746">
        <v>1810</v>
      </c>
      <c r="D1746" s="2">
        <v>44209</v>
      </c>
      <c r="E1746" t="s">
        <v>25</v>
      </c>
      <c r="F1746">
        <v>1810</v>
      </c>
      <c r="G1746">
        <v>0</v>
      </c>
    </row>
    <row r="1747" spans="1:7" x14ac:dyDescent="0.3">
      <c r="A1747" s="2">
        <v>44209</v>
      </c>
      <c r="B1747" t="s">
        <v>197</v>
      </c>
      <c r="C1747">
        <v>-19.59</v>
      </c>
      <c r="D1747" s="2">
        <v>44209</v>
      </c>
      <c r="E1747" t="s">
        <v>27</v>
      </c>
      <c r="F1747">
        <v>-19.59</v>
      </c>
      <c r="G1747">
        <v>0</v>
      </c>
    </row>
    <row r="1748" spans="1:7" x14ac:dyDescent="0.3">
      <c r="A1748" s="2">
        <v>44210</v>
      </c>
      <c r="B1748" t="s">
        <v>196</v>
      </c>
      <c r="C1748">
        <v>-84.56</v>
      </c>
      <c r="D1748" s="2">
        <v>44210</v>
      </c>
      <c r="E1748" t="s">
        <v>27</v>
      </c>
      <c r="F1748">
        <v>-84.56</v>
      </c>
      <c r="G1748">
        <v>0</v>
      </c>
    </row>
    <row r="1749" spans="1:7" x14ac:dyDescent="0.3">
      <c r="A1749" s="2">
        <v>44210</v>
      </c>
      <c r="B1749" t="s">
        <v>932</v>
      </c>
      <c r="C1749">
        <v>9345</v>
      </c>
      <c r="D1749" s="2">
        <v>44210</v>
      </c>
      <c r="E1749" t="s">
        <v>25</v>
      </c>
      <c r="F1749">
        <v>9345</v>
      </c>
      <c r="G1749">
        <v>0</v>
      </c>
    </row>
    <row r="1750" spans="1:7" x14ac:dyDescent="0.3">
      <c r="A1750" s="2">
        <v>44211</v>
      </c>
      <c r="B1750" t="s">
        <v>933</v>
      </c>
      <c r="C1750">
        <v>2775</v>
      </c>
      <c r="D1750" s="2">
        <v>44211</v>
      </c>
      <c r="E1750" t="s">
        <v>25</v>
      </c>
      <c r="F1750">
        <v>2775</v>
      </c>
      <c r="G1750">
        <v>0</v>
      </c>
    </row>
    <row r="1751" spans="1:7" x14ac:dyDescent="0.3">
      <c r="A1751" s="2">
        <v>44211</v>
      </c>
      <c r="B1751" t="s">
        <v>469</v>
      </c>
      <c r="C1751">
        <v>1500</v>
      </c>
      <c r="D1751" s="2">
        <v>44211</v>
      </c>
      <c r="E1751" t="s">
        <v>25</v>
      </c>
      <c r="F1751">
        <v>1500</v>
      </c>
      <c r="G1751">
        <v>0</v>
      </c>
    </row>
    <row r="1752" spans="1:7" x14ac:dyDescent="0.3">
      <c r="A1752" s="2">
        <v>44215</v>
      </c>
      <c r="B1752" t="s">
        <v>934</v>
      </c>
      <c r="C1752">
        <v>2695</v>
      </c>
      <c r="D1752" s="2">
        <v>44215</v>
      </c>
      <c r="E1752" t="s">
        <v>25</v>
      </c>
      <c r="F1752">
        <v>2695</v>
      </c>
      <c r="G1752">
        <v>0</v>
      </c>
    </row>
    <row r="1753" spans="1:7" x14ac:dyDescent="0.3">
      <c r="A1753" s="2">
        <v>44215</v>
      </c>
      <c r="B1753" t="s">
        <v>934</v>
      </c>
      <c r="C1753">
        <v>1025</v>
      </c>
      <c r="D1753" s="2">
        <v>44215</v>
      </c>
      <c r="E1753" t="s">
        <v>25</v>
      </c>
      <c r="F1753">
        <v>1025</v>
      </c>
      <c r="G1753">
        <v>0</v>
      </c>
    </row>
    <row r="1754" spans="1:7" x14ac:dyDescent="0.3">
      <c r="A1754" s="2">
        <v>44215</v>
      </c>
      <c r="B1754" t="s">
        <v>31</v>
      </c>
      <c r="C1754">
        <v>7300</v>
      </c>
      <c r="D1754" s="2">
        <v>44215</v>
      </c>
      <c r="E1754" t="s">
        <v>25</v>
      </c>
      <c r="F1754">
        <v>7300</v>
      </c>
      <c r="G1754">
        <v>0</v>
      </c>
    </row>
    <row r="1755" spans="1:7" x14ac:dyDescent="0.3">
      <c r="A1755" s="2">
        <v>44215</v>
      </c>
      <c r="B1755" t="s">
        <v>935</v>
      </c>
      <c r="C1755">
        <v>-7.95</v>
      </c>
      <c r="D1755" s="2">
        <v>44215</v>
      </c>
      <c r="E1755" t="s">
        <v>27</v>
      </c>
      <c r="F1755">
        <v>-7.95</v>
      </c>
      <c r="G1755">
        <v>0</v>
      </c>
    </row>
    <row r="1756" spans="1:7" x14ac:dyDescent="0.3">
      <c r="A1756" s="2">
        <v>44215</v>
      </c>
      <c r="B1756" t="s">
        <v>936</v>
      </c>
      <c r="C1756">
        <v>-7.95</v>
      </c>
      <c r="D1756" s="2">
        <v>44215</v>
      </c>
      <c r="E1756" t="s">
        <v>27</v>
      </c>
      <c r="F1756">
        <v>-7.95</v>
      </c>
      <c r="G1756">
        <v>0</v>
      </c>
    </row>
    <row r="1757" spans="1:7" x14ac:dyDescent="0.3">
      <c r="A1757" s="2">
        <v>44215</v>
      </c>
      <c r="B1757" t="s">
        <v>937</v>
      </c>
      <c r="C1757">
        <v>-66.72</v>
      </c>
      <c r="D1757" s="2">
        <v>44215</v>
      </c>
      <c r="E1757" t="s">
        <v>27</v>
      </c>
      <c r="F1757">
        <v>-66.72</v>
      </c>
      <c r="G1757">
        <v>0</v>
      </c>
    </row>
    <row r="1758" spans="1:7" x14ac:dyDescent="0.3">
      <c r="A1758" s="2">
        <v>44215</v>
      </c>
      <c r="B1758" t="s">
        <v>938</v>
      </c>
      <c r="C1758">
        <v>2660</v>
      </c>
      <c r="D1758" s="2">
        <v>44215</v>
      </c>
      <c r="E1758" t="s">
        <v>25</v>
      </c>
      <c r="F1758">
        <v>2660</v>
      </c>
      <c r="G1758">
        <v>0</v>
      </c>
    </row>
    <row r="1759" spans="1:7" x14ac:dyDescent="0.3">
      <c r="A1759" s="2">
        <v>44215</v>
      </c>
      <c r="B1759" t="s">
        <v>31</v>
      </c>
      <c r="C1759">
        <v>3000</v>
      </c>
      <c r="D1759" s="2">
        <v>44215</v>
      </c>
      <c r="E1759" t="s">
        <v>25</v>
      </c>
      <c r="F1759">
        <v>3000</v>
      </c>
      <c r="G1759">
        <v>0</v>
      </c>
    </row>
    <row r="1760" spans="1:7" x14ac:dyDescent="0.3">
      <c r="A1760" s="2">
        <v>44215</v>
      </c>
      <c r="B1760" t="s">
        <v>939</v>
      </c>
      <c r="C1760">
        <v>580</v>
      </c>
      <c r="D1760" s="2">
        <v>44215</v>
      </c>
      <c r="E1760" t="s">
        <v>25</v>
      </c>
      <c r="F1760">
        <v>580</v>
      </c>
      <c r="G1760">
        <v>0</v>
      </c>
    </row>
    <row r="1761" spans="1:7" x14ac:dyDescent="0.3">
      <c r="A1761" s="2">
        <v>44215</v>
      </c>
      <c r="B1761" t="s">
        <v>31</v>
      </c>
      <c r="C1761">
        <v>7300</v>
      </c>
      <c r="D1761" s="2">
        <v>44215</v>
      </c>
      <c r="E1761" t="s">
        <v>25</v>
      </c>
      <c r="F1761">
        <v>7300</v>
      </c>
      <c r="G1761">
        <v>0</v>
      </c>
    </row>
    <row r="1762" spans="1:7" x14ac:dyDescent="0.3">
      <c r="A1762" s="2">
        <v>44215</v>
      </c>
      <c r="B1762" t="s">
        <v>31</v>
      </c>
      <c r="C1762">
        <v>300</v>
      </c>
      <c r="D1762" s="2">
        <v>44215</v>
      </c>
      <c r="E1762" t="s">
        <v>25</v>
      </c>
      <c r="F1762">
        <v>300</v>
      </c>
      <c r="G1762">
        <v>0</v>
      </c>
    </row>
    <row r="1763" spans="1:7" x14ac:dyDescent="0.3">
      <c r="A1763" s="2">
        <v>44215</v>
      </c>
      <c r="B1763" t="s">
        <v>31</v>
      </c>
      <c r="C1763">
        <v>3000</v>
      </c>
      <c r="D1763" s="2">
        <v>44215</v>
      </c>
      <c r="E1763" t="s">
        <v>25</v>
      </c>
      <c r="F1763">
        <v>3000</v>
      </c>
      <c r="G1763">
        <v>0</v>
      </c>
    </row>
    <row r="1764" spans="1:7" x14ac:dyDescent="0.3">
      <c r="A1764" s="2">
        <v>44216</v>
      </c>
      <c r="B1764" t="s">
        <v>940</v>
      </c>
      <c r="C1764">
        <v>-7.95</v>
      </c>
      <c r="D1764" s="2">
        <v>44216</v>
      </c>
      <c r="E1764" t="s">
        <v>27</v>
      </c>
      <c r="F1764">
        <v>-7.95</v>
      </c>
      <c r="G1764">
        <v>0</v>
      </c>
    </row>
    <row r="1765" spans="1:7" x14ac:dyDescent="0.3">
      <c r="A1765" s="2">
        <v>44216</v>
      </c>
      <c r="B1765" t="s">
        <v>941</v>
      </c>
      <c r="C1765">
        <v>1740</v>
      </c>
      <c r="D1765" s="2">
        <v>44216</v>
      </c>
      <c r="E1765" t="s">
        <v>25</v>
      </c>
      <c r="F1765">
        <v>1740</v>
      </c>
      <c r="G1765">
        <v>0</v>
      </c>
    </row>
    <row r="1766" spans="1:7" x14ac:dyDescent="0.3">
      <c r="A1766" s="2">
        <v>44217</v>
      </c>
      <c r="B1766" t="s">
        <v>942</v>
      </c>
      <c r="C1766">
        <v>-197.46</v>
      </c>
      <c r="D1766" s="2">
        <v>44217</v>
      </c>
      <c r="E1766" t="s">
        <v>27</v>
      </c>
      <c r="F1766">
        <v>-197.46</v>
      </c>
      <c r="G1766">
        <v>0</v>
      </c>
    </row>
    <row r="1767" spans="1:7" x14ac:dyDescent="0.3">
      <c r="A1767" s="2">
        <v>44217</v>
      </c>
      <c r="B1767" t="s">
        <v>943</v>
      </c>
      <c r="C1767">
        <v>1880</v>
      </c>
      <c r="D1767" s="2">
        <v>44217</v>
      </c>
      <c r="E1767" t="s">
        <v>25</v>
      </c>
      <c r="F1767">
        <v>1880</v>
      </c>
      <c r="G1767">
        <v>0</v>
      </c>
    </row>
    <row r="1768" spans="1:7" x14ac:dyDescent="0.3">
      <c r="A1768" s="2">
        <v>44218</v>
      </c>
      <c r="B1768" t="s">
        <v>944</v>
      </c>
      <c r="C1768">
        <v>2035</v>
      </c>
      <c r="D1768" s="2">
        <v>44218</v>
      </c>
      <c r="E1768" t="s">
        <v>25</v>
      </c>
      <c r="F1768">
        <v>2035</v>
      </c>
      <c r="G1768">
        <v>0</v>
      </c>
    </row>
    <row r="1769" spans="1:7" x14ac:dyDescent="0.3">
      <c r="A1769" s="2">
        <v>44221</v>
      </c>
      <c r="B1769" t="s">
        <v>945</v>
      </c>
      <c r="C1769">
        <v>1265</v>
      </c>
      <c r="D1769" s="2">
        <v>44221</v>
      </c>
      <c r="E1769" t="s">
        <v>25</v>
      </c>
      <c r="F1769">
        <v>1265</v>
      </c>
      <c r="G1769">
        <v>0</v>
      </c>
    </row>
    <row r="1770" spans="1:7" x14ac:dyDescent="0.3">
      <c r="A1770" s="2">
        <v>44221</v>
      </c>
      <c r="B1770" t="s">
        <v>946</v>
      </c>
      <c r="C1770">
        <v>2505</v>
      </c>
      <c r="D1770" s="2">
        <v>44221</v>
      </c>
      <c r="E1770" t="s">
        <v>25</v>
      </c>
      <c r="F1770">
        <v>2505</v>
      </c>
      <c r="G1770">
        <v>0</v>
      </c>
    </row>
    <row r="1771" spans="1:7" x14ac:dyDescent="0.3">
      <c r="A1771" s="2">
        <v>44221</v>
      </c>
      <c r="B1771" t="s">
        <v>945</v>
      </c>
      <c r="C1771">
        <v>775</v>
      </c>
      <c r="D1771" s="2">
        <v>44221</v>
      </c>
      <c r="E1771" t="s">
        <v>25</v>
      </c>
      <c r="F1771">
        <v>775</v>
      </c>
      <c r="G1771">
        <v>0</v>
      </c>
    </row>
    <row r="1772" spans="1:7" x14ac:dyDescent="0.3">
      <c r="A1772" s="2">
        <v>44222</v>
      </c>
      <c r="B1772" t="s">
        <v>947</v>
      </c>
      <c r="C1772">
        <v>850</v>
      </c>
      <c r="D1772" s="2">
        <v>44222</v>
      </c>
      <c r="E1772" t="s">
        <v>25</v>
      </c>
      <c r="F1772">
        <v>850</v>
      </c>
      <c r="G1772">
        <v>0</v>
      </c>
    </row>
    <row r="1773" spans="1:7" x14ac:dyDescent="0.3">
      <c r="A1773" s="2">
        <v>44223</v>
      </c>
      <c r="B1773" t="s">
        <v>948</v>
      </c>
      <c r="C1773">
        <v>6050</v>
      </c>
      <c r="D1773" s="2">
        <v>44223</v>
      </c>
      <c r="E1773" t="s">
        <v>25</v>
      </c>
      <c r="F1773">
        <v>6050</v>
      </c>
      <c r="G1773">
        <v>0</v>
      </c>
    </row>
    <row r="1774" spans="1:7" x14ac:dyDescent="0.3">
      <c r="A1774" s="2">
        <v>44224</v>
      </c>
      <c r="B1774" t="s">
        <v>949</v>
      </c>
      <c r="C1774">
        <v>2120</v>
      </c>
      <c r="D1774" s="2">
        <v>44224</v>
      </c>
      <c r="E1774" t="s">
        <v>25</v>
      </c>
      <c r="F1774">
        <v>2120</v>
      </c>
      <c r="G1774">
        <v>0</v>
      </c>
    </row>
    <row r="1775" spans="1:7" x14ac:dyDescent="0.3">
      <c r="A1775" s="2">
        <v>44225</v>
      </c>
      <c r="B1775" t="s">
        <v>950</v>
      </c>
      <c r="C1775">
        <v>1820</v>
      </c>
      <c r="D1775" s="2">
        <v>44225</v>
      </c>
      <c r="E1775" t="s">
        <v>25</v>
      </c>
      <c r="F1775">
        <v>1820</v>
      </c>
      <c r="G1775">
        <v>0</v>
      </c>
    </row>
    <row r="1776" spans="1:7" x14ac:dyDescent="0.3">
      <c r="A1776" s="2">
        <v>44225</v>
      </c>
      <c r="B1776" t="s">
        <v>212</v>
      </c>
      <c r="C1776">
        <v>-70.77</v>
      </c>
      <c r="D1776" s="2">
        <v>44225</v>
      </c>
      <c r="E1776" t="s">
        <v>27</v>
      </c>
      <c r="F1776">
        <v>-70.77</v>
      </c>
      <c r="G1776">
        <v>0</v>
      </c>
    </row>
    <row r="1777" spans="1:7" x14ac:dyDescent="0.3">
      <c r="A1777" s="2">
        <v>44228</v>
      </c>
      <c r="B1777" t="s">
        <v>951</v>
      </c>
      <c r="C1777">
        <v>715</v>
      </c>
      <c r="D1777" s="2">
        <v>44228</v>
      </c>
      <c r="E1777" t="s">
        <v>25</v>
      </c>
      <c r="F1777">
        <v>715</v>
      </c>
      <c r="G1777">
        <v>0</v>
      </c>
    </row>
    <row r="1778" spans="1:7" x14ac:dyDescent="0.3">
      <c r="A1778" s="2">
        <v>44228</v>
      </c>
      <c r="B1778" t="s">
        <v>952</v>
      </c>
      <c r="C1778">
        <v>1850</v>
      </c>
      <c r="D1778" s="2">
        <v>44228</v>
      </c>
      <c r="E1778" t="s">
        <v>25</v>
      </c>
      <c r="F1778">
        <v>1850</v>
      </c>
      <c r="G1778">
        <v>0</v>
      </c>
    </row>
    <row r="1779" spans="1:7" x14ac:dyDescent="0.3">
      <c r="A1779" s="2">
        <v>44228</v>
      </c>
      <c r="B1779" t="s">
        <v>951</v>
      </c>
      <c r="C1779">
        <v>3155</v>
      </c>
      <c r="D1779" s="2">
        <v>44228</v>
      </c>
      <c r="E1779" t="s">
        <v>25</v>
      </c>
      <c r="F1779">
        <v>3155</v>
      </c>
      <c r="G1779">
        <v>0</v>
      </c>
    </row>
    <row r="1780" spans="1:7" x14ac:dyDescent="0.3">
      <c r="A1780" s="2">
        <v>44229</v>
      </c>
      <c r="B1780" t="s">
        <v>953</v>
      </c>
      <c r="C1780">
        <v>-30</v>
      </c>
      <c r="D1780" s="2">
        <v>44229</v>
      </c>
      <c r="E1780" t="s">
        <v>27</v>
      </c>
      <c r="F1780">
        <v>-30</v>
      </c>
      <c r="G1780">
        <v>0</v>
      </c>
    </row>
    <row r="1781" spans="1:7" x14ac:dyDescent="0.3">
      <c r="A1781" s="2">
        <v>44229</v>
      </c>
      <c r="B1781" t="s">
        <v>954</v>
      </c>
      <c r="C1781">
        <v>605</v>
      </c>
      <c r="D1781" s="2">
        <v>44229</v>
      </c>
      <c r="E1781" t="s">
        <v>25</v>
      </c>
      <c r="F1781">
        <v>605</v>
      </c>
      <c r="G1781">
        <v>0</v>
      </c>
    </row>
    <row r="1782" spans="1:7" x14ac:dyDescent="0.3">
      <c r="A1782" s="2">
        <v>44229</v>
      </c>
      <c r="B1782" t="s">
        <v>951</v>
      </c>
      <c r="C1782">
        <v>-3662.03</v>
      </c>
      <c r="D1782" s="2">
        <v>44229</v>
      </c>
      <c r="E1782" t="s">
        <v>27</v>
      </c>
      <c r="F1782">
        <v>-3662.03</v>
      </c>
      <c r="G1782">
        <v>0</v>
      </c>
    </row>
    <row r="1783" spans="1:7" x14ac:dyDescent="0.3">
      <c r="A1783" s="2">
        <v>44230</v>
      </c>
      <c r="B1783" t="s">
        <v>219</v>
      </c>
      <c r="C1783">
        <v>-34.950000000000003</v>
      </c>
      <c r="D1783" s="2">
        <v>44230</v>
      </c>
      <c r="E1783" t="s">
        <v>27</v>
      </c>
      <c r="F1783">
        <v>-34.950000000000003</v>
      </c>
      <c r="G1783">
        <v>0</v>
      </c>
    </row>
    <row r="1784" spans="1:7" x14ac:dyDescent="0.3">
      <c r="A1784" s="2">
        <v>44230</v>
      </c>
      <c r="B1784" t="s">
        <v>955</v>
      </c>
      <c r="C1784">
        <v>1320</v>
      </c>
      <c r="D1784" s="2">
        <v>44230</v>
      </c>
      <c r="E1784" t="s">
        <v>25</v>
      </c>
      <c r="F1784">
        <v>1320</v>
      </c>
      <c r="G1784">
        <v>0</v>
      </c>
    </row>
    <row r="1785" spans="1:7" x14ac:dyDescent="0.3">
      <c r="A1785" s="2">
        <v>44231</v>
      </c>
      <c r="B1785" t="s">
        <v>956</v>
      </c>
      <c r="C1785">
        <v>1820</v>
      </c>
      <c r="D1785" s="2">
        <v>44231</v>
      </c>
      <c r="E1785" t="s">
        <v>25</v>
      </c>
      <c r="F1785">
        <v>1820</v>
      </c>
      <c r="G1785">
        <v>0</v>
      </c>
    </row>
    <row r="1786" spans="1:7" x14ac:dyDescent="0.3">
      <c r="A1786" s="2">
        <v>44232</v>
      </c>
      <c r="B1786" t="s">
        <v>957</v>
      </c>
      <c r="C1786">
        <v>1210</v>
      </c>
      <c r="D1786" s="2">
        <v>44232</v>
      </c>
      <c r="E1786" t="s">
        <v>25</v>
      </c>
      <c r="F1786">
        <v>1210</v>
      </c>
      <c r="G1786">
        <v>0</v>
      </c>
    </row>
    <row r="1787" spans="1:7" x14ac:dyDescent="0.3">
      <c r="A1787" s="2">
        <v>44235</v>
      </c>
      <c r="B1787" t="s">
        <v>749</v>
      </c>
      <c r="C1787">
        <v>-500</v>
      </c>
      <c r="D1787" s="2">
        <v>44235</v>
      </c>
      <c r="E1787" t="s">
        <v>27</v>
      </c>
      <c r="F1787">
        <v>-500</v>
      </c>
      <c r="G1787">
        <v>0</v>
      </c>
    </row>
    <row r="1788" spans="1:7" x14ac:dyDescent="0.3">
      <c r="A1788" s="2">
        <v>44235</v>
      </c>
      <c r="B1788" t="s">
        <v>958</v>
      </c>
      <c r="C1788">
        <v>-1257.51</v>
      </c>
      <c r="D1788" s="2">
        <v>44235</v>
      </c>
      <c r="E1788" t="s">
        <v>27</v>
      </c>
      <c r="F1788">
        <v>-1257.51</v>
      </c>
      <c r="G1788">
        <v>0</v>
      </c>
    </row>
    <row r="1789" spans="1:7" x14ac:dyDescent="0.3">
      <c r="A1789" s="2">
        <v>44235</v>
      </c>
      <c r="B1789" t="s">
        <v>959</v>
      </c>
      <c r="C1789">
        <v>-16.71</v>
      </c>
      <c r="D1789" s="2">
        <v>44235</v>
      </c>
      <c r="E1789" t="s">
        <v>27</v>
      </c>
      <c r="F1789">
        <v>-16.71</v>
      </c>
      <c r="G1789">
        <v>0</v>
      </c>
    </row>
    <row r="1790" spans="1:7" x14ac:dyDescent="0.3">
      <c r="A1790" s="2">
        <v>44235</v>
      </c>
      <c r="B1790" t="s">
        <v>960</v>
      </c>
      <c r="C1790">
        <v>-457.2</v>
      </c>
      <c r="D1790" s="2">
        <v>44235</v>
      </c>
      <c r="E1790" t="s">
        <v>27</v>
      </c>
      <c r="F1790">
        <v>-457.2</v>
      </c>
      <c r="G1790">
        <v>0</v>
      </c>
    </row>
    <row r="1791" spans="1:7" x14ac:dyDescent="0.3">
      <c r="A1791" s="2">
        <v>44235</v>
      </c>
      <c r="B1791" t="s">
        <v>961</v>
      </c>
      <c r="C1791">
        <v>275</v>
      </c>
      <c r="D1791" s="2">
        <v>44235</v>
      </c>
      <c r="E1791" t="s">
        <v>25</v>
      </c>
      <c r="F1791">
        <v>275</v>
      </c>
      <c r="G1791">
        <v>0</v>
      </c>
    </row>
    <row r="1792" spans="1:7" x14ac:dyDescent="0.3">
      <c r="A1792" s="2">
        <v>44235</v>
      </c>
      <c r="B1792" t="s">
        <v>961</v>
      </c>
      <c r="C1792">
        <v>-405</v>
      </c>
      <c r="D1792" s="2">
        <v>44235</v>
      </c>
      <c r="E1792" t="s">
        <v>27</v>
      </c>
      <c r="F1792">
        <v>-405</v>
      </c>
      <c r="G1792">
        <v>0</v>
      </c>
    </row>
    <row r="1793" spans="1:7" x14ac:dyDescent="0.3">
      <c r="A1793" s="2">
        <v>44235</v>
      </c>
      <c r="B1793" t="s">
        <v>962</v>
      </c>
      <c r="C1793">
        <v>1150</v>
      </c>
      <c r="D1793" s="2">
        <v>44235</v>
      </c>
      <c r="E1793" t="s">
        <v>25</v>
      </c>
      <c r="F1793">
        <v>1150</v>
      </c>
      <c r="G1793">
        <v>0</v>
      </c>
    </row>
    <row r="1794" spans="1:7" x14ac:dyDescent="0.3">
      <c r="A1794" s="2">
        <v>44236</v>
      </c>
      <c r="B1794" t="s">
        <v>31</v>
      </c>
      <c r="C1794">
        <v>1200</v>
      </c>
      <c r="D1794" s="2">
        <v>44236</v>
      </c>
      <c r="E1794" t="s">
        <v>25</v>
      </c>
      <c r="F1794">
        <v>1200</v>
      </c>
      <c r="G1794">
        <v>0</v>
      </c>
    </row>
    <row r="1795" spans="1:7" x14ac:dyDescent="0.3">
      <c r="A1795" s="2">
        <v>44236</v>
      </c>
      <c r="B1795" t="s">
        <v>31</v>
      </c>
      <c r="C1795">
        <v>1500</v>
      </c>
      <c r="D1795" s="2">
        <v>44236</v>
      </c>
      <c r="E1795" t="s">
        <v>25</v>
      </c>
      <c r="F1795">
        <v>1500</v>
      </c>
      <c r="G1795">
        <v>0</v>
      </c>
    </row>
    <row r="1796" spans="1:7" x14ac:dyDescent="0.3">
      <c r="A1796" s="2">
        <v>44236</v>
      </c>
      <c r="B1796" t="s">
        <v>963</v>
      </c>
      <c r="C1796">
        <v>495</v>
      </c>
      <c r="D1796" s="2">
        <v>44236</v>
      </c>
      <c r="E1796" t="s">
        <v>25</v>
      </c>
      <c r="F1796">
        <v>495</v>
      </c>
      <c r="G1796">
        <v>0</v>
      </c>
    </row>
    <row r="1797" spans="1:7" x14ac:dyDescent="0.3">
      <c r="A1797" s="2">
        <v>44236</v>
      </c>
      <c r="B1797" t="s">
        <v>964</v>
      </c>
      <c r="C1797">
        <v>-32.64</v>
      </c>
      <c r="D1797" s="2">
        <v>44236</v>
      </c>
      <c r="E1797" t="s">
        <v>27</v>
      </c>
      <c r="F1797">
        <v>-32.64</v>
      </c>
      <c r="G1797">
        <v>0</v>
      </c>
    </row>
    <row r="1798" spans="1:7" x14ac:dyDescent="0.3">
      <c r="A1798" s="2">
        <v>44236</v>
      </c>
      <c r="B1798" t="s">
        <v>965</v>
      </c>
      <c r="C1798">
        <v>-1347.33</v>
      </c>
      <c r="D1798" s="2">
        <v>44236</v>
      </c>
      <c r="E1798" t="s">
        <v>27</v>
      </c>
      <c r="F1798">
        <v>-1347.33</v>
      </c>
      <c r="G1798">
        <v>0</v>
      </c>
    </row>
    <row r="1799" spans="1:7" x14ac:dyDescent="0.3">
      <c r="A1799" s="2">
        <v>44236</v>
      </c>
      <c r="B1799" t="s">
        <v>966</v>
      </c>
      <c r="C1799">
        <v>-21.72</v>
      </c>
      <c r="D1799" s="2">
        <v>44236</v>
      </c>
      <c r="E1799" t="s">
        <v>27</v>
      </c>
      <c r="F1799">
        <v>-21.72</v>
      </c>
      <c r="G1799">
        <v>0</v>
      </c>
    </row>
    <row r="1800" spans="1:7" x14ac:dyDescent="0.3">
      <c r="A1800" s="2">
        <v>44237</v>
      </c>
      <c r="B1800" t="s">
        <v>967</v>
      </c>
      <c r="C1800">
        <v>-16.95</v>
      </c>
      <c r="D1800" s="2">
        <v>44237</v>
      </c>
      <c r="E1800" t="s">
        <v>27</v>
      </c>
      <c r="F1800">
        <v>-16.95</v>
      </c>
      <c r="G1800">
        <v>0</v>
      </c>
    </row>
    <row r="1801" spans="1:7" x14ac:dyDescent="0.3">
      <c r="A1801" s="2">
        <v>44237</v>
      </c>
      <c r="B1801" t="s">
        <v>222</v>
      </c>
      <c r="C1801">
        <v>-9.99</v>
      </c>
      <c r="D1801" s="2">
        <v>44237</v>
      </c>
      <c r="E1801" t="s">
        <v>27</v>
      </c>
      <c r="F1801">
        <v>-9.99</v>
      </c>
      <c r="G1801">
        <v>0</v>
      </c>
    </row>
    <row r="1802" spans="1:7" x14ac:dyDescent="0.3">
      <c r="A1802" s="2">
        <v>44237</v>
      </c>
      <c r="B1802" t="s">
        <v>968</v>
      </c>
      <c r="C1802">
        <v>4330</v>
      </c>
      <c r="D1802" s="2">
        <v>44237</v>
      </c>
      <c r="E1802" t="s">
        <v>25</v>
      </c>
      <c r="F1802">
        <v>4330</v>
      </c>
      <c r="G1802">
        <v>0</v>
      </c>
    </row>
    <row r="1803" spans="1:7" x14ac:dyDescent="0.3">
      <c r="A1803" s="2">
        <v>44237</v>
      </c>
      <c r="B1803" t="s">
        <v>969</v>
      </c>
      <c r="C1803">
        <v>-169.68</v>
      </c>
      <c r="D1803" s="2">
        <v>44237</v>
      </c>
      <c r="E1803" t="s">
        <v>27</v>
      </c>
      <c r="F1803">
        <v>-169.68</v>
      </c>
      <c r="G1803">
        <v>0</v>
      </c>
    </row>
    <row r="1804" spans="1:7" x14ac:dyDescent="0.3">
      <c r="A1804" s="2">
        <v>44238</v>
      </c>
      <c r="B1804" t="s">
        <v>970</v>
      </c>
      <c r="C1804">
        <v>-250</v>
      </c>
      <c r="D1804" s="2">
        <v>44238</v>
      </c>
      <c r="E1804" t="s">
        <v>27</v>
      </c>
      <c r="F1804">
        <v>-250</v>
      </c>
      <c r="G1804">
        <v>0</v>
      </c>
    </row>
    <row r="1805" spans="1:7" x14ac:dyDescent="0.3">
      <c r="A1805" s="2">
        <v>44238</v>
      </c>
      <c r="B1805" t="s">
        <v>970</v>
      </c>
      <c r="C1805">
        <v>-200</v>
      </c>
      <c r="D1805" s="2">
        <v>44238</v>
      </c>
      <c r="E1805" t="s">
        <v>27</v>
      </c>
      <c r="F1805">
        <v>-200</v>
      </c>
      <c r="G1805">
        <v>0</v>
      </c>
    </row>
    <row r="1806" spans="1:7" x14ac:dyDescent="0.3">
      <c r="A1806" s="2">
        <v>44238</v>
      </c>
      <c r="B1806" t="s">
        <v>970</v>
      </c>
      <c r="C1806">
        <v>-200</v>
      </c>
      <c r="D1806" s="2">
        <v>44238</v>
      </c>
      <c r="E1806" t="s">
        <v>27</v>
      </c>
      <c r="F1806">
        <v>-200</v>
      </c>
      <c r="G1806">
        <v>0</v>
      </c>
    </row>
    <row r="1807" spans="1:7" x14ac:dyDescent="0.3">
      <c r="A1807" s="2">
        <v>44238</v>
      </c>
      <c r="B1807" t="s">
        <v>970</v>
      </c>
      <c r="C1807">
        <v>-250</v>
      </c>
      <c r="D1807" s="2">
        <v>44238</v>
      </c>
      <c r="E1807" t="s">
        <v>27</v>
      </c>
      <c r="F1807">
        <v>-250</v>
      </c>
      <c r="G1807">
        <v>0</v>
      </c>
    </row>
    <row r="1808" spans="1:7" x14ac:dyDescent="0.3">
      <c r="A1808" s="2">
        <v>44238</v>
      </c>
      <c r="B1808" t="s">
        <v>971</v>
      </c>
      <c r="C1808">
        <v>1565</v>
      </c>
      <c r="D1808" s="2">
        <v>44238</v>
      </c>
      <c r="E1808" t="s">
        <v>25</v>
      </c>
      <c r="F1808">
        <v>1565</v>
      </c>
      <c r="G1808">
        <v>0</v>
      </c>
    </row>
    <row r="1809" spans="1:7" x14ac:dyDescent="0.3">
      <c r="A1809" s="2">
        <v>44238</v>
      </c>
      <c r="B1809" t="s">
        <v>970</v>
      </c>
      <c r="C1809">
        <v>-200</v>
      </c>
      <c r="D1809" s="2">
        <v>44238</v>
      </c>
      <c r="E1809" t="s">
        <v>27</v>
      </c>
      <c r="F1809">
        <v>-200</v>
      </c>
      <c r="G1809">
        <v>0</v>
      </c>
    </row>
    <row r="1810" spans="1:7" x14ac:dyDescent="0.3">
      <c r="A1810" s="2">
        <v>44238</v>
      </c>
      <c r="B1810" t="s">
        <v>970</v>
      </c>
      <c r="C1810">
        <v>-250</v>
      </c>
      <c r="D1810" s="2">
        <v>44238</v>
      </c>
      <c r="E1810" t="s">
        <v>27</v>
      </c>
      <c r="F1810">
        <v>-250</v>
      </c>
      <c r="G1810">
        <v>0</v>
      </c>
    </row>
    <row r="1811" spans="1:7" x14ac:dyDescent="0.3">
      <c r="A1811" s="2">
        <v>44239</v>
      </c>
      <c r="B1811" t="s">
        <v>972</v>
      </c>
      <c r="C1811">
        <v>740</v>
      </c>
      <c r="D1811" s="2">
        <v>44239</v>
      </c>
      <c r="E1811" t="s">
        <v>25</v>
      </c>
      <c r="F1811">
        <v>740</v>
      </c>
      <c r="G1811">
        <v>0</v>
      </c>
    </row>
    <row r="1812" spans="1:7" x14ac:dyDescent="0.3">
      <c r="A1812" s="2">
        <v>44243</v>
      </c>
      <c r="B1812" t="s">
        <v>223</v>
      </c>
      <c r="C1812">
        <v>-19.59</v>
      </c>
      <c r="D1812" s="2">
        <v>44243</v>
      </c>
      <c r="E1812" t="s">
        <v>27</v>
      </c>
      <c r="F1812">
        <v>-19.59</v>
      </c>
      <c r="G1812">
        <v>0</v>
      </c>
    </row>
    <row r="1813" spans="1:7" x14ac:dyDescent="0.3">
      <c r="A1813" s="2">
        <v>44243</v>
      </c>
      <c r="B1813" t="s">
        <v>973</v>
      </c>
      <c r="C1813">
        <v>-119.88</v>
      </c>
      <c r="D1813" s="2">
        <v>44243</v>
      </c>
      <c r="E1813" t="s">
        <v>27</v>
      </c>
      <c r="F1813">
        <v>-119.88</v>
      </c>
      <c r="G1813">
        <v>0</v>
      </c>
    </row>
    <row r="1814" spans="1:7" x14ac:dyDescent="0.3">
      <c r="A1814" s="2">
        <v>44243</v>
      </c>
      <c r="B1814" t="s">
        <v>974</v>
      </c>
      <c r="C1814">
        <v>-41.6</v>
      </c>
      <c r="D1814" s="2">
        <v>44243</v>
      </c>
      <c r="E1814" t="s">
        <v>27</v>
      </c>
      <c r="F1814">
        <v>-41.6</v>
      </c>
      <c r="G1814">
        <v>0</v>
      </c>
    </row>
    <row r="1815" spans="1:7" x14ac:dyDescent="0.3">
      <c r="A1815" s="2">
        <v>44243</v>
      </c>
      <c r="B1815" t="s">
        <v>975</v>
      </c>
      <c r="C1815">
        <v>-42.89</v>
      </c>
      <c r="D1815" s="2">
        <v>44243</v>
      </c>
      <c r="E1815" t="s">
        <v>27</v>
      </c>
      <c r="F1815">
        <v>-42.89</v>
      </c>
      <c r="G1815">
        <v>0</v>
      </c>
    </row>
    <row r="1816" spans="1:7" x14ac:dyDescent="0.3">
      <c r="A1816" s="2">
        <v>44243</v>
      </c>
      <c r="B1816" t="s">
        <v>976</v>
      </c>
      <c r="C1816">
        <v>-45.33</v>
      </c>
      <c r="D1816" s="2">
        <v>44243</v>
      </c>
      <c r="E1816" t="s">
        <v>27</v>
      </c>
      <c r="F1816">
        <v>-45.33</v>
      </c>
      <c r="G1816">
        <v>0</v>
      </c>
    </row>
    <row r="1817" spans="1:7" x14ac:dyDescent="0.3">
      <c r="A1817" s="2">
        <v>44243</v>
      </c>
      <c r="B1817" t="s">
        <v>977</v>
      </c>
      <c r="C1817">
        <v>855</v>
      </c>
      <c r="D1817" s="2">
        <v>44243</v>
      </c>
      <c r="E1817" t="s">
        <v>25</v>
      </c>
      <c r="F1817">
        <v>855</v>
      </c>
      <c r="G1817">
        <v>0</v>
      </c>
    </row>
    <row r="1818" spans="1:7" x14ac:dyDescent="0.3">
      <c r="A1818" s="2">
        <v>44243</v>
      </c>
      <c r="B1818" t="s">
        <v>978</v>
      </c>
      <c r="C1818">
        <v>-82.73</v>
      </c>
      <c r="D1818" s="2">
        <v>44243</v>
      </c>
      <c r="E1818" t="s">
        <v>27</v>
      </c>
      <c r="F1818">
        <v>-82.73</v>
      </c>
      <c r="G1818">
        <v>0</v>
      </c>
    </row>
    <row r="1819" spans="1:7" x14ac:dyDescent="0.3">
      <c r="A1819" s="2">
        <v>44243</v>
      </c>
      <c r="B1819" t="s">
        <v>979</v>
      </c>
      <c r="C1819">
        <v>580</v>
      </c>
      <c r="D1819" s="2">
        <v>44243</v>
      </c>
      <c r="E1819" t="s">
        <v>25</v>
      </c>
      <c r="F1819">
        <v>580</v>
      </c>
      <c r="G1819">
        <v>0</v>
      </c>
    </row>
    <row r="1820" spans="1:7" x14ac:dyDescent="0.3">
      <c r="A1820" s="2">
        <v>44243</v>
      </c>
      <c r="B1820" t="s">
        <v>980</v>
      </c>
      <c r="C1820">
        <v>165</v>
      </c>
      <c r="D1820" s="2">
        <v>44243</v>
      </c>
      <c r="E1820" t="s">
        <v>25</v>
      </c>
      <c r="F1820">
        <v>165</v>
      </c>
      <c r="G1820">
        <v>0</v>
      </c>
    </row>
    <row r="1821" spans="1:7" x14ac:dyDescent="0.3">
      <c r="A1821" s="2">
        <v>44243</v>
      </c>
      <c r="B1821" t="s">
        <v>979</v>
      </c>
      <c r="C1821">
        <v>360</v>
      </c>
      <c r="D1821" s="2">
        <v>44243</v>
      </c>
      <c r="E1821" t="s">
        <v>25</v>
      </c>
      <c r="F1821">
        <v>360</v>
      </c>
      <c r="G1821">
        <v>0</v>
      </c>
    </row>
    <row r="1822" spans="1:7" x14ac:dyDescent="0.3">
      <c r="A1822" s="2">
        <v>44243</v>
      </c>
      <c r="B1822" t="s">
        <v>981</v>
      </c>
      <c r="C1822">
        <v>-32.65</v>
      </c>
      <c r="D1822" s="2">
        <v>44243</v>
      </c>
      <c r="E1822" t="s">
        <v>27</v>
      </c>
      <c r="F1822">
        <v>-32.65</v>
      </c>
      <c r="G1822">
        <v>0</v>
      </c>
    </row>
    <row r="1823" spans="1:7" x14ac:dyDescent="0.3">
      <c r="A1823" s="2">
        <v>44244</v>
      </c>
      <c r="B1823" t="s">
        <v>982</v>
      </c>
      <c r="C1823">
        <v>-200</v>
      </c>
      <c r="D1823" s="2">
        <v>44244</v>
      </c>
      <c r="E1823" t="s">
        <v>27</v>
      </c>
      <c r="F1823">
        <v>-200</v>
      </c>
      <c r="G1823">
        <v>0</v>
      </c>
    </row>
    <row r="1824" spans="1:7" x14ac:dyDescent="0.3">
      <c r="A1824" s="2">
        <v>44244</v>
      </c>
      <c r="B1824" t="s">
        <v>983</v>
      </c>
      <c r="C1824">
        <v>-99.03</v>
      </c>
      <c r="D1824" s="2">
        <v>44244</v>
      </c>
      <c r="E1824" t="s">
        <v>27</v>
      </c>
      <c r="F1824">
        <v>-99.03</v>
      </c>
      <c r="G1824">
        <v>0</v>
      </c>
    </row>
    <row r="1825" spans="1:7" x14ac:dyDescent="0.3">
      <c r="A1825" s="2">
        <v>44244</v>
      </c>
      <c r="B1825" t="s">
        <v>982</v>
      </c>
      <c r="C1825">
        <v>-25</v>
      </c>
      <c r="D1825" s="2">
        <v>44244</v>
      </c>
      <c r="E1825" t="s">
        <v>27</v>
      </c>
      <c r="F1825">
        <v>-25</v>
      </c>
      <c r="G1825">
        <v>0</v>
      </c>
    </row>
    <row r="1826" spans="1:7" x14ac:dyDescent="0.3">
      <c r="A1826" s="2">
        <v>44244</v>
      </c>
      <c r="B1826" t="s">
        <v>31</v>
      </c>
      <c r="C1826">
        <v>2500</v>
      </c>
      <c r="D1826" s="2">
        <v>44244</v>
      </c>
      <c r="E1826" t="s">
        <v>25</v>
      </c>
      <c r="F1826">
        <v>2500</v>
      </c>
      <c r="G1826">
        <v>0</v>
      </c>
    </row>
    <row r="1827" spans="1:7" x14ac:dyDescent="0.3">
      <c r="A1827" s="2">
        <v>44244</v>
      </c>
      <c r="B1827" t="s">
        <v>982</v>
      </c>
      <c r="C1827">
        <v>-250</v>
      </c>
      <c r="D1827" s="2">
        <v>44244</v>
      </c>
      <c r="E1827" t="s">
        <v>27</v>
      </c>
      <c r="F1827">
        <v>-250</v>
      </c>
      <c r="G1827">
        <v>0</v>
      </c>
    </row>
    <row r="1828" spans="1:7" x14ac:dyDescent="0.3">
      <c r="A1828" s="2">
        <v>44244</v>
      </c>
      <c r="B1828" t="s">
        <v>31</v>
      </c>
      <c r="C1828">
        <v>1500</v>
      </c>
      <c r="D1828" s="2">
        <v>44244</v>
      </c>
      <c r="E1828" t="s">
        <v>25</v>
      </c>
      <c r="F1828">
        <v>1500</v>
      </c>
      <c r="G1828">
        <v>0</v>
      </c>
    </row>
    <row r="1829" spans="1:7" x14ac:dyDescent="0.3">
      <c r="A1829" s="2">
        <v>44244</v>
      </c>
      <c r="B1829" t="s">
        <v>31</v>
      </c>
      <c r="C1829">
        <v>300</v>
      </c>
      <c r="D1829" s="2">
        <v>44244</v>
      </c>
      <c r="E1829" t="s">
        <v>25</v>
      </c>
      <c r="F1829">
        <v>300</v>
      </c>
      <c r="G1829">
        <v>0</v>
      </c>
    </row>
    <row r="1830" spans="1:7" x14ac:dyDescent="0.3">
      <c r="A1830" s="2">
        <v>44244</v>
      </c>
      <c r="B1830" t="s">
        <v>984</v>
      </c>
      <c r="C1830">
        <v>-211.91</v>
      </c>
      <c r="D1830" s="2">
        <v>44244</v>
      </c>
      <c r="E1830" t="s">
        <v>27</v>
      </c>
      <c r="F1830">
        <v>-211.91</v>
      </c>
      <c r="G1830">
        <v>0</v>
      </c>
    </row>
    <row r="1831" spans="1:7" x14ac:dyDescent="0.3">
      <c r="A1831" s="2">
        <v>44244</v>
      </c>
      <c r="B1831" t="s">
        <v>31</v>
      </c>
      <c r="C1831">
        <v>600</v>
      </c>
      <c r="D1831" s="2">
        <v>44244</v>
      </c>
      <c r="E1831" t="s">
        <v>25</v>
      </c>
      <c r="F1831">
        <v>600</v>
      </c>
      <c r="G1831">
        <v>0</v>
      </c>
    </row>
    <row r="1832" spans="1:7" x14ac:dyDescent="0.3">
      <c r="A1832" s="2">
        <v>44244</v>
      </c>
      <c r="B1832" t="s">
        <v>985</v>
      </c>
      <c r="C1832">
        <v>745</v>
      </c>
      <c r="D1832" s="2">
        <v>44244</v>
      </c>
      <c r="E1832" t="s">
        <v>25</v>
      </c>
      <c r="F1832">
        <v>745</v>
      </c>
      <c r="G1832">
        <v>0</v>
      </c>
    </row>
    <row r="1833" spans="1:7" x14ac:dyDescent="0.3">
      <c r="A1833" s="2">
        <v>44244</v>
      </c>
      <c r="B1833" t="s">
        <v>986</v>
      </c>
      <c r="C1833">
        <v>-225.33</v>
      </c>
      <c r="D1833" s="2">
        <v>44244</v>
      </c>
      <c r="E1833" t="s">
        <v>27</v>
      </c>
      <c r="F1833">
        <v>-225.33</v>
      </c>
      <c r="G1833">
        <v>0</v>
      </c>
    </row>
    <row r="1834" spans="1:7" x14ac:dyDescent="0.3">
      <c r="A1834" s="2">
        <v>44244</v>
      </c>
      <c r="B1834" t="s">
        <v>749</v>
      </c>
      <c r="C1834">
        <v>-22</v>
      </c>
      <c r="D1834" s="2">
        <v>44244</v>
      </c>
      <c r="E1834" t="s">
        <v>27</v>
      </c>
      <c r="F1834">
        <v>-22</v>
      </c>
      <c r="G1834">
        <v>0</v>
      </c>
    </row>
    <row r="1835" spans="1:7" x14ac:dyDescent="0.3">
      <c r="A1835" s="2">
        <v>44245</v>
      </c>
      <c r="B1835" t="s">
        <v>982</v>
      </c>
      <c r="C1835">
        <v>-25</v>
      </c>
      <c r="D1835" s="2">
        <v>44245</v>
      </c>
      <c r="E1835" t="s">
        <v>27</v>
      </c>
      <c r="F1835">
        <v>-25</v>
      </c>
      <c r="G1835">
        <v>0</v>
      </c>
    </row>
    <row r="1836" spans="1:7" x14ac:dyDescent="0.3">
      <c r="A1836" s="2">
        <v>44245</v>
      </c>
      <c r="B1836" t="s">
        <v>987</v>
      </c>
      <c r="C1836">
        <v>1370</v>
      </c>
      <c r="D1836" s="2">
        <v>44245</v>
      </c>
      <c r="E1836" t="s">
        <v>25</v>
      </c>
      <c r="F1836">
        <v>1370</v>
      </c>
      <c r="G1836">
        <v>0</v>
      </c>
    </row>
    <row r="1837" spans="1:7" x14ac:dyDescent="0.3">
      <c r="A1837" s="2">
        <v>44245</v>
      </c>
      <c r="B1837" t="s">
        <v>988</v>
      </c>
      <c r="C1837">
        <v>-47.87</v>
      </c>
      <c r="D1837" s="2">
        <v>44245</v>
      </c>
      <c r="E1837" t="s">
        <v>27</v>
      </c>
      <c r="F1837">
        <v>-47.87</v>
      </c>
      <c r="G1837">
        <v>0</v>
      </c>
    </row>
    <row r="1838" spans="1:7" x14ac:dyDescent="0.3">
      <c r="A1838" s="2">
        <v>44245</v>
      </c>
      <c r="B1838" t="s">
        <v>989</v>
      </c>
      <c r="C1838">
        <v>-99.99</v>
      </c>
      <c r="D1838" s="2">
        <v>44245</v>
      </c>
      <c r="E1838" t="s">
        <v>27</v>
      </c>
      <c r="F1838">
        <v>-99.99</v>
      </c>
      <c r="G1838">
        <v>0</v>
      </c>
    </row>
    <row r="1839" spans="1:7" x14ac:dyDescent="0.3">
      <c r="A1839" s="2">
        <v>44245</v>
      </c>
      <c r="B1839" t="s">
        <v>990</v>
      </c>
      <c r="C1839">
        <v>-400</v>
      </c>
      <c r="D1839" s="2">
        <v>44245</v>
      </c>
      <c r="E1839" t="s">
        <v>27</v>
      </c>
      <c r="F1839">
        <v>-400</v>
      </c>
      <c r="G1839">
        <v>0</v>
      </c>
    </row>
    <row r="1840" spans="1:7" x14ac:dyDescent="0.3">
      <c r="A1840" s="2">
        <v>44245</v>
      </c>
      <c r="B1840" t="s">
        <v>991</v>
      </c>
      <c r="C1840">
        <v>-7.95</v>
      </c>
      <c r="D1840" s="2">
        <v>44245</v>
      </c>
      <c r="E1840" t="s">
        <v>27</v>
      </c>
      <c r="F1840">
        <v>-7.95</v>
      </c>
      <c r="G1840">
        <v>0</v>
      </c>
    </row>
    <row r="1841" spans="1:7" x14ac:dyDescent="0.3">
      <c r="A1841" s="2">
        <v>44245</v>
      </c>
      <c r="B1841" t="s">
        <v>992</v>
      </c>
      <c r="C1841">
        <v>-7.95</v>
      </c>
      <c r="D1841" s="2">
        <v>44245</v>
      </c>
      <c r="E1841" t="s">
        <v>27</v>
      </c>
      <c r="F1841">
        <v>-7.95</v>
      </c>
      <c r="G1841">
        <v>0</v>
      </c>
    </row>
    <row r="1842" spans="1:7" x14ac:dyDescent="0.3">
      <c r="A1842" s="2">
        <v>44245</v>
      </c>
      <c r="B1842" t="s">
        <v>749</v>
      </c>
      <c r="C1842">
        <v>-45</v>
      </c>
      <c r="D1842" s="2">
        <v>44245</v>
      </c>
      <c r="E1842" t="s">
        <v>27</v>
      </c>
      <c r="F1842">
        <v>-45</v>
      </c>
      <c r="G1842">
        <v>0</v>
      </c>
    </row>
    <row r="1843" spans="1:7" x14ac:dyDescent="0.3">
      <c r="A1843" s="2">
        <v>44245</v>
      </c>
      <c r="B1843" t="s">
        <v>990</v>
      </c>
      <c r="C1843">
        <v>-200</v>
      </c>
      <c r="D1843" s="2">
        <v>44245</v>
      </c>
      <c r="E1843" t="s">
        <v>27</v>
      </c>
      <c r="F1843">
        <v>-200</v>
      </c>
      <c r="G1843">
        <v>0</v>
      </c>
    </row>
    <row r="1844" spans="1:7" x14ac:dyDescent="0.3">
      <c r="A1844" s="2">
        <v>44246</v>
      </c>
      <c r="B1844" t="s">
        <v>993</v>
      </c>
      <c r="C1844">
        <v>2605</v>
      </c>
      <c r="D1844" s="2">
        <v>44246</v>
      </c>
      <c r="E1844" t="s">
        <v>25</v>
      </c>
      <c r="F1844">
        <v>2605</v>
      </c>
      <c r="G1844">
        <v>0</v>
      </c>
    </row>
    <row r="1845" spans="1:7" x14ac:dyDescent="0.3">
      <c r="A1845" s="2">
        <v>44246</v>
      </c>
      <c r="B1845" t="s">
        <v>994</v>
      </c>
      <c r="C1845">
        <v>-29387.86</v>
      </c>
      <c r="D1845" s="2">
        <v>44246</v>
      </c>
      <c r="E1845" t="s">
        <v>27</v>
      </c>
      <c r="F1845">
        <v>-29387.86</v>
      </c>
      <c r="G1845">
        <v>0</v>
      </c>
    </row>
    <row r="1846" spans="1:7" x14ac:dyDescent="0.3">
      <c r="A1846" s="2">
        <v>44249</v>
      </c>
      <c r="B1846" t="s">
        <v>995</v>
      </c>
      <c r="C1846">
        <v>25</v>
      </c>
      <c r="D1846" s="2">
        <v>44249</v>
      </c>
      <c r="E1846" t="s">
        <v>25</v>
      </c>
      <c r="F1846">
        <v>25</v>
      </c>
      <c r="G1846">
        <v>0</v>
      </c>
    </row>
    <row r="1847" spans="1:7" x14ac:dyDescent="0.3">
      <c r="A1847" s="2">
        <v>44249</v>
      </c>
      <c r="B1847" t="s">
        <v>996</v>
      </c>
      <c r="C1847">
        <v>-195.84</v>
      </c>
      <c r="D1847" s="2">
        <v>44249</v>
      </c>
      <c r="E1847" t="s">
        <v>27</v>
      </c>
      <c r="F1847">
        <v>-195.84</v>
      </c>
      <c r="G1847">
        <v>0</v>
      </c>
    </row>
    <row r="1848" spans="1:7" x14ac:dyDescent="0.3">
      <c r="A1848" s="2">
        <v>44249</v>
      </c>
      <c r="B1848" t="s">
        <v>995</v>
      </c>
      <c r="C1848">
        <v>465</v>
      </c>
      <c r="D1848" s="2">
        <v>44249</v>
      </c>
      <c r="E1848" t="s">
        <v>25</v>
      </c>
      <c r="F1848">
        <v>465</v>
      </c>
      <c r="G1848">
        <v>0</v>
      </c>
    </row>
    <row r="1849" spans="1:7" x14ac:dyDescent="0.3">
      <c r="A1849" s="2">
        <v>44249</v>
      </c>
      <c r="B1849" t="s">
        <v>997</v>
      </c>
      <c r="C1849">
        <v>-20</v>
      </c>
      <c r="D1849" s="2">
        <v>44249</v>
      </c>
      <c r="E1849" t="s">
        <v>27</v>
      </c>
      <c r="F1849">
        <v>-20</v>
      </c>
      <c r="G1849">
        <v>0</v>
      </c>
    </row>
    <row r="1850" spans="1:7" x14ac:dyDescent="0.3">
      <c r="A1850" s="2">
        <v>44249</v>
      </c>
      <c r="B1850" t="s">
        <v>998</v>
      </c>
      <c r="C1850">
        <v>-20</v>
      </c>
      <c r="D1850" s="2">
        <v>44249</v>
      </c>
      <c r="E1850" t="s">
        <v>27</v>
      </c>
      <c r="F1850">
        <v>-20</v>
      </c>
      <c r="G1850">
        <v>0</v>
      </c>
    </row>
    <row r="1851" spans="1:7" x14ac:dyDescent="0.3">
      <c r="A1851" s="2">
        <v>44249</v>
      </c>
      <c r="B1851" t="s">
        <v>999</v>
      </c>
      <c r="C1851">
        <v>-7.95</v>
      </c>
      <c r="D1851" s="2">
        <v>44249</v>
      </c>
      <c r="E1851" t="s">
        <v>27</v>
      </c>
      <c r="F1851">
        <v>-7.95</v>
      </c>
      <c r="G1851">
        <v>0</v>
      </c>
    </row>
    <row r="1852" spans="1:7" x14ac:dyDescent="0.3">
      <c r="A1852" s="2">
        <v>44249</v>
      </c>
      <c r="B1852" t="s">
        <v>1000</v>
      </c>
      <c r="C1852">
        <v>-200</v>
      </c>
      <c r="D1852" s="2">
        <v>44249</v>
      </c>
      <c r="E1852" t="s">
        <v>27</v>
      </c>
      <c r="F1852">
        <v>-200</v>
      </c>
      <c r="G1852">
        <v>0</v>
      </c>
    </row>
    <row r="1853" spans="1:7" x14ac:dyDescent="0.3">
      <c r="A1853" s="2">
        <v>44249</v>
      </c>
      <c r="B1853" t="s">
        <v>1001</v>
      </c>
      <c r="C1853">
        <v>715</v>
      </c>
      <c r="D1853" s="2">
        <v>44249</v>
      </c>
      <c r="E1853" t="s">
        <v>25</v>
      </c>
      <c r="F1853">
        <v>715</v>
      </c>
      <c r="G1853">
        <v>0</v>
      </c>
    </row>
    <row r="1854" spans="1:7" x14ac:dyDescent="0.3">
      <c r="A1854" s="2">
        <v>44250</v>
      </c>
      <c r="B1854" t="s">
        <v>1002</v>
      </c>
      <c r="C1854">
        <v>520</v>
      </c>
      <c r="D1854" s="2">
        <v>44250</v>
      </c>
      <c r="E1854" t="s">
        <v>25</v>
      </c>
      <c r="F1854">
        <v>520</v>
      </c>
      <c r="G1854">
        <v>0</v>
      </c>
    </row>
    <row r="1855" spans="1:7" x14ac:dyDescent="0.3">
      <c r="A1855" s="2">
        <v>44251</v>
      </c>
      <c r="B1855" t="s">
        <v>1003</v>
      </c>
      <c r="C1855">
        <v>850</v>
      </c>
      <c r="D1855" s="2">
        <v>44251</v>
      </c>
      <c r="E1855" t="s">
        <v>25</v>
      </c>
      <c r="F1855">
        <v>850</v>
      </c>
      <c r="G1855">
        <v>0</v>
      </c>
    </row>
    <row r="1856" spans="1:7" x14ac:dyDescent="0.3">
      <c r="A1856" s="2">
        <v>44251</v>
      </c>
      <c r="B1856" t="s">
        <v>1004</v>
      </c>
      <c r="C1856">
        <v>-133.57</v>
      </c>
      <c r="D1856" s="2">
        <v>44251</v>
      </c>
      <c r="E1856" t="s">
        <v>27</v>
      </c>
      <c r="F1856">
        <v>-133.57</v>
      </c>
      <c r="G1856">
        <v>0</v>
      </c>
    </row>
    <row r="1857" spans="1:7" x14ac:dyDescent="0.3">
      <c r="A1857" s="2">
        <v>44252</v>
      </c>
      <c r="B1857" t="s">
        <v>1005</v>
      </c>
      <c r="C1857">
        <v>-42.53</v>
      </c>
      <c r="D1857" s="2">
        <v>44252</v>
      </c>
      <c r="E1857" t="s">
        <v>27</v>
      </c>
      <c r="F1857">
        <v>-42.53</v>
      </c>
      <c r="G1857">
        <v>0</v>
      </c>
    </row>
    <row r="1858" spans="1:7" x14ac:dyDescent="0.3">
      <c r="A1858" s="2">
        <v>44252</v>
      </c>
      <c r="B1858" t="s">
        <v>1006</v>
      </c>
      <c r="C1858">
        <v>-24.98</v>
      </c>
      <c r="D1858" s="2">
        <v>44252</v>
      </c>
      <c r="E1858" t="s">
        <v>27</v>
      </c>
      <c r="F1858">
        <v>-24.98</v>
      </c>
      <c r="G1858">
        <v>0</v>
      </c>
    </row>
    <row r="1859" spans="1:7" x14ac:dyDescent="0.3">
      <c r="A1859" s="2">
        <v>44252</v>
      </c>
      <c r="B1859" t="s">
        <v>1007</v>
      </c>
      <c r="C1859">
        <v>1260</v>
      </c>
      <c r="D1859" s="2">
        <v>44252</v>
      </c>
      <c r="E1859" t="s">
        <v>25</v>
      </c>
      <c r="F1859">
        <v>1260</v>
      </c>
      <c r="G1859">
        <v>0</v>
      </c>
    </row>
    <row r="1860" spans="1:7" x14ac:dyDescent="0.3">
      <c r="A1860" s="2">
        <v>44252</v>
      </c>
      <c r="B1860" t="s">
        <v>1008</v>
      </c>
      <c r="C1860">
        <v>-32.159999999999997</v>
      </c>
      <c r="D1860" s="2">
        <v>44252</v>
      </c>
      <c r="E1860" t="s">
        <v>27</v>
      </c>
      <c r="F1860">
        <v>-32.159999999999997</v>
      </c>
      <c r="G1860">
        <v>0</v>
      </c>
    </row>
    <row r="1861" spans="1:7" x14ac:dyDescent="0.3">
      <c r="A1861" s="2">
        <v>44253</v>
      </c>
      <c r="B1861" t="s">
        <v>239</v>
      </c>
      <c r="C1861">
        <v>-103.44</v>
      </c>
      <c r="D1861" s="2">
        <v>44253</v>
      </c>
      <c r="E1861" t="s">
        <v>27</v>
      </c>
      <c r="F1861">
        <v>-103.44</v>
      </c>
      <c r="G1861">
        <v>0</v>
      </c>
    </row>
    <row r="1862" spans="1:7" x14ac:dyDescent="0.3">
      <c r="A1862" s="2">
        <v>44253</v>
      </c>
      <c r="B1862" t="s">
        <v>1009</v>
      </c>
      <c r="C1862">
        <v>-11.79</v>
      </c>
      <c r="D1862" s="2">
        <v>44253</v>
      </c>
      <c r="E1862" t="s">
        <v>27</v>
      </c>
      <c r="F1862">
        <v>-11.79</v>
      </c>
      <c r="G1862">
        <v>0</v>
      </c>
    </row>
    <row r="1863" spans="1:7" x14ac:dyDescent="0.3">
      <c r="A1863" s="2">
        <v>44253</v>
      </c>
      <c r="B1863" t="s">
        <v>1010</v>
      </c>
      <c r="C1863">
        <v>1045</v>
      </c>
      <c r="D1863" s="2">
        <v>44253</v>
      </c>
      <c r="E1863" t="s">
        <v>25</v>
      </c>
      <c r="F1863">
        <v>1045</v>
      </c>
      <c r="G1863">
        <v>0</v>
      </c>
    </row>
    <row r="1864" spans="1:7" x14ac:dyDescent="0.3">
      <c r="A1864" s="2">
        <v>44253</v>
      </c>
      <c r="B1864" t="s">
        <v>1011</v>
      </c>
      <c r="C1864">
        <v>-119.91</v>
      </c>
      <c r="D1864" s="2">
        <v>44253</v>
      </c>
      <c r="E1864" t="s">
        <v>27</v>
      </c>
      <c r="F1864">
        <v>-119.91</v>
      </c>
      <c r="G1864">
        <v>0</v>
      </c>
    </row>
    <row r="1865" spans="1:7" x14ac:dyDescent="0.3">
      <c r="A1865" s="2">
        <v>44253</v>
      </c>
      <c r="B1865" t="s">
        <v>1012</v>
      </c>
      <c r="C1865">
        <v>-121.46</v>
      </c>
      <c r="D1865" s="2">
        <v>44253</v>
      </c>
      <c r="E1865" t="s">
        <v>27</v>
      </c>
      <c r="F1865">
        <v>-121.46</v>
      </c>
      <c r="G1865">
        <v>0</v>
      </c>
    </row>
    <row r="1866" spans="1:7" x14ac:dyDescent="0.3">
      <c r="A1866" s="2">
        <v>44253</v>
      </c>
      <c r="B1866" t="s">
        <v>1013</v>
      </c>
      <c r="C1866">
        <v>-49.46</v>
      </c>
      <c r="D1866" s="2">
        <v>44253</v>
      </c>
      <c r="E1866" t="s">
        <v>27</v>
      </c>
      <c r="F1866">
        <v>-49.46</v>
      </c>
      <c r="G1866">
        <v>0</v>
      </c>
    </row>
    <row r="1867" spans="1:7" x14ac:dyDescent="0.3">
      <c r="A1867" s="2">
        <v>44253</v>
      </c>
      <c r="B1867" t="s">
        <v>1014</v>
      </c>
      <c r="C1867">
        <v>-45.58</v>
      </c>
      <c r="D1867" s="2">
        <v>44253</v>
      </c>
      <c r="E1867" t="s">
        <v>27</v>
      </c>
      <c r="F1867">
        <v>-45.58</v>
      </c>
      <c r="G1867">
        <v>0</v>
      </c>
    </row>
    <row r="1868" spans="1:7" x14ac:dyDescent="0.3">
      <c r="A1868" s="2">
        <v>44253</v>
      </c>
      <c r="B1868" t="s">
        <v>1015</v>
      </c>
      <c r="C1868">
        <v>-81.84</v>
      </c>
      <c r="D1868" s="2">
        <v>44253</v>
      </c>
      <c r="E1868" t="s">
        <v>27</v>
      </c>
      <c r="F1868">
        <v>-81.84</v>
      </c>
      <c r="G1868">
        <v>0</v>
      </c>
    </row>
    <row r="1869" spans="1:7" x14ac:dyDescent="0.3">
      <c r="A1869" s="2">
        <v>44253</v>
      </c>
      <c r="B1869" t="s">
        <v>1016</v>
      </c>
      <c r="C1869">
        <v>-11.69</v>
      </c>
      <c r="D1869" s="2">
        <v>44253</v>
      </c>
      <c r="E1869" t="s">
        <v>27</v>
      </c>
      <c r="F1869">
        <v>-11.69</v>
      </c>
      <c r="G1869">
        <v>0</v>
      </c>
    </row>
    <row r="1870" spans="1:7" x14ac:dyDescent="0.3">
      <c r="A1870" s="2">
        <v>44253</v>
      </c>
      <c r="B1870" t="s">
        <v>1017</v>
      </c>
      <c r="C1870">
        <v>-22.17</v>
      </c>
      <c r="D1870" s="2">
        <v>44253</v>
      </c>
      <c r="E1870" t="s">
        <v>27</v>
      </c>
      <c r="F1870">
        <v>-22.17</v>
      </c>
      <c r="G1870">
        <v>0</v>
      </c>
    </row>
    <row r="1871" spans="1:7" x14ac:dyDescent="0.3">
      <c r="A1871" s="2">
        <v>44253</v>
      </c>
      <c r="B1871" t="s">
        <v>1018</v>
      </c>
      <c r="C1871">
        <v>-12.12</v>
      </c>
      <c r="D1871" s="2">
        <v>44253</v>
      </c>
      <c r="E1871" t="s">
        <v>27</v>
      </c>
      <c r="F1871">
        <v>-12.12</v>
      </c>
      <c r="G1871">
        <v>0</v>
      </c>
    </row>
    <row r="1872" spans="1:7" x14ac:dyDescent="0.3">
      <c r="A1872" s="2">
        <v>44256</v>
      </c>
      <c r="B1872" t="s">
        <v>1019</v>
      </c>
      <c r="C1872">
        <v>-10</v>
      </c>
      <c r="D1872" s="2">
        <v>44256</v>
      </c>
      <c r="E1872" t="s">
        <v>27</v>
      </c>
      <c r="F1872">
        <v>-10</v>
      </c>
      <c r="G1872">
        <v>0</v>
      </c>
    </row>
    <row r="1873" spans="1:7" x14ac:dyDescent="0.3">
      <c r="A1873" s="2">
        <v>44256</v>
      </c>
      <c r="B1873" t="s">
        <v>1020</v>
      </c>
      <c r="C1873">
        <v>25</v>
      </c>
      <c r="D1873" s="2">
        <v>44256</v>
      </c>
      <c r="E1873" t="s">
        <v>25</v>
      </c>
      <c r="F1873">
        <v>25</v>
      </c>
      <c r="G1873">
        <v>0</v>
      </c>
    </row>
    <row r="1874" spans="1:7" x14ac:dyDescent="0.3">
      <c r="A1874" s="2">
        <v>44256</v>
      </c>
      <c r="B1874" t="s">
        <v>1020</v>
      </c>
      <c r="C1874">
        <v>1075</v>
      </c>
      <c r="D1874" s="2">
        <v>44256</v>
      </c>
      <c r="E1874" t="s">
        <v>25</v>
      </c>
      <c r="F1874">
        <v>1075</v>
      </c>
      <c r="G1874">
        <v>0</v>
      </c>
    </row>
    <row r="1875" spans="1:7" x14ac:dyDescent="0.3">
      <c r="A1875" s="2">
        <v>44256</v>
      </c>
      <c r="B1875" t="s">
        <v>1021</v>
      </c>
      <c r="C1875">
        <v>1075</v>
      </c>
      <c r="D1875" s="2">
        <v>44256</v>
      </c>
      <c r="E1875" t="s">
        <v>25</v>
      </c>
      <c r="F1875">
        <v>1075</v>
      </c>
      <c r="G1875">
        <v>0</v>
      </c>
    </row>
    <row r="1876" spans="1:7" x14ac:dyDescent="0.3">
      <c r="A1876" s="2">
        <v>44256</v>
      </c>
      <c r="B1876" t="s">
        <v>1022</v>
      </c>
      <c r="C1876">
        <v>-50.26</v>
      </c>
      <c r="D1876" s="2">
        <v>44256</v>
      </c>
      <c r="E1876" t="s">
        <v>27</v>
      </c>
      <c r="F1876">
        <v>-50.26</v>
      </c>
      <c r="G1876">
        <v>0</v>
      </c>
    </row>
    <row r="1877" spans="1:7" x14ac:dyDescent="0.3">
      <c r="A1877" s="2">
        <v>44256</v>
      </c>
      <c r="B1877" t="s">
        <v>1023</v>
      </c>
      <c r="C1877">
        <v>-32.65</v>
      </c>
      <c r="D1877" s="2">
        <v>44256</v>
      </c>
      <c r="E1877" t="s">
        <v>27</v>
      </c>
      <c r="F1877">
        <v>-32.65</v>
      </c>
      <c r="G1877">
        <v>0</v>
      </c>
    </row>
    <row r="1878" spans="1:7" x14ac:dyDescent="0.3">
      <c r="A1878" s="2">
        <v>44256</v>
      </c>
      <c r="B1878" t="s">
        <v>1024</v>
      </c>
      <c r="C1878">
        <v>-11.97</v>
      </c>
      <c r="D1878" s="2">
        <v>44256</v>
      </c>
      <c r="E1878" t="s">
        <v>27</v>
      </c>
      <c r="F1878">
        <v>-11.97</v>
      </c>
      <c r="G1878">
        <v>0</v>
      </c>
    </row>
    <row r="1879" spans="1:7" x14ac:dyDescent="0.3">
      <c r="A1879" s="2">
        <v>44256</v>
      </c>
      <c r="B1879" t="s">
        <v>1025</v>
      </c>
      <c r="C1879">
        <v>-92.41</v>
      </c>
      <c r="D1879" s="2">
        <v>44256</v>
      </c>
      <c r="E1879" t="s">
        <v>27</v>
      </c>
      <c r="F1879">
        <v>-92.41</v>
      </c>
      <c r="G1879">
        <v>0</v>
      </c>
    </row>
    <row r="1880" spans="1:7" x14ac:dyDescent="0.3">
      <c r="A1880" s="2">
        <v>44256</v>
      </c>
      <c r="B1880" t="s">
        <v>1026</v>
      </c>
      <c r="C1880">
        <v>-30</v>
      </c>
      <c r="D1880" s="2">
        <v>44256</v>
      </c>
      <c r="E1880" t="s">
        <v>27</v>
      </c>
      <c r="F1880">
        <v>-30</v>
      </c>
      <c r="G1880">
        <v>0</v>
      </c>
    </row>
    <row r="1881" spans="1:7" x14ac:dyDescent="0.3">
      <c r="A1881" s="2">
        <v>44256</v>
      </c>
      <c r="B1881" t="s">
        <v>1027</v>
      </c>
      <c r="C1881">
        <v>-243.53</v>
      </c>
      <c r="D1881" s="2">
        <v>44256</v>
      </c>
      <c r="E1881" t="s">
        <v>27</v>
      </c>
      <c r="F1881">
        <v>-243.53</v>
      </c>
      <c r="G1881">
        <v>0</v>
      </c>
    </row>
    <row r="1882" spans="1:7" x14ac:dyDescent="0.3">
      <c r="A1882" s="2">
        <v>44257</v>
      </c>
      <c r="B1882" t="s">
        <v>1020</v>
      </c>
      <c r="C1882">
        <v>-1178.77</v>
      </c>
      <c r="D1882" s="2">
        <v>44257</v>
      </c>
      <c r="E1882" t="s">
        <v>27</v>
      </c>
      <c r="F1882">
        <v>-1178.77</v>
      </c>
      <c r="G1882">
        <v>0</v>
      </c>
    </row>
    <row r="1883" spans="1:7" x14ac:dyDescent="0.3">
      <c r="A1883" s="2">
        <v>44257</v>
      </c>
      <c r="B1883" t="s">
        <v>1028</v>
      </c>
      <c r="C1883">
        <v>4979</v>
      </c>
      <c r="D1883" s="2">
        <v>44259</v>
      </c>
      <c r="E1883" t="s">
        <v>25</v>
      </c>
      <c r="F1883">
        <v>4979</v>
      </c>
      <c r="G1883">
        <v>0</v>
      </c>
    </row>
    <row r="1884" spans="1:7" x14ac:dyDescent="0.3">
      <c r="A1884" s="2">
        <v>44258</v>
      </c>
      <c r="B1884" t="s">
        <v>1029</v>
      </c>
      <c r="C1884">
        <v>2525</v>
      </c>
      <c r="D1884" s="2">
        <v>44258</v>
      </c>
      <c r="E1884" t="s">
        <v>25</v>
      </c>
      <c r="F1884">
        <v>2525</v>
      </c>
      <c r="G1884">
        <v>0</v>
      </c>
    </row>
    <row r="1885" spans="1:7" x14ac:dyDescent="0.3">
      <c r="A1885" s="2">
        <v>44258</v>
      </c>
      <c r="B1885" t="s">
        <v>261</v>
      </c>
      <c r="C1885">
        <v>-34.950000000000003</v>
      </c>
      <c r="D1885" s="2">
        <v>44258</v>
      </c>
      <c r="E1885" t="s">
        <v>27</v>
      </c>
      <c r="F1885">
        <v>-34.950000000000003</v>
      </c>
      <c r="G1885">
        <v>0</v>
      </c>
    </row>
    <row r="1886" spans="1:7" x14ac:dyDescent="0.3">
      <c r="A1886" s="2">
        <v>44258</v>
      </c>
      <c r="B1886" t="s">
        <v>1030</v>
      </c>
      <c r="C1886">
        <v>-9</v>
      </c>
      <c r="D1886" s="2">
        <v>44258</v>
      </c>
      <c r="E1886" t="s">
        <v>27</v>
      </c>
      <c r="F1886">
        <v>-9</v>
      </c>
      <c r="G1886">
        <v>0</v>
      </c>
    </row>
    <row r="1887" spans="1:7" x14ac:dyDescent="0.3">
      <c r="A1887" s="2">
        <v>44258</v>
      </c>
      <c r="B1887" t="s">
        <v>1031</v>
      </c>
      <c r="C1887">
        <v>-159.68</v>
      </c>
      <c r="D1887" s="2">
        <v>44258</v>
      </c>
      <c r="E1887" t="s">
        <v>27</v>
      </c>
      <c r="F1887">
        <v>-159.68</v>
      </c>
      <c r="G1887">
        <v>0</v>
      </c>
    </row>
    <row r="1888" spans="1:7" x14ac:dyDescent="0.3">
      <c r="A1888" s="2">
        <v>44258</v>
      </c>
      <c r="B1888" t="s">
        <v>1032</v>
      </c>
      <c r="C1888">
        <v>0.62</v>
      </c>
      <c r="D1888" s="2">
        <v>44258</v>
      </c>
      <c r="E1888" t="s">
        <v>25</v>
      </c>
      <c r="F1888">
        <v>0.62</v>
      </c>
      <c r="G1888">
        <v>0</v>
      </c>
    </row>
    <row r="1889" spans="1:7" x14ac:dyDescent="0.3">
      <c r="A1889" s="2">
        <v>44259</v>
      </c>
      <c r="B1889" t="s">
        <v>1033</v>
      </c>
      <c r="C1889">
        <v>-200</v>
      </c>
      <c r="D1889" s="2">
        <v>44259</v>
      </c>
      <c r="E1889" t="s">
        <v>27</v>
      </c>
      <c r="F1889">
        <v>-200</v>
      </c>
      <c r="G1889">
        <v>0</v>
      </c>
    </row>
    <row r="1890" spans="1:7" x14ac:dyDescent="0.3">
      <c r="A1890" s="2">
        <v>44259</v>
      </c>
      <c r="B1890" t="s">
        <v>1034</v>
      </c>
      <c r="C1890">
        <v>-1300</v>
      </c>
      <c r="D1890" s="2">
        <v>44259</v>
      </c>
      <c r="E1890" t="s">
        <v>27</v>
      </c>
      <c r="F1890">
        <v>-1300</v>
      </c>
      <c r="G1890">
        <v>0</v>
      </c>
    </row>
    <row r="1891" spans="1:7" x14ac:dyDescent="0.3">
      <c r="A1891" s="2">
        <v>44259</v>
      </c>
      <c r="B1891" t="s">
        <v>1035</v>
      </c>
      <c r="C1891">
        <v>825</v>
      </c>
      <c r="D1891" s="2">
        <v>44259</v>
      </c>
      <c r="E1891" t="s">
        <v>25</v>
      </c>
      <c r="F1891">
        <v>825</v>
      </c>
      <c r="G1891">
        <v>0</v>
      </c>
    </row>
    <row r="1892" spans="1:7" x14ac:dyDescent="0.3">
      <c r="A1892" s="2">
        <v>44260</v>
      </c>
      <c r="B1892" t="s">
        <v>1036</v>
      </c>
      <c r="C1892">
        <v>-150</v>
      </c>
      <c r="D1892" s="2">
        <v>44260</v>
      </c>
      <c r="E1892" t="s">
        <v>27</v>
      </c>
      <c r="F1892">
        <v>-150</v>
      </c>
      <c r="G1892">
        <v>0</v>
      </c>
    </row>
    <row r="1893" spans="1:7" x14ac:dyDescent="0.3">
      <c r="A1893" s="2">
        <v>44260</v>
      </c>
      <c r="B1893" t="s">
        <v>1036</v>
      </c>
      <c r="C1893">
        <v>-250</v>
      </c>
      <c r="D1893" s="2">
        <v>44260</v>
      </c>
      <c r="E1893" t="s">
        <v>27</v>
      </c>
      <c r="F1893">
        <v>-250</v>
      </c>
      <c r="G1893">
        <v>0</v>
      </c>
    </row>
    <row r="1894" spans="1:7" x14ac:dyDescent="0.3">
      <c r="A1894" s="2">
        <v>44260</v>
      </c>
      <c r="B1894" t="s">
        <v>1037</v>
      </c>
      <c r="C1894">
        <v>1160</v>
      </c>
      <c r="D1894" s="2">
        <v>44260</v>
      </c>
      <c r="E1894" t="s">
        <v>25</v>
      </c>
      <c r="F1894">
        <v>1160</v>
      </c>
      <c r="G1894">
        <v>0</v>
      </c>
    </row>
    <row r="1895" spans="1:7" x14ac:dyDescent="0.3">
      <c r="A1895" s="2">
        <v>44260</v>
      </c>
      <c r="B1895" t="s">
        <v>1036</v>
      </c>
      <c r="C1895">
        <v>-150</v>
      </c>
      <c r="D1895" s="2">
        <v>44260</v>
      </c>
      <c r="E1895" t="s">
        <v>27</v>
      </c>
      <c r="F1895">
        <v>-150</v>
      </c>
      <c r="G1895">
        <v>0</v>
      </c>
    </row>
    <row r="1896" spans="1:7" x14ac:dyDescent="0.3">
      <c r="A1896" s="2">
        <v>44263</v>
      </c>
      <c r="B1896" t="s">
        <v>1038</v>
      </c>
      <c r="C1896">
        <v>525</v>
      </c>
      <c r="D1896" s="2">
        <v>44263</v>
      </c>
      <c r="E1896" t="s">
        <v>25</v>
      </c>
      <c r="F1896">
        <v>525</v>
      </c>
      <c r="G1896">
        <v>0</v>
      </c>
    </row>
    <row r="1897" spans="1:7" x14ac:dyDescent="0.3">
      <c r="A1897" s="2">
        <v>44263</v>
      </c>
      <c r="B1897" t="s">
        <v>1039</v>
      </c>
      <c r="C1897">
        <v>195</v>
      </c>
      <c r="D1897" s="2">
        <v>44263</v>
      </c>
      <c r="E1897" t="s">
        <v>25</v>
      </c>
      <c r="F1897">
        <v>195</v>
      </c>
      <c r="G1897">
        <v>0</v>
      </c>
    </row>
    <row r="1898" spans="1:7" x14ac:dyDescent="0.3">
      <c r="A1898" s="2">
        <v>44263</v>
      </c>
      <c r="B1898" t="s">
        <v>1040</v>
      </c>
      <c r="C1898">
        <v>-1200</v>
      </c>
      <c r="D1898" s="2">
        <v>44263</v>
      </c>
      <c r="E1898" t="s">
        <v>27</v>
      </c>
      <c r="F1898">
        <v>-1200</v>
      </c>
      <c r="G1898">
        <v>0</v>
      </c>
    </row>
    <row r="1899" spans="1:7" x14ac:dyDescent="0.3">
      <c r="A1899" s="2">
        <v>44263</v>
      </c>
      <c r="B1899" t="s">
        <v>1038</v>
      </c>
      <c r="C1899">
        <v>195</v>
      </c>
      <c r="D1899" s="2">
        <v>44263</v>
      </c>
      <c r="E1899" t="s">
        <v>25</v>
      </c>
      <c r="F1899">
        <v>195</v>
      </c>
      <c r="G1899">
        <v>0</v>
      </c>
    </row>
    <row r="1900" spans="1:7" x14ac:dyDescent="0.3">
      <c r="A1900" s="2">
        <v>44264</v>
      </c>
      <c r="B1900" t="s">
        <v>749</v>
      </c>
      <c r="C1900">
        <v>-20</v>
      </c>
      <c r="D1900" s="2">
        <v>44264</v>
      </c>
      <c r="E1900" t="s">
        <v>27</v>
      </c>
      <c r="F1900">
        <v>-20</v>
      </c>
      <c r="G1900">
        <v>0</v>
      </c>
    </row>
    <row r="1901" spans="1:7" x14ac:dyDescent="0.3">
      <c r="A1901" s="2">
        <v>44264</v>
      </c>
      <c r="B1901" t="s">
        <v>1041</v>
      </c>
      <c r="C1901">
        <v>330</v>
      </c>
      <c r="D1901" s="2">
        <v>44264</v>
      </c>
      <c r="E1901" t="s">
        <v>25</v>
      </c>
      <c r="F1901">
        <v>330</v>
      </c>
      <c r="G1901">
        <v>0</v>
      </c>
    </row>
    <row r="1902" spans="1:7" x14ac:dyDescent="0.3">
      <c r="A1902" s="2">
        <v>44265</v>
      </c>
      <c r="B1902" t="s">
        <v>1042</v>
      </c>
      <c r="C1902">
        <v>-16.95</v>
      </c>
      <c r="D1902" s="2">
        <v>44265</v>
      </c>
      <c r="E1902" t="s">
        <v>27</v>
      </c>
      <c r="F1902">
        <v>-16.95</v>
      </c>
      <c r="G1902">
        <v>0</v>
      </c>
    </row>
    <row r="1903" spans="1:7" x14ac:dyDescent="0.3">
      <c r="A1903" s="2">
        <v>44265</v>
      </c>
      <c r="B1903" t="s">
        <v>270</v>
      </c>
      <c r="C1903">
        <v>-9.99</v>
      </c>
      <c r="D1903" s="2">
        <v>44265</v>
      </c>
      <c r="E1903" t="s">
        <v>27</v>
      </c>
      <c r="F1903">
        <v>-9.99</v>
      </c>
      <c r="G1903">
        <v>0</v>
      </c>
    </row>
    <row r="1904" spans="1:7" x14ac:dyDescent="0.3">
      <c r="A1904" s="2">
        <v>44265</v>
      </c>
      <c r="B1904" t="s">
        <v>1043</v>
      </c>
      <c r="C1904">
        <v>550</v>
      </c>
      <c r="D1904" s="2">
        <v>44265</v>
      </c>
      <c r="E1904" t="s">
        <v>25</v>
      </c>
      <c r="F1904">
        <v>550</v>
      </c>
      <c r="G1904">
        <v>0</v>
      </c>
    </row>
    <row r="1905" spans="1:7" x14ac:dyDescent="0.3">
      <c r="A1905" s="2">
        <v>44266</v>
      </c>
      <c r="B1905" t="s">
        <v>1044</v>
      </c>
      <c r="C1905">
        <v>1035</v>
      </c>
      <c r="D1905" s="2">
        <v>44266</v>
      </c>
      <c r="E1905" t="s">
        <v>25</v>
      </c>
      <c r="F1905">
        <v>1035</v>
      </c>
      <c r="G1905">
        <v>0</v>
      </c>
    </row>
    <row r="1906" spans="1:7" x14ac:dyDescent="0.3">
      <c r="A1906" s="2">
        <v>44266</v>
      </c>
      <c r="B1906" t="s">
        <v>1045</v>
      </c>
      <c r="C1906">
        <v>-15</v>
      </c>
      <c r="D1906" s="2">
        <v>44266</v>
      </c>
      <c r="E1906" t="s">
        <v>27</v>
      </c>
      <c r="F1906">
        <v>-15</v>
      </c>
      <c r="G1906">
        <v>0</v>
      </c>
    </row>
    <row r="1907" spans="1:7" x14ac:dyDescent="0.3">
      <c r="A1907" s="2">
        <v>44267</v>
      </c>
      <c r="B1907" t="s">
        <v>1046</v>
      </c>
      <c r="C1907">
        <v>-39.99</v>
      </c>
      <c r="D1907" s="2">
        <v>44267</v>
      </c>
      <c r="E1907" t="s">
        <v>27</v>
      </c>
      <c r="F1907">
        <v>-39.99</v>
      </c>
      <c r="G1907">
        <v>0</v>
      </c>
    </row>
    <row r="1908" spans="1:7" x14ac:dyDescent="0.3">
      <c r="A1908" s="2">
        <v>44267</v>
      </c>
      <c r="B1908" t="s">
        <v>1047</v>
      </c>
      <c r="C1908">
        <v>-200</v>
      </c>
      <c r="D1908" s="2">
        <v>44267</v>
      </c>
      <c r="E1908" t="s">
        <v>27</v>
      </c>
      <c r="F1908">
        <v>-200</v>
      </c>
      <c r="G1908">
        <v>0</v>
      </c>
    </row>
    <row r="1909" spans="1:7" x14ac:dyDescent="0.3">
      <c r="A1909" s="2">
        <v>44267</v>
      </c>
      <c r="B1909" t="s">
        <v>1048</v>
      </c>
      <c r="C1909">
        <v>575</v>
      </c>
      <c r="D1909" s="2">
        <v>44267</v>
      </c>
      <c r="E1909" t="s">
        <v>25</v>
      </c>
      <c r="F1909">
        <v>575</v>
      </c>
      <c r="G1909">
        <v>0</v>
      </c>
    </row>
    <row r="1910" spans="1:7" x14ac:dyDescent="0.3">
      <c r="A1910" s="2">
        <v>44270</v>
      </c>
      <c r="B1910" t="s">
        <v>274</v>
      </c>
      <c r="C1910">
        <v>-19.59</v>
      </c>
      <c r="D1910" s="2">
        <v>44270</v>
      </c>
      <c r="E1910" t="s">
        <v>27</v>
      </c>
      <c r="F1910">
        <v>-19.59</v>
      </c>
      <c r="G1910">
        <v>0</v>
      </c>
    </row>
    <row r="1911" spans="1:7" x14ac:dyDescent="0.3">
      <c r="A1911" s="2">
        <v>44270</v>
      </c>
      <c r="B1911" t="s">
        <v>1049</v>
      </c>
      <c r="C1911">
        <v>1110</v>
      </c>
      <c r="D1911" s="2">
        <v>44270</v>
      </c>
      <c r="E1911" t="s">
        <v>25</v>
      </c>
      <c r="F1911">
        <v>1110</v>
      </c>
      <c r="G1911">
        <v>0</v>
      </c>
    </row>
    <row r="1912" spans="1:7" x14ac:dyDescent="0.3">
      <c r="A1912" s="2">
        <v>44270</v>
      </c>
      <c r="B1912" t="s">
        <v>1050</v>
      </c>
      <c r="C1912">
        <v>-28.14</v>
      </c>
      <c r="D1912" s="2">
        <v>44270</v>
      </c>
      <c r="E1912" t="s">
        <v>27</v>
      </c>
      <c r="F1912">
        <v>-28.14</v>
      </c>
      <c r="G1912">
        <v>0</v>
      </c>
    </row>
    <row r="1913" spans="1:7" x14ac:dyDescent="0.3">
      <c r="A1913" s="2">
        <v>44270</v>
      </c>
      <c r="B1913" t="s">
        <v>1051</v>
      </c>
      <c r="C1913">
        <v>-128.53</v>
      </c>
      <c r="D1913" s="2">
        <v>44270</v>
      </c>
      <c r="E1913" t="s">
        <v>27</v>
      </c>
      <c r="F1913">
        <v>-128.53</v>
      </c>
      <c r="G1913">
        <v>0</v>
      </c>
    </row>
    <row r="1914" spans="1:7" x14ac:dyDescent="0.3">
      <c r="A1914" s="2">
        <v>44270</v>
      </c>
      <c r="B1914" t="s">
        <v>1052</v>
      </c>
      <c r="C1914">
        <v>-500</v>
      </c>
      <c r="D1914" s="2">
        <v>44270</v>
      </c>
      <c r="E1914" t="s">
        <v>27</v>
      </c>
      <c r="F1914">
        <v>-500</v>
      </c>
      <c r="G1914">
        <v>0</v>
      </c>
    </row>
    <row r="1915" spans="1:7" x14ac:dyDescent="0.3">
      <c r="A1915" s="2">
        <v>44270</v>
      </c>
      <c r="B1915" t="s">
        <v>1049</v>
      </c>
      <c r="C1915">
        <v>585</v>
      </c>
      <c r="D1915" s="2">
        <v>44270</v>
      </c>
      <c r="E1915" t="s">
        <v>25</v>
      </c>
      <c r="F1915">
        <v>585</v>
      </c>
      <c r="G1915">
        <v>0</v>
      </c>
    </row>
    <row r="1916" spans="1:7" x14ac:dyDescent="0.3">
      <c r="A1916" s="2">
        <v>44270</v>
      </c>
      <c r="B1916" t="s">
        <v>1053</v>
      </c>
      <c r="C1916">
        <v>-327</v>
      </c>
      <c r="D1916" s="2">
        <v>44270</v>
      </c>
      <c r="E1916" t="s">
        <v>27</v>
      </c>
      <c r="F1916">
        <v>-327</v>
      </c>
      <c r="G1916">
        <v>0</v>
      </c>
    </row>
    <row r="1917" spans="1:7" x14ac:dyDescent="0.3">
      <c r="A1917" s="2">
        <v>44271</v>
      </c>
      <c r="B1917" t="s">
        <v>1054</v>
      </c>
      <c r="C1917">
        <v>-30000</v>
      </c>
      <c r="D1917" s="2">
        <v>44271</v>
      </c>
      <c r="E1917" t="s">
        <v>27</v>
      </c>
      <c r="F1917">
        <v>-30000</v>
      </c>
      <c r="G1917">
        <v>0</v>
      </c>
    </row>
    <row r="1918" spans="1:7" x14ac:dyDescent="0.3">
      <c r="A1918" s="2">
        <v>44271</v>
      </c>
      <c r="B1918" t="s">
        <v>1055</v>
      </c>
      <c r="C1918">
        <v>500</v>
      </c>
      <c r="D1918" s="2">
        <v>44271</v>
      </c>
      <c r="E1918" t="s">
        <v>25</v>
      </c>
      <c r="F1918">
        <v>500</v>
      </c>
      <c r="G1918">
        <v>0</v>
      </c>
    </row>
    <row r="1919" spans="1:7" x14ac:dyDescent="0.3">
      <c r="A1919" s="2">
        <v>44271</v>
      </c>
      <c r="B1919" t="s">
        <v>1056</v>
      </c>
      <c r="C1919">
        <v>-51.38</v>
      </c>
      <c r="D1919" s="2">
        <v>44271</v>
      </c>
      <c r="E1919" t="s">
        <v>27</v>
      </c>
      <c r="F1919">
        <v>-51.38</v>
      </c>
      <c r="G1919">
        <v>0</v>
      </c>
    </row>
    <row r="1920" spans="1:7" x14ac:dyDescent="0.3">
      <c r="A1920" s="2">
        <v>44271</v>
      </c>
      <c r="B1920" t="s">
        <v>1057</v>
      </c>
      <c r="C1920">
        <v>-5511.41</v>
      </c>
      <c r="D1920" s="2">
        <v>44271</v>
      </c>
      <c r="E1920" t="s">
        <v>27</v>
      </c>
      <c r="F1920">
        <v>-5511.41</v>
      </c>
      <c r="G1920">
        <v>0</v>
      </c>
    </row>
    <row r="1921" spans="1:7" x14ac:dyDescent="0.3">
      <c r="A1921" s="2">
        <v>44271</v>
      </c>
      <c r="B1921" t="s">
        <v>1058</v>
      </c>
      <c r="C1921">
        <v>-32500</v>
      </c>
      <c r="D1921" s="2">
        <v>44271</v>
      </c>
      <c r="E1921" t="s">
        <v>27</v>
      </c>
      <c r="F1921">
        <v>-32500</v>
      </c>
      <c r="G1921">
        <v>0</v>
      </c>
    </row>
    <row r="1922" spans="1:7" x14ac:dyDescent="0.3">
      <c r="A1922" s="2">
        <v>44271</v>
      </c>
      <c r="B1922" t="s">
        <v>1059</v>
      </c>
      <c r="C1922">
        <v>-5525</v>
      </c>
      <c r="D1922" s="2">
        <v>44271</v>
      </c>
      <c r="E1922" t="s">
        <v>27</v>
      </c>
      <c r="F1922">
        <v>-5525</v>
      </c>
      <c r="G1922">
        <v>0</v>
      </c>
    </row>
    <row r="1923" spans="1:7" x14ac:dyDescent="0.3">
      <c r="A1923" s="2">
        <v>44271</v>
      </c>
      <c r="B1923" t="s">
        <v>1060</v>
      </c>
      <c r="C1923">
        <v>-21000</v>
      </c>
      <c r="D1923" s="2">
        <v>44271</v>
      </c>
      <c r="E1923" t="s">
        <v>27</v>
      </c>
      <c r="F1923">
        <v>-21000</v>
      </c>
      <c r="G1923">
        <v>0</v>
      </c>
    </row>
    <row r="1924" spans="1:7" x14ac:dyDescent="0.3">
      <c r="A1924" s="2">
        <v>44271</v>
      </c>
      <c r="B1924" t="s">
        <v>1061</v>
      </c>
      <c r="C1924">
        <v>-250</v>
      </c>
      <c r="D1924" s="2">
        <v>44271</v>
      </c>
      <c r="E1924" t="s">
        <v>27</v>
      </c>
      <c r="F1924">
        <v>-250</v>
      </c>
      <c r="G1924">
        <v>0</v>
      </c>
    </row>
    <row r="1925" spans="1:7" x14ac:dyDescent="0.3">
      <c r="A1925" s="2">
        <v>44271</v>
      </c>
      <c r="B1925" t="s">
        <v>1062</v>
      </c>
      <c r="C1925">
        <v>-15</v>
      </c>
      <c r="D1925" s="2">
        <v>44271</v>
      </c>
      <c r="E1925" t="s">
        <v>27</v>
      </c>
      <c r="F1925">
        <v>-15</v>
      </c>
      <c r="G1925">
        <v>0</v>
      </c>
    </row>
    <row r="1926" spans="1:7" x14ac:dyDescent="0.3">
      <c r="A1926" s="2">
        <v>44272</v>
      </c>
      <c r="B1926" t="s">
        <v>1063</v>
      </c>
      <c r="C1926">
        <v>-3500</v>
      </c>
      <c r="D1926" s="2">
        <v>44272</v>
      </c>
      <c r="E1926" t="s">
        <v>27</v>
      </c>
      <c r="F1926">
        <v>-3500</v>
      </c>
      <c r="G1926">
        <v>0</v>
      </c>
    </row>
    <row r="1927" spans="1:7" x14ac:dyDescent="0.3">
      <c r="A1927" s="2">
        <v>44272</v>
      </c>
      <c r="B1927" t="s">
        <v>1064</v>
      </c>
      <c r="C1927">
        <v>-2050</v>
      </c>
      <c r="D1927" s="2">
        <v>44272</v>
      </c>
      <c r="E1927" t="s">
        <v>27</v>
      </c>
      <c r="F1927">
        <v>-2050</v>
      </c>
      <c r="G1927">
        <v>0</v>
      </c>
    </row>
    <row r="1928" spans="1:7" x14ac:dyDescent="0.3">
      <c r="A1928" s="2">
        <v>44272</v>
      </c>
      <c r="B1928" t="s">
        <v>1065</v>
      </c>
      <c r="C1928">
        <v>3425</v>
      </c>
      <c r="D1928" s="2">
        <v>44272</v>
      </c>
      <c r="E1928" t="s">
        <v>25</v>
      </c>
      <c r="F1928">
        <v>3425</v>
      </c>
      <c r="G1928">
        <v>0</v>
      </c>
    </row>
    <row r="1929" spans="1:7" x14ac:dyDescent="0.3">
      <c r="A1929" s="2">
        <v>44272</v>
      </c>
      <c r="B1929" t="s">
        <v>1066</v>
      </c>
      <c r="C1929">
        <v>-123</v>
      </c>
      <c r="D1929" s="2">
        <v>44272</v>
      </c>
      <c r="E1929" t="s">
        <v>27</v>
      </c>
      <c r="F1929">
        <v>-123</v>
      </c>
      <c r="G1929">
        <v>0</v>
      </c>
    </row>
    <row r="1930" spans="1:7" x14ac:dyDescent="0.3">
      <c r="A1930" s="2">
        <v>44272</v>
      </c>
      <c r="B1930" t="s">
        <v>1066</v>
      </c>
      <c r="C1930">
        <v>-25</v>
      </c>
      <c r="D1930" s="2">
        <v>44272</v>
      </c>
      <c r="E1930" t="s">
        <v>27</v>
      </c>
      <c r="F1930">
        <v>-25</v>
      </c>
      <c r="G1930">
        <v>0</v>
      </c>
    </row>
    <row r="1931" spans="1:7" x14ac:dyDescent="0.3">
      <c r="A1931" s="2">
        <v>44273</v>
      </c>
      <c r="B1931" t="s">
        <v>1067</v>
      </c>
      <c r="C1931">
        <v>-7.95</v>
      </c>
      <c r="D1931" s="2">
        <v>44273</v>
      </c>
      <c r="E1931" t="s">
        <v>27</v>
      </c>
      <c r="F1931">
        <v>-7.95</v>
      </c>
      <c r="G1931">
        <v>0</v>
      </c>
    </row>
    <row r="1932" spans="1:7" x14ac:dyDescent="0.3">
      <c r="A1932" s="2">
        <v>44273</v>
      </c>
      <c r="B1932" t="s">
        <v>1068</v>
      </c>
      <c r="C1932">
        <v>1590</v>
      </c>
      <c r="D1932" s="2">
        <v>44273</v>
      </c>
      <c r="E1932" t="s">
        <v>25</v>
      </c>
      <c r="F1932">
        <v>1590</v>
      </c>
      <c r="G1932">
        <v>0</v>
      </c>
    </row>
    <row r="1933" spans="1:7" x14ac:dyDescent="0.3">
      <c r="A1933" s="2">
        <v>44273</v>
      </c>
      <c r="B1933" t="s">
        <v>1069</v>
      </c>
      <c r="C1933">
        <v>-7.95</v>
      </c>
      <c r="D1933" s="2">
        <v>44273</v>
      </c>
      <c r="E1933" t="s">
        <v>27</v>
      </c>
      <c r="F1933">
        <v>-7.95</v>
      </c>
      <c r="G1933">
        <v>0</v>
      </c>
    </row>
    <row r="1934" spans="1:7" x14ac:dyDescent="0.3">
      <c r="A1934" s="2">
        <v>44273</v>
      </c>
      <c r="B1934" t="s">
        <v>1070</v>
      </c>
      <c r="C1934">
        <v>-25</v>
      </c>
      <c r="D1934" s="2">
        <v>44273</v>
      </c>
      <c r="E1934" t="s">
        <v>27</v>
      </c>
      <c r="F1934">
        <v>-25</v>
      </c>
      <c r="G1934">
        <v>0</v>
      </c>
    </row>
    <row r="1935" spans="1:7" x14ac:dyDescent="0.3">
      <c r="A1935" s="2">
        <v>44273</v>
      </c>
      <c r="B1935" t="s">
        <v>1071</v>
      </c>
      <c r="C1935">
        <v>-30.06</v>
      </c>
      <c r="D1935" s="2">
        <v>44273</v>
      </c>
      <c r="E1935" t="s">
        <v>27</v>
      </c>
      <c r="F1935">
        <v>-30.06</v>
      </c>
      <c r="G1935">
        <v>0</v>
      </c>
    </row>
    <row r="1936" spans="1:7" x14ac:dyDescent="0.3">
      <c r="A1936" s="2">
        <v>44274</v>
      </c>
      <c r="B1936" t="s">
        <v>1072</v>
      </c>
      <c r="C1936">
        <v>1170</v>
      </c>
      <c r="D1936" s="2">
        <v>44274</v>
      </c>
      <c r="E1936" t="s">
        <v>25</v>
      </c>
      <c r="F1936">
        <v>1170</v>
      </c>
      <c r="G1936">
        <v>0</v>
      </c>
    </row>
    <row r="1937" spans="1:7" x14ac:dyDescent="0.3">
      <c r="A1937" s="2">
        <v>44274</v>
      </c>
      <c r="B1937" t="s">
        <v>1073</v>
      </c>
      <c r="C1937">
        <v>-56.09</v>
      </c>
      <c r="D1937" s="2">
        <v>44274</v>
      </c>
      <c r="E1937" t="s">
        <v>27</v>
      </c>
      <c r="F1937">
        <v>-56.09</v>
      </c>
      <c r="G1937">
        <v>0</v>
      </c>
    </row>
    <row r="1938" spans="1:7" x14ac:dyDescent="0.3">
      <c r="A1938" s="2">
        <v>44277</v>
      </c>
      <c r="B1938" t="s">
        <v>1074</v>
      </c>
      <c r="C1938">
        <v>2015</v>
      </c>
      <c r="D1938" s="2">
        <v>44277</v>
      </c>
      <c r="E1938" t="s">
        <v>25</v>
      </c>
      <c r="F1938">
        <v>2015</v>
      </c>
      <c r="G1938">
        <v>0</v>
      </c>
    </row>
    <row r="1939" spans="1:7" x14ac:dyDescent="0.3">
      <c r="A1939" s="2">
        <v>44277</v>
      </c>
      <c r="B1939" t="s">
        <v>1075</v>
      </c>
      <c r="C1939">
        <v>-7.95</v>
      </c>
      <c r="D1939" s="2">
        <v>44277</v>
      </c>
      <c r="E1939" t="s">
        <v>27</v>
      </c>
      <c r="F1939">
        <v>-7.95</v>
      </c>
      <c r="G1939">
        <v>0</v>
      </c>
    </row>
    <row r="1940" spans="1:7" x14ac:dyDescent="0.3">
      <c r="A1940" s="2">
        <v>44277</v>
      </c>
      <c r="B1940" t="s">
        <v>1076</v>
      </c>
      <c r="C1940">
        <v>905</v>
      </c>
      <c r="D1940" s="2">
        <v>44277</v>
      </c>
      <c r="E1940" t="s">
        <v>25</v>
      </c>
      <c r="F1940">
        <v>905</v>
      </c>
      <c r="G1940">
        <v>0</v>
      </c>
    </row>
    <row r="1941" spans="1:7" x14ac:dyDescent="0.3">
      <c r="A1941" s="2">
        <v>44277</v>
      </c>
      <c r="B1941" t="s">
        <v>1076</v>
      </c>
      <c r="C1941">
        <v>440</v>
      </c>
      <c r="D1941" s="2">
        <v>44277</v>
      </c>
      <c r="E1941" t="s">
        <v>25</v>
      </c>
      <c r="F1941">
        <v>440</v>
      </c>
      <c r="G1941">
        <v>0</v>
      </c>
    </row>
    <row r="1942" spans="1:7" x14ac:dyDescent="0.3">
      <c r="A1942" s="2">
        <v>44278</v>
      </c>
      <c r="B1942" t="s">
        <v>1077</v>
      </c>
      <c r="C1942">
        <v>-32</v>
      </c>
      <c r="D1942" s="2">
        <v>44278</v>
      </c>
      <c r="E1942" t="s">
        <v>27</v>
      </c>
      <c r="F1942">
        <v>-32</v>
      </c>
      <c r="G1942">
        <v>0</v>
      </c>
    </row>
    <row r="1943" spans="1:7" x14ac:dyDescent="0.3">
      <c r="A1943" s="2">
        <v>44278</v>
      </c>
      <c r="B1943" t="s">
        <v>1078</v>
      </c>
      <c r="C1943">
        <v>415</v>
      </c>
      <c r="D1943" s="2">
        <v>44278</v>
      </c>
      <c r="E1943" t="s">
        <v>25</v>
      </c>
      <c r="F1943">
        <v>415</v>
      </c>
      <c r="G1943">
        <v>0</v>
      </c>
    </row>
    <row r="1944" spans="1:7" x14ac:dyDescent="0.3">
      <c r="A1944" s="2">
        <v>44279</v>
      </c>
      <c r="B1944" t="s">
        <v>1079</v>
      </c>
      <c r="C1944">
        <v>-161.06</v>
      </c>
      <c r="D1944" s="2">
        <v>44279</v>
      </c>
      <c r="E1944" t="s">
        <v>27</v>
      </c>
      <c r="F1944">
        <v>-161.06</v>
      </c>
      <c r="G1944">
        <v>0</v>
      </c>
    </row>
    <row r="1945" spans="1:7" x14ac:dyDescent="0.3">
      <c r="A1945" s="2">
        <v>44279</v>
      </c>
      <c r="B1945" t="s">
        <v>1080</v>
      </c>
      <c r="C1945">
        <v>1105</v>
      </c>
      <c r="D1945" s="2">
        <v>44279</v>
      </c>
      <c r="E1945" t="s">
        <v>25</v>
      </c>
      <c r="F1945">
        <v>1105</v>
      </c>
      <c r="G1945">
        <v>0</v>
      </c>
    </row>
    <row r="1946" spans="1:7" x14ac:dyDescent="0.3">
      <c r="A1946" s="2">
        <v>44280</v>
      </c>
      <c r="B1946" t="s">
        <v>1081</v>
      </c>
      <c r="C1946">
        <v>3825</v>
      </c>
      <c r="D1946" s="2">
        <v>44280</v>
      </c>
      <c r="E1946" t="s">
        <v>25</v>
      </c>
      <c r="F1946">
        <v>3825</v>
      </c>
      <c r="G1946">
        <v>0</v>
      </c>
    </row>
    <row r="1947" spans="1:7" x14ac:dyDescent="0.3">
      <c r="A1947" s="2">
        <v>44281</v>
      </c>
      <c r="B1947" t="s">
        <v>1082</v>
      </c>
      <c r="C1947">
        <v>1195</v>
      </c>
      <c r="D1947" s="2">
        <v>44281</v>
      </c>
      <c r="E1947" t="s">
        <v>25</v>
      </c>
      <c r="F1947">
        <v>1195</v>
      </c>
      <c r="G1947">
        <v>0</v>
      </c>
    </row>
    <row r="1948" spans="1:7" x14ac:dyDescent="0.3">
      <c r="A1948" s="2">
        <v>44284</v>
      </c>
      <c r="B1948" t="s">
        <v>1083</v>
      </c>
      <c r="C1948">
        <v>2190</v>
      </c>
      <c r="D1948" s="2">
        <v>44284</v>
      </c>
      <c r="E1948" t="s">
        <v>25</v>
      </c>
      <c r="F1948">
        <v>2190</v>
      </c>
      <c r="G1948">
        <v>0</v>
      </c>
    </row>
    <row r="1949" spans="1:7" x14ac:dyDescent="0.3">
      <c r="A1949" s="2">
        <v>44284</v>
      </c>
      <c r="B1949" t="s">
        <v>1083</v>
      </c>
      <c r="C1949">
        <v>110</v>
      </c>
      <c r="D1949" s="2">
        <v>44284</v>
      </c>
      <c r="E1949" t="s">
        <v>25</v>
      </c>
      <c r="F1949">
        <v>110</v>
      </c>
      <c r="G1949">
        <v>0</v>
      </c>
    </row>
    <row r="1950" spans="1:7" x14ac:dyDescent="0.3">
      <c r="A1950" s="2">
        <v>44284</v>
      </c>
      <c r="B1950" t="s">
        <v>1084</v>
      </c>
      <c r="C1950">
        <v>-10</v>
      </c>
      <c r="D1950" s="2">
        <v>44284</v>
      </c>
      <c r="E1950" t="s">
        <v>27</v>
      </c>
      <c r="F1950">
        <v>-10</v>
      </c>
      <c r="G1950">
        <v>0</v>
      </c>
    </row>
    <row r="1951" spans="1:7" x14ac:dyDescent="0.3">
      <c r="A1951" s="2">
        <v>44284</v>
      </c>
      <c r="B1951" t="s">
        <v>1085</v>
      </c>
      <c r="C1951">
        <v>475</v>
      </c>
      <c r="D1951" s="2">
        <v>44284</v>
      </c>
      <c r="E1951" t="s">
        <v>25</v>
      </c>
      <c r="F1951">
        <v>475</v>
      </c>
      <c r="G1951">
        <v>0</v>
      </c>
    </row>
    <row r="1952" spans="1:7" x14ac:dyDescent="0.3">
      <c r="A1952" s="2">
        <v>44284</v>
      </c>
      <c r="B1952" t="s">
        <v>1086</v>
      </c>
      <c r="C1952">
        <v>-6000</v>
      </c>
      <c r="D1952" s="2">
        <v>44284</v>
      </c>
      <c r="E1952" t="s">
        <v>27</v>
      </c>
      <c r="F1952">
        <v>-6000</v>
      </c>
      <c r="G1952">
        <v>0</v>
      </c>
    </row>
    <row r="1953" spans="1:7" x14ac:dyDescent="0.3">
      <c r="A1953" s="2">
        <v>44284</v>
      </c>
      <c r="B1953" t="s">
        <v>286</v>
      </c>
      <c r="C1953">
        <v>-103.44</v>
      </c>
      <c r="D1953" s="2">
        <v>44284</v>
      </c>
      <c r="E1953" t="s">
        <v>27</v>
      </c>
      <c r="F1953">
        <v>-103.44</v>
      </c>
      <c r="G1953">
        <v>0</v>
      </c>
    </row>
    <row r="1954" spans="1:7" x14ac:dyDescent="0.3">
      <c r="A1954" s="2">
        <v>44285</v>
      </c>
      <c r="B1954" t="s">
        <v>1087</v>
      </c>
      <c r="C1954">
        <v>805</v>
      </c>
      <c r="D1954" s="2">
        <v>44285</v>
      </c>
      <c r="E1954" t="s">
        <v>25</v>
      </c>
      <c r="F1954">
        <v>805</v>
      </c>
      <c r="G1954">
        <v>0</v>
      </c>
    </row>
    <row r="1955" spans="1:7" x14ac:dyDescent="0.3">
      <c r="A1955" s="2">
        <v>44286</v>
      </c>
      <c r="B1955" t="s">
        <v>1088</v>
      </c>
      <c r="C1955">
        <v>-30.39</v>
      </c>
      <c r="D1955" s="2">
        <v>44286</v>
      </c>
      <c r="E1955" t="s">
        <v>27</v>
      </c>
      <c r="F1955">
        <v>-30.39</v>
      </c>
      <c r="G1955">
        <v>0</v>
      </c>
    </row>
    <row r="1956" spans="1:7" x14ac:dyDescent="0.3">
      <c r="A1956" s="2">
        <v>44286</v>
      </c>
      <c r="B1956" t="s">
        <v>1089</v>
      </c>
      <c r="C1956">
        <v>1190</v>
      </c>
      <c r="D1956" s="2">
        <v>44286</v>
      </c>
      <c r="E1956" t="s">
        <v>25</v>
      </c>
      <c r="F1956">
        <v>1190</v>
      </c>
      <c r="G1956">
        <v>0</v>
      </c>
    </row>
    <row r="1957" spans="1:7" x14ac:dyDescent="0.3">
      <c r="A1957" s="2">
        <v>44287</v>
      </c>
      <c r="B1957" t="s">
        <v>1090</v>
      </c>
      <c r="C1957">
        <v>2020</v>
      </c>
      <c r="D1957" s="2">
        <v>44287</v>
      </c>
      <c r="E1957" t="s">
        <v>25</v>
      </c>
      <c r="F1957">
        <v>2020</v>
      </c>
      <c r="G1957">
        <v>0</v>
      </c>
    </row>
    <row r="1958" spans="1:7" x14ac:dyDescent="0.3">
      <c r="A1958" s="2">
        <v>44287</v>
      </c>
      <c r="B1958" t="s">
        <v>1091</v>
      </c>
      <c r="C1958">
        <v>9979</v>
      </c>
      <c r="D1958" s="2">
        <v>44286</v>
      </c>
      <c r="E1958" t="s">
        <v>25</v>
      </c>
      <c r="F1958">
        <v>9979</v>
      </c>
      <c r="G1958">
        <v>0</v>
      </c>
    </row>
    <row r="1959" spans="1:7" x14ac:dyDescent="0.3">
      <c r="A1959" s="2">
        <v>44287</v>
      </c>
      <c r="B1959" t="s">
        <v>1092</v>
      </c>
      <c r="C1959">
        <v>-108.86</v>
      </c>
      <c r="D1959" s="2">
        <v>44287</v>
      </c>
      <c r="E1959" t="s">
        <v>27</v>
      </c>
      <c r="F1959">
        <v>-108.86</v>
      </c>
      <c r="G1959">
        <v>0</v>
      </c>
    </row>
    <row r="1960" spans="1:7" x14ac:dyDescent="0.3">
      <c r="A1960" s="2">
        <v>44288</v>
      </c>
      <c r="B1960" t="s">
        <v>1093</v>
      </c>
      <c r="C1960">
        <v>-1830.89</v>
      </c>
      <c r="D1960" s="2">
        <v>44288</v>
      </c>
      <c r="E1960" t="s">
        <v>27</v>
      </c>
      <c r="F1960">
        <v>-1830.89</v>
      </c>
      <c r="G1960">
        <v>0</v>
      </c>
    </row>
    <row r="1961" spans="1:7" x14ac:dyDescent="0.3">
      <c r="A1961" s="2">
        <v>44288</v>
      </c>
      <c r="B1961" t="s">
        <v>1094</v>
      </c>
      <c r="C1961">
        <v>660</v>
      </c>
      <c r="D1961" s="2">
        <v>44288</v>
      </c>
      <c r="E1961" t="s">
        <v>25</v>
      </c>
      <c r="F1961">
        <v>660</v>
      </c>
      <c r="G1961">
        <v>0</v>
      </c>
    </row>
    <row r="1962" spans="1:7" x14ac:dyDescent="0.3">
      <c r="A1962" s="2">
        <v>44288</v>
      </c>
      <c r="B1962" t="s">
        <v>1090</v>
      </c>
      <c r="C1962">
        <v>-1348.08</v>
      </c>
      <c r="D1962" s="2">
        <v>44288</v>
      </c>
      <c r="E1962" t="s">
        <v>27</v>
      </c>
      <c r="F1962">
        <v>-1348.08</v>
      </c>
      <c r="G1962">
        <v>0</v>
      </c>
    </row>
    <row r="1963" spans="1:7" x14ac:dyDescent="0.3">
      <c r="A1963" s="2">
        <v>44288</v>
      </c>
      <c r="B1963" t="s">
        <v>1095</v>
      </c>
      <c r="C1963">
        <v>-30</v>
      </c>
      <c r="D1963" s="2">
        <v>44288</v>
      </c>
      <c r="E1963" t="s">
        <v>27</v>
      </c>
      <c r="F1963">
        <v>-30</v>
      </c>
      <c r="G1963">
        <v>0</v>
      </c>
    </row>
    <row r="1964" spans="1:7" x14ac:dyDescent="0.3">
      <c r="A1964" s="2">
        <v>44291</v>
      </c>
      <c r="B1964" t="s">
        <v>1096</v>
      </c>
      <c r="C1964">
        <v>-9</v>
      </c>
      <c r="D1964" s="2">
        <v>44291</v>
      </c>
      <c r="E1964" t="s">
        <v>27</v>
      </c>
      <c r="F1964">
        <v>-9</v>
      </c>
      <c r="G1964">
        <v>0</v>
      </c>
    </row>
    <row r="1965" spans="1:7" x14ac:dyDescent="0.3">
      <c r="A1965" s="2">
        <v>44291</v>
      </c>
      <c r="B1965" t="s">
        <v>290</v>
      </c>
      <c r="C1965">
        <v>-64.95</v>
      </c>
      <c r="D1965" s="2">
        <v>44291</v>
      </c>
      <c r="E1965" t="s">
        <v>27</v>
      </c>
      <c r="F1965">
        <v>-64.95</v>
      </c>
      <c r="G1965">
        <v>0</v>
      </c>
    </row>
    <row r="1966" spans="1:7" x14ac:dyDescent="0.3">
      <c r="A1966" s="2">
        <v>44291</v>
      </c>
      <c r="B1966" t="s">
        <v>1097</v>
      </c>
      <c r="C1966">
        <v>343.75</v>
      </c>
      <c r="D1966" s="2">
        <v>44291</v>
      </c>
      <c r="E1966" t="s">
        <v>25</v>
      </c>
      <c r="F1966">
        <v>343.75</v>
      </c>
      <c r="G1966">
        <v>0</v>
      </c>
    </row>
    <row r="1967" spans="1:7" x14ac:dyDescent="0.3">
      <c r="A1967" s="2">
        <v>44291</v>
      </c>
      <c r="B1967" t="s">
        <v>1097</v>
      </c>
      <c r="C1967">
        <v>797.5</v>
      </c>
      <c r="D1967" s="2">
        <v>44291</v>
      </c>
      <c r="E1967" t="s">
        <v>25</v>
      </c>
      <c r="F1967">
        <v>797.5</v>
      </c>
      <c r="G1967">
        <v>0</v>
      </c>
    </row>
    <row r="1968" spans="1:7" x14ac:dyDescent="0.3">
      <c r="A1968" s="2">
        <v>44291</v>
      </c>
      <c r="B1968" t="s">
        <v>1098</v>
      </c>
      <c r="C1968">
        <v>923.75</v>
      </c>
      <c r="D1968" s="2">
        <v>44291</v>
      </c>
      <c r="E1968" t="s">
        <v>25</v>
      </c>
      <c r="F1968">
        <v>923.75</v>
      </c>
      <c r="G1968">
        <v>0</v>
      </c>
    </row>
    <row r="1969" spans="1:7" x14ac:dyDescent="0.3">
      <c r="A1969" s="2">
        <v>44292</v>
      </c>
      <c r="B1969" t="s">
        <v>1099</v>
      </c>
      <c r="C1969">
        <v>662.5</v>
      </c>
      <c r="D1969" s="2">
        <v>44292</v>
      </c>
      <c r="E1969" t="s">
        <v>25</v>
      </c>
      <c r="F1969">
        <v>662.5</v>
      </c>
      <c r="G1969">
        <v>0</v>
      </c>
    </row>
    <row r="1970" spans="1:7" x14ac:dyDescent="0.3">
      <c r="A1970" s="2">
        <v>44293</v>
      </c>
      <c r="B1970" t="s">
        <v>1100</v>
      </c>
      <c r="C1970">
        <v>-36.97</v>
      </c>
      <c r="D1970" s="2">
        <v>44293</v>
      </c>
      <c r="E1970" t="s">
        <v>27</v>
      </c>
      <c r="F1970">
        <v>-36.97</v>
      </c>
      <c r="G1970">
        <v>0</v>
      </c>
    </row>
    <row r="1971" spans="1:7" x14ac:dyDescent="0.3">
      <c r="A1971" s="2">
        <v>44293</v>
      </c>
      <c r="B1971" t="s">
        <v>1101</v>
      </c>
      <c r="C1971">
        <v>1433.7</v>
      </c>
      <c r="D1971" s="2">
        <v>44293</v>
      </c>
      <c r="E1971" t="s">
        <v>25</v>
      </c>
      <c r="F1971">
        <v>1433.7</v>
      </c>
      <c r="G1971">
        <v>0</v>
      </c>
    </row>
    <row r="1972" spans="1:7" x14ac:dyDescent="0.3">
      <c r="A1972" s="2">
        <v>44293</v>
      </c>
      <c r="B1972" t="s">
        <v>1102</v>
      </c>
      <c r="C1972">
        <v>10</v>
      </c>
      <c r="D1972" s="2">
        <v>44293</v>
      </c>
      <c r="E1972" t="s">
        <v>25</v>
      </c>
      <c r="F1972">
        <v>10</v>
      </c>
      <c r="G1972">
        <v>0</v>
      </c>
    </row>
    <row r="1973" spans="1:7" x14ac:dyDescent="0.3">
      <c r="A1973" s="2">
        <v>44293</v>
      </c>
      <c r="B1973" t="s">
        <v>1103</v>
      </c>
      <c r="C1973">
        <v>1682.5</v>
      </c>
      <c r="D1973" s="2">
        <v>44293</v>
      </c>
      <c r="E1973" t="s">
        <v>25</v>
      </c>
      <c r="F1973">
        <v>1682.5</v>
      </c>
      <c r="G1973">
        <v>0</v>
      </c>
    </row>
    <row r="1974" spans="1:7" x14ac:dyDescent="0.3">
      <c r="A1974" s="2">
        <v>44294</v>
      </c>
      <c r="B1974" t="s">
        <v>1104</v>
      </c>
      <c r="C1974">
        <v>843.75</v>
      </c>
      <c r="D1974" s="2">
        <v>44294</v>
      </c>
      <c r="E1974" t="s">
        <v>25</v>
      </c>
      <c r="F1974">
        <v>843.75</v>
      </c>
      <c r="G1974">
        <v>0</v>
      </c>
    </row>
    <row r="1975" spans="1:7" x14ac:dyDescent="0.3">
      <c r="A1975" s="2">
        <v>44295</v>
      </c>
      <c r="B1975" t="s">
        <v>1105</v>
      </c>
      <c r="C1975">
        <v>2015</v>
      </c>
      <c r="D1975" s="2">
        <v>44295</v>
      </c>
      <c r="E1975" t="s">
        <v>25</v>
      </c>
      <c r="F1975">
        <v>2015</v>
      </c>
      <c r="G1975">
        <v>0</v>
      </c>
    </row>
    <row r="1976" spans="1:7" x14ac:dyDescent="0.3">
      <c r="A1976" s="2">
        <v>44298</v>
      </c>
      <c r="B1976" t="s">
        <v>296</v>
      </c>
      <c r="C1976">
        <v>-9.99</v>
      </c>
      <c r="D1976" s="2">
        <v>44298</v>
      </c>
      <c r="E1976" t="s">
        <v>27</v>
      </c>
      <c r="F1976">
        <v>-9.99</v>
      </c>
      <c r="G1976">
        <v>0</v>
      </c>
    </row>
    <row r="1977" spans="1:7" x14ac:dyDescent="0.3">
      <c r="A1977" s="2">
        <v>44298</v>
      </c>
      <c r="B1977" t="s">
        <v>1106</v>
      </c>
      <c r="C1977">
        <v>-16.95</v>
      </c>
      <c r="D1977" s="2">
        <v>44298</v>
      </c>
      <c r="E1977" t="s">
        <v>27</v>
      </c>
      <c r="F1977">
        <v>-16.95</v>
      </c>
      <c r="G1977">
        <v>0</v>
      </c>
    </row>
    <row r="1978" spans="1:7" x14ac:dyDescent="0.3">
      <c r="A1978" s="2">
        <v>44298</v>
      </c>
      <c r="B1978" t="s">
        <v>1107</v>
      </c>
      <c r="C1978">
        <v>1628.75</v>
      </c>
      <c r="D1978" s="2">
        <v>44298</v>
      </c>
      <c r="E1978" t="s">
        <v>25</v>
      </c>
      <c r="F1978">
        <v>1628.75</v>
      </c>
      <c r="G1978">
        <v>0</v>
      </c>
    </row>
    <row r="1979" spans="1:7" x14ac:dyDescent="0.3">
      <c r="A1979" s="2">
        <v>44298</v>
      </c>
      <c r="B1979" t="s">
        <v>1107</v>
      </c>
      <c r="C1979">
        <v>233.75</v>
      </c>
      <c r="D1979" s="2">
        <v>44298</v>
      </c>
      <c r="E1979" t="s">
        <v>25</v>
      </c>
      <c r="F1979">
        <v>233.75</v>
      </c>
      <c r="G1979">
        <v>0</v>
      </c>
    </row>
    <row r="1980" spans="1:7" x14ac:dyDescent="0.3">
      <c r="A1980" s="2">
        <v>44298</v>
      </c>
      <c r="B1980" t="s">
        <v>1108</v>
      </c>
      <c r="C1980">
        <v>428.75</v>
      </c>
      <c r="D1980" s="2">
        <v>44298</v>
      </c>
      <c r="E1980" t="s">
        <v>25</v>
      </c>
      <c r="F1980">
        <v>428.75</v>
      </c>
      <c r="G1980">
        <v>0</v>
      </c>
    </row>
    <row r="1981" spans="1:7" x14ac:dyDescent="0.3">
      <c r="A1981" s="2">
        <v>44299</v>
      </c>
      <c r="B1981" t="s">
        <v>1109</v>
      </c>
      <c r="C1981">
        <v>247.5</v>
      </c>
      <c r="D1981" s="2">
        <v>44299</v>
      </c>
      <c r="E1981" t="s">
        <v>25</v>
      </c>
      <c r="F1981">
        <v>247.5</v>
      </c>
      <c r="G1981">
        <v>0</v>
      </c>
    </row>
    <row r="1982" spans="1:7" x14ac:dyDescent="0.3">
      <c r="A1982" s="2">
        <v>44299</v>
      </c>
      <c r="B1982" t="s">
        <v>300</v>
      </c>
      <c r="C1982">
        <v>-19.59</v>
      </c>
      <c r="D1982" s="2">
        <v>44299</v>
      </c>
      <c r="E1982" t="s">
        <v>27</v>
      </c>
      <c r="F1982">
        <v>-19.59</v>
      </c>
      <c r="G1982">
        <v>0</v>
      </c>
    </row>
    <row r="1983" spans="1:7" x14ac:dyDescent="0.3">
      <c r="A1983" s="2">
        <v>44300</v>
      </c>
      <c r="B1983" t="s">
        <v>1110</v>
      </c>
      <c r="C1983">
        <v>-30.18</v>
      </c>
      <c r="D1983" s="2">
        <v>44300</v>
      </c>
      <c r="E1983" t="s">
        <v>27</v>
      </c>
      <c r="F1983">
        <v>-30.18</v>
      </c>
      <c r="G1983">
        <v>0</v>
      </c>
    </row>
    <row r="1984" spans="1:7" x14ac:dyDescent="0.3">
      <c r="A1984" s="2">
        <v>44300</v>
      </c>
      <c r="B1984" t="s">
        <v>1111</v>
      </c>
      <c r="C1984">
        <v>478.75</v>
      </c>
      <c r="D1984" s="2">
        <v>44300</v>
      </c>
      <c r="E1984" t="s">
        <v>25</v>
      </c>
      <c r="F1984">
        <v>478.75</v>
      </c>
      <c r="G1984">
        <v>0</v>
      </c>
    </row>
    <row r="1985" spans="1:7" x14ac:dyDescent="0.3">
      <c r="A1985" s="2">
        <v>44301</v>
      </c>
      <c r="B1985" t="s">
        <v>1112</v>
      </c>
      <c r="C1985">
        <v>1058.75</v>
      </c>
      <c r="D1985" s="2">
        <v>44301</v>
      </c>
      <c r="E1985" t="s">
        <v>25</v>
      </c>
      <c r="F1985">
        <v>1058.75</v>
      </c>
      <c r="G1985">
        <v>0</v>
      </c>
    </row>
    <row r="1986" spans="1:7" x14ac:dyDescent="0.3">
      <c r="A1986" s="2">
        <v>44302</v>
      </c>
      <c r="B1986" t="s">
        <v>1113</v>
      </c>
      <c r="C1986">
        <v>-1000</v>
      </c>
      <c r="D1986" s="2">
        <v>44302</v>
      </c>
      <c r="E1986" t="s">
        <v>27</v>
      </c>
      <c r="F1986">
        <v>-1000</v>
      </c>
      <c r="G1986">
        <v>0</v>
      </c>
    </row>
    <row r="1987" spans="1:7" x14ac:dyDescent="0.3">
      <c r="A1987" s="2">
        <v>44302</v>
      </c>
      <c r="B1987" t="s">
        <v>1114</v>
      </c>
      <c r="C1987">
        <v>-13255</v>
      </c>
      <c r="D1987" s="2">
        <v>44302</v>
      </c>
      <c r="E1987" t="s">
        <v>27</v>
      </c>
      <c r="F1987">
        <v>-13255</v>
      </c>
      <c r="G1987">
        <v>0</v>
      </c>
    </row>
    <row r="1988" spans="1:7" x14ac:dyDescent="0.3">
      <c r="A1988" s="2">
        <v>44302</v>
      </c>
      <c r="B1988" t="s">
        <v>1115</v>
      </c>
      <c r="C1988">
        <v>-7500</v>
      </c>
      <c r="D1988" s="2">
        <v>44302</v>
      </c>
      <c r="E1988" t="s">
        <v>27</v>
      </c>
      <c r="F1988">
        <v>-7500</v>
      </c>
      <c r="G1988">
        <v>0</v>
      </c>
    </row>
    <row r="1989" spans="1:7" x14ac:dyDescent="0.3">
      <c r="A1989" s="2">
        <v>44302</v>
      </c>
      <c r="B1989" t="s">
        <v>1116</v>
      </c>
      <c r="C1989">
        <v>-1000</v>
      </c>
      <c r="D1989" s="2">
        <v>44302</v>
      </c>
      <c r="E1989" t="s">
        <v>27</v>
      </c>
      <c r="F1989">
        <v>-1000</v>
      </c>
      <c r="G1989">
        <v>0</v>
      </c>
    </row>
    <row r="1990" spans="1:7" x14ac:dyDescent="0.3">
      <c r="A1990" s="2">
        <v>44302</v>
      </c>
      <c r="B1990" t="s">
        <v>1114</v>
      </c>
      <c r="C1990">
        <v>-111.6</v>
      </c>
      <c r="D1990" s="2">
        <v>44302</v>
      </c>
      <c r="E1990" t="s">
        <v>27</v>
      </c>
      <c r="F1990">
        <v>-111.6</v>
      </c>
      <c r="G1990">
        <v>0</v>
      </c>
    </row>
    <row r="1991" spans="1:7" x14ac:dyDescent="0.3">
      <c r="A1991" s="2">
        <v>44302</v>
      </c>
      <c r="B1991" t="s">
        <v>1117</v>
      </c>
      <c r="C1991">
        <v>-2100</v>
      </c>
      <c r="D1991" s="2">
        <v>44302</v>
      </c>
      <c r="E1991" t="s">
        <v>27</v>
      </c>
      <c r="F1991">
        <v>-2100</v>
      </c>
      <c r="G1991">
        <v>0</v>
      </c>
    </row>
    <row r="1992" spans="1:7" x14ac:dyDescent="0.3">
      <c r="A1992" s="2">
        <v>44302</v>
      </c>
      <c r="B1992" t="s">
        <v>1118</v>
      </c>
      <c r="C1992">
        <v>-16000</v>
      </c>
      <c r="D1992" s="2">
        <v>44302</v>
      </c>
      <c r="E1992" t="s">
        <v>27</v>
      </c>
      <c r="F1992">
        <v>-16000</v>
      </c>
      <c r="G1992">
        <v>0</v>
      </c>
    </row>
    <row r="1993" spans="1:7" x14ac:dyDescent="0.3">
      <c r="A1993" s="2">
        <v>44302</v>
      </c>
      <c r="B1993" t="s">
        <v>1119</v>
      </c>
      <c r="C1993">
        <v>2212.5</v>
      </c>
      <c r="D1993" s="2">
        <v>44302</v>
      </c>
      <c r="E1993" t="s">
        <v>25</v>
      </c>
      <c r="F1993">
        <v>2212.5</v>
      </c>
      <c r="G1993">
        <v>0</v>
      </c>
    </row>
    <row r="1994" spans="1:7" x14ac:dyDescent="0.3">
      <c r="A1994" s="2">
        <v>44305</v>
      </c>
      <c r="B1994" t="s">
        <v>1120</v>
      </c>
      <c r="C1994">
        <v>1053.75</v>
      </c>
      <c r="D1994" s="2">
        <v>44305</v>
      </c>
      <c r="E1994" t="s">
        <v>25</v>
      </c>
      <c r="F1994">
        <v>1053.75</v>
      </c>
      <c r="G1994">
        <v>0</v>
      </c>
    </row>
    <row r="1995" spans="1:7" x14ac:dyDescent="0.3">
      <c r="A1995" s="2">
        <v>44305</v>
      </c>
      <c r="B1995" t="s">
        <v>1121</v>
      </c>
      <c r="C1995">
        <v>-1000</v>
      </c>
      <c r="D1995" s="2">
        <v>44305</v>
      </c>
      <c r="E1995" t="s">
        <v>27</v>
      </c>
      <c r="F1995">
        <v>-1000</v>
      </c>
      <c r="G1995">
        <v>0</v>
      </c>
    </row>
    <row r="1996" spans="1:7" x14ac:dyDescent="0.3">
      <c r="A1996" s="2">
        <v>44305</v>
      </c>
      <c r="B1996" t="s">
        <v>1122</v>
      </c>
      <c r="C1996">
        <v>-7.95</v>
      </c>
      <c r="D1996" s="2">
        <v>44305</v>
      </c>
      <c r="E1996" t="s">
        <v>27</v>
      </c>
      <c r="F1996">
        <v>-7.95</v>
      </c>
      <c r="G1996">
        <v>0</v>
      </c>
    </row>
    <row r="1997" spans="1:7" x14ac:dyDescent="0.3">
      <c r="A1997" s="2">
        <v>44305</v>
      </c>
      <c r="B1997" t="s">
        <v>1123</v>
      </c>
      <c r="C1997">
        <v>-7.95</v>
      </c>
      <c r="D1997" s="2">
        <v>44305</v>
      </c>
      <c r="E1997" t="s">
        <v>27</v>
      </c>
      <c r="F1997">
        <v>-7.95</v>
      </c>
      <c r="G1997">
        <v>0</v>
      </c>
    </row>
    <row r="1998" spans="1:7" x14ac:dyDescent="0.3">
      <c r="A1998" s="2">
        <v>44305</v>
      </c>
      <c r="B1998" t="s">
        <v>1124</v>
      </c>
      <c r="C1998">
        <v>-683.39</v>
      </c>
      <c r="D1998" s="2">
        <v>44305</v>
      </c>
      <c r="E1998" t="s">
        <v>27</v>
      </c>
      <c r="F1998">
        <v>-683.39</v>
      </c>
      <c r="G1998">
        <v>0</v>
      </c>
    </row>
    <row r="1999" spans="1:7" x14ac:dyDescent="0.3">
      <c r="A1999" s="2">
        <v>44305</v>
      </c>
      <c r="B1999" t="s">
        <v>1125</v>
      </c>
      <c r="C1999">
        <v>866.25</v>
      </c>
      <c r="D1999" s="2">
        <v>44305</v>
      </c>
      <c r="E1999" t="s">
        <v>25</v>
      </c>
      <c r="F1999">
        <v>866.25</v>
      </c>
      <c r="G1999">
        <v>0</v>
      </c>
    </row>
    <row r="2000" spans="1:7" x14ac:dyDescent="0.3">
      <c r="A2000" s="2">
        <v>44306</v>
      </c>
      <c r="B2000" t="s">
        <v>1126</v>
      </c>
      <c r="C2000">
        <v>371.25</v>
      </c>
      <c r="D2000" s="2">
        <v>44306</v>
      </c>
      <c r="E2000" t="s">
        <v>25</v>
      </c>
      <c r="F2000">
        <v>371.25</v>
      </c>
      <c r="G2000">
        <v>0</v>
      </c>
    </row>
    <row r="2001" spans="1:7" x14ac:dyDescent="0.3">
      <c r="A2001" s="2">
        <v>44307</v>
      </c>
      <c r="B2001" t="s">
        <v>1127</v>
      </c>
      <c r="C2001">
        <v>968.75</v>
      </c>
      <c r="D2001" s="2">
        <v>44307</v>
      </c>
      <c r="E2001" t="s">
        <v>25</v>
      </c>
      <c r="F2001">
        <v>968.75</v>
      </c>
      <c r="G2001">
        <v>0</v>
      </c>
    </row>
    <row r="2002" spans="1:7" x14ac:dyDescent="0.3">
      <c r="A2002" s="2">
        <v>44308</v>
      </c>
      <c r="B2002" t="s">
        <v>1128</v>
      </c>
      <c r="C2002">
        <v>-1085.33</v>
      </c>
      <c r="D2002" s="2">
        <v>44308</v>
      </c>
      <c r="E2002" t="s">
        <v>27</v>
      </c>
      <c r="F2002">
        <v>-1085.33</v>
      </c>
      <c r="G2002">
        <v>0</v>
      </c>
    </row>
    <row r="2003" spans="1:7" x14ac:dyDescent="0.3">
      <c r="A2003" s="2">
        <v>44308</v>
      </c>
      <c r="B2003" t="s">
        <v>1129</v>
      </c>
      <c r="C2003">
        <v>708.75</v>
      </c>
      <c r="D2003" s="2">
        <v>44308</v>
      </c>
      <c r="E2003" t="s">
        <v>25</v>
      </c>
      <c r="F2003">
        <v>708.75</v>
      </c>
      <c r="G2003">
        <v>0</v>
      </c>
    </row>
    <row r="2004" spans="1:7" x14ac:dyDescent="0.3">
      <c r="A2004" s="2">
        <v>44309</v>
      </c>
      <c r="B2004" t="s">
        <v>1130</v>
      </c>
      <c r="C2004">
        <v>687.5</v>
      </c>
      <c r="D2004" s="2">
        <v>44309</v>
      </c>
      <c r="E2004" t="s">
        <v>25</v>
      </c>
      <c r="F2004">
        <v>687.5</v>
      </c>
      <c r="G2004">
        <v>0</v>
      </c>
    </row>
    <row r="2005" spans="1:7" x14ac:dyDescent="0.3">
      <c r="A2005" s="2">
        <v>44312</v>
      </c>
      <c r="B2005" t="s">
        <v>1124</v>
      </c>
      <c r="C2005">
        <v>-114.33</v>
      </c>
      <c r="D2005" s="2">
        <v>44312</v>
      </c>
      <c r="E2005" t="s">
        <v>27</v>
      </c>
      <c r="F2005">
        <v>-114.33</v>
      </c>
      <c r="G2005">
        <v>0</v>
      </c>
    </row>
    <row r="2006" spans="1:7" x14ac:dyDescent="0.3">
      <c r="A2006" s="2">
        <v>44312</v>
      </c>
      <c r="B2006" t="s">
        <v>1131</v>
      </c>
      <c r="C2006">
        <v>155</v>
      </c>
      <c r="D2006" s="2">
        <v>44312</v>
      </c>
      <c r="E2006" t="s">
        <v>25</v>
      </c>
      <c r="F2006">
        <v>155</v>
      </c>
      <c r="G2006">
        <v>0</v>
      </c>
    </row>
    <row r="2007" spans="1:7" x14ac:dyDescent="0.3">
      <c r="A2007" s="2">
        <v>44312</v>
      </c>
      <c r="B2007" t="s">
        <v>1131</v>
      </c>
      <c r="C2007">
        <v>923.75</v>
      </c>
      <c r="D2007" s="2">
        <v>44312</v>
      </c>
      <c r="E2007" t="s">
        <v>25</v>
      </c>
      <c r="F2007">
        <v>923.75</v>
      </c>
      <c r="G2007">
        <v>0</v>
      </c>
    </row>
    <row r="2008" spans="1:7" x14ac:dyDescent="0.3">
      <c r="A2008" s="2">
        <v>44312</v>
      </c>
      <c r="B2008" t="s">
        <v>1132</v>
      </c>
      <c r="C2008">
        <v>786.25</v>
      </c>
      <c r="D2008" s="2">
        <v>44312</v>
      </c>
      <c r="E2008" t="s">
        <v>25</v>
      </c>
      <c r="F2008">
        <v>786.25</v>
      </c>
      <c r="G2008">
        <v>0</v>
      </c>
    </row>
    <row r="2009" spans="1:7" x14ac:dyDescent="0.3">
      <c r="A2009" s="2">
        <v>44313</v>
      </c>
      <c r="B2009" t="s">
        <v>1133</v>
      </c>
      <c r="C2009">
        <v>195</v>
      </c>
      <c r="D2009" s="2">
        <v>44313</v>
      </c>
      <c r="E2009" t="s">
        <v>25</v>
      </c>
      <c r="F2009">
        <v>195</v>
      </c>
      <c r="G2009">
        <v>0</v>
      </c>
    </row>
    <row r="2010" spans="1:7" x14ac:dyDescent="0.3">
      <c r="A2010" s="2">
        <v>44314</v>
      </c>
      <c r="B2010" t="s">
        <v>1134</v>
      </c>
      <c r="C2010">
        <v>-1000</v>
      </c>
      <c r="D2010" s="2">
        <v>44314</v>
      </c>
      <c r="E2010" t="s">
        <v>27</v>
      </c>
      <c r="F2010">
        <v>-1000</v>
      </c>
      <c r="G2010">
        <v>0</v>
      </c>
    </row>
    <row r="2011" spans="1:7" x14ac:dyDescent="0.3">
      <c r="A2011" s="2">
        <v>44314</v>
      </c>
      <c r="B2011" t="s">
        <v>1135</v>
      </c>
      <c r="C2011">
        <v>1105</v>
      </c>
      <c r="D2011" s="2">
        <v>44314</v>
      </c>
      <c r="E2011" t="s">
        <v>25</v>
      </c>
      <c r="F2011">
        <v>1105</v>
      </c>
      <c r="G2011">
        <v>0</v>
      </c>
    </row>
    <row r="2012" spans="1:7" x14ac:dyDescent="0.3">
      <c r="A2012" s="2">
        <v>44314</v>
      </c>
      <c r="B2012" t="s">
        <v>311</v>
      </c>
      <c r="C2012">
        <v>-103.44</v>
      </c>
      <c r="D2012" s="2">
        <v>44314</v>
      </c>
      <c r="E2012" t="s">
        <v>27</v>
      </c>
      <c r="F2012">
        <v>-103.44</v>
      </c>
      <c r="G2012">
        <v>0</v>
      </c>
    </row>
    <row r="2013" spans="1:7" x14ac:dyDescent="0.3">
      <c r="A2013" s="2">
        <v>44315</v>
      </c>
      <c r="B2013" t="s">
        <v>1136</v>
      </c>
      <c r="C2013">
        <v>1063.75</v>
      </c>
      <c r="D2013" s="2">
        <v>44315</v>
      </c>
      <c r="E2013" t="s">
        <v>25</v>
      </c>
      <c r="F2013">
        <v>1063.75</v>
      </c>
      <c r="G2013">
        <v>0</v>
      </c>
    </row>
    <row r="2014" spans="1:7" x14ac:dyDescent="0.3">
      <c r="A2014" s="2">
        <v>44316</v>
      </c>
      <c r="B2014" t="s">
        <v>1137</v>
      </c>
      <c r="C2014">
        <v>591.25</v>
      </c>
      <c r="D2014" s="2">
        <v>44316</v>
      </c>
      <c r="E2014" t="s">
        <v>25</v>
      </c>
      <c r="F2014">
        <v>591.25</v>
      </c>
      <c r="G2014">
        <v>0</v>
      </c>
    </row>
    <row r="2015" spans="1:7" x14ac:dyDescent="0.3">
      <c r="A2015" s="2">
        <v>44319</v>
      </c>
      <c r="B2015" t="s">
        <v>1138</v>
      </c>
      <c r="C2015">
        <v>-30</v>
      </c>
      <c r="D2015" s="2">
        <v>44319</v>
      </c>
      <c r="E2015" t="s">
        <v>27</v>
      </c>
      <c r="F2015">
        <v>-30</v>
      </c>
      <c r="G2015">
        <v>0</v>
      </c>
    </row>
    <row r="2016" spans="1:7" x14ac:dyDescent="0.3">
      <c r="A2016" s="2">
        <v>44319</v>
      </c>
      <c r="B2016" t="s">
        <v>1139</v>
      </c>
      <c r="C2016">
        <v>-1081.55</v>
      </c>
      <c r="D2016" s="2">
        <v>44319</v>
      </c>
      <c r="E2016" t="s">
        <v>27</v>
      </c>
      <c r="F2016">
        <v>-1081.55</v>
      </c>
      <c r="G2016">
        <v>0</v>
      </c>
    </row>
    <row r="2017" spans="1:7" x14ac:dyDescent="0.3">
      <c r="A2017" s="2">
        <v>44319</v>
      </c>
      <c r="B2017" t="s">
        <v>1140</v>
      </c>
      <c r="C2017">
        <v>-5000</v>
      </c>
      <c r="D2017" s="2">
        <v>44319</v>
      </c>
      <c r="E2017" t="s">
        <v>27</v>
      </c>
      <c r="F2017">
        <v>-5000</v>
      </c>
      <c r="G2017">
        <v>0</v>
      </c>
    </row>
    <row r="2018" spans="1:7" x14ac:dyDescent="0.3">
      <c r="A2018" s="2">
        <v>44319</v>
      </c>
      <c r="B2018" t="s">
        <v>31</v>
      </c>
      <c r="C2018">
        <v>89.7</v>
      </c>
      <c r="D2018" s="2">
        <v>44319</v>
      </c>
      <c r="E2018" t="s">
        <v>25</v>
      </c>
      <c r="F2018">
        <v>89.7</v>
      </c>
      <c r="G2018">
        <v>0</v>
      </c>
    </row>
    <row r="2019" spans="1:7" x14ac:dyDescent="0.3">
      <c r="A2019" s="2">
        <v>44319</v>
      </c>
      <c r="B2019" t="s">
        <v>1139</v>
      </c>
      <c r="C2019">
        <v>1412.5</v>
      </c>
      <c r="D2019" s="2">
        <v>44319</v>
      </c>
      <c r="E2019" t="s">
        <v>25</v>
      </c>
      <c r="F2019">
        <v>1412.5</v>
      </c>
      <c r="G2019">
        <v>0</v>
      </c>
    </row>
    <row r="2020" spans="1:7" x14ac:dyDescent="0.3">
      <c r="A2020" s="2">
        <v>44319</v>
      </c>
      <c r="B2020" t="s">
        <v>1141</v>
      </c>
      <c r="C2020">
        <v>1917.5</v>
      </c>
      <c r="D2020" s="2">
        <v>44319</v>
      </c>
      <c r="E2020" t="s">
        <v>25</v>
      </c>
      <c r="F2020">
        <v>1917.5</v>
      </c>
      <c r="G2020">
        <v>0</v>
      </c>
    </row>
    <row r="2021" spans="1:7" x14ac:dyDescent="0.3">
      <c r="A2021" s="2">
        <v>44319</v>
      </c>
      <c r="B2021" t="s">
        <v>1141</v>
      </c>
      <c r="C2021">
        <v>470</v>
      </c>
      <c r="D2021" s="2">
        <v>44319</v>
      </c>
      <c r="E2021" t="s">
        <v>25</v>
      </c>
      <c r="F2021">
        <v>470</v>
      </c>
      <c r="G2021">
        <v>0</v>
      </c>
    </row>
    <row r="2022" spans="1:7" x14ac:dyDescent="0.3">
      <c r="A2022" s="2">
        <v>44320</v>
      </c>
      <c r="B2022" t="s">
        <v>1142</v>
      </c>
      <c r="C2022">
        <v>1523.75</v>
      </c>
      <c r="D2022" s="2">
        <v>44320</v>
      </c>
      <c r="E2022" t="s">
        <v>25</v>
      </c>
      <c r="F2022">
        <v>1523.75</v>
      </c>
      <c r="G2022">
        <v>0</v>
      </c>
    </row>
    <row r="2023" spans="1:7" x14ac:dyDescent="0.3">
      <c r="A2023" s="2">
        <v>44321</v>
      </c>
      <c r="B2023" t="s">
        <v>318</v>
      </c>
      <c r="C2023">
        <v>-34.950000000000003</v>
      </c>
      <c r="D2023" s="2">
        <v>44321</v>
      </c>
      <c r="E2023" t="s">
        <v>27</v>
      </c>
      <c r="F2023">
        <v>-34.950000000000003</v>
      </c>
      <c r="G2023">
        <v>0</v>
      </c>
    </row>
    <row r="2024" spans="1:7" x14ac:dyDescent="0.3">
      <c r="A2024" s="2">
        <v>44321</v>
      </c>
      <c r="B2024" t="s">
        <v>1143</v>
      </c>
      <c r="C2024">
        <v>1593.75</v>
      </c>
      <c r="D2024" s="2">
        <v>44321</v>
      </c>
      <c r="E2024" t="s">
        <v>25</v>
      </c>
      <c r="F2024">
        <v>1593.75</v>
      </c>
      <c r="G2024">
        <v>0</v>
      </c>
    </row>
    <row r="2025" spans="1:7" x14ac:dyDescent="0.3">
      <c r="A2025" s="2">
        <v>44322</v>
      </c>
      <c r="B2025" t="s">
        <v>1144</v>
      </c>
      <c r="C2025">
        <v>1710</v>
      </c>
      <c r="D2025" s="2">
        <v>44322</v>
      </c>
      <c r="E2025" t="s">
        <v>25</v>
      </c>
      <c r="F2025">
        <v>1710</v>
      </c>
      <c r="G2025">
        <v>0</v>
      </c>
    </row>
    <row r="2026" spans="1:7" x14ac:dyDescent="0.3">
      <c r="A2026" s="2">
        <v>44322</v>
      </c>
      <c r="B2026" t="s">
        <v>1124</v>
      </c>
      <c r="C2026">
        <v>-114.58</v>
      </c>
      <c r="D2026" s="2">
        <v>44322</v>
      </c>
      <c r="E2026" t="s">
        <v>27</v>
      </c>
      <c r="F2026">
        <v>-114.58</v>
      </c>
      <c r="G2026">
        <v>0</v>
      </c>
    </row>
    <row r="2027" spans="1:7" x14ac:dyDescent="0.3">
      <c r="A2027" s="2">
        <v>44323</v>
      </c>
      <c r="B2027" t="s">
        <v>1145</v>
      </c>
      <c r="C2027">
        <v>1222.5</v>
      </c>
      <c r="D2027" s="2">
        <v>44323</v>
      </c>
      <c r="E2027" t="s">
        <v>25</v>
      </c>
      <c r="F2027">
        <v>1222.5</v>
      </c>
      <c r="G2027">
        <v>0</v>
      </c>
    </row>
    <row r="2028" spans="1:7" x14ac:dyDescent="0.3">
      <c r="A2028" s="2">
        <v>44323</v>
      </c>
      <c r="B2028" t="s">
        <v>1146</v>
      </c>
      <c r="C2028">
        <v>-2.99</v>
      </c>
      <c r="D2028" s="2">
        <v>44323</v>
      </c>
      <c r="E2028" t="s">
        <v>27</v>
      </c>
      <c r="F2028">
        <v>-2.99</v>
      </c>
      <c r="G2028">
        <v>0</v>
      </c>
    </row>
    <row r="2029" spans="1:7" x14ac:dyDescent="0.3">
      <c r="A2029" s="2">
        <v>44326</v>
      </c>
      <c r="B2029" t="s">
        <v>322</v>
      </c>
      <c r="C2029">
        <v>-9.99</v>
      </c>
      <c r="D2029" s="2">
        <v>44326</v>
      </c>
      <c r="E2029" t="s">
        <v>27</v>
      </c>
      <c r="F2029">
        <v>-9.99</v>
      </c>
      <c r="G2029">
        <v>0</v>
      </c>
    </row>
    <row r="2030" spans="1:7" x14ac:dyDescent="0.3">
      <c r="A2030" s="2">
        <v>44326</v>
      </c>
      <c r="B2030" t="s">
        <v>1147</v>
      </c>
      <c r="C2030">
        <v>-7.99</v>
      </c>
      <c r="D2030" s="2">
        <v>44326</v>
      </c>
      <c r="E2030" t="s">
        <v>27</v>
      </c>
      <c r="F2030">
        <v>-7.99</v>
      </c>
      <c r="G2030">
        <v>0</v>
      </c>
    </row>
    <row r="2031" spans="1:7" x14ac:dyDescent="0.3">
      <c r="A2031" s="2">
        <v>44326</v>
      </c>
      <c r="B2031" t="s">
        <v>1148</v>
      </c>
      <c r="C2031">
        <v>1950</v>
      </c>
      <c r="D2031" s="2">
        <v>44326</v>
      </c>
      <c r="E2031" t="s">
        <v>25</v>
      </c>
      <c r="F2031">
        <v>1950</v>
      </c>
      <c r="G2031">
        <v>0</v>
      </c>
    </row>
    <row r="2032" spans="1:7" x14ac:dyDescent="0.3">
      <c r="A2032" s="2">
        <v>44326</v>
      </c>
      <c r="B2032" t="s">
        <v>1149</v>
      </c>
      <c r="C2032">
        <v>1613.75</v>
      </c>
      <c r="D2032" s="2">
        <v>44326</v>
      </c>
      <c r="E2032" t="s">
        <v>25</v>
      </c>
      <c r="F2032">
        <v>1613.75</v>
      </c>
      <c r="G2032">
        <v>0</v>
      </c>
    </row>
    <row r="2033" spans="1:7" x14ac:dyDescent="0.3">
      <c r="A2033" s="2">
        <v>44326</v>
      </c>
      <c r="B2033" t="s">
        <v>1148</v>
      </c>
      <c r="C2033">
        <v>318.75</v>
      </c>
      <c r="D2033" s="2">
        <v>44326</v>
      </c>
      <c r="E2033" t="s">
        <v>25</v>
      </c>
      <c r="F2033">
        <v>318.75</v>
      </c>
      <c r="G2033">
        <v>0</v>
      </c>
    </row>
    <row r="2034" spans="1:7" x14ac:dyDescent="0.3">
      <c r="A2034" s="2">
        <v>44327</v>
      </c>
      <c r="B2034" t="s">
        <v>1150</v>
      </c>
      <c r="C2034">
        <v>662.5</v>
      </c>
      <c r="D2034" s="2">
        <v>44327</v>
      </c>
      <c r="E2034" t="s">
        <v>25</v>
      </c>
      <c r="F2034">
        <v>662.5</v>
      </c>
      <c r="G2034">
        <v>0</v>
      </c>
    </row>
    <row r="2035" spans="1:7" x14ac:dyDescent="0.3">
      <c r="A2035" s="2">
        <v>44327</v>
      </c>
      <c r="B2035" t="s">
        <v>1151</v>
      </c>
      <c r="C2035">
        <v>-16.95</v>
      </c>
      <c r="D2035" s="2">
        <v>44327</v>
      </c>
      <c r="E2035" t="s">
        <v>27</v>
      </c>
      <c r="F2035">
        <v>-16.95</v>
      </c>
      <c r="G2035">
        <v>0</v>
      </c>
    </row>
    <row r="2036" spans="1:7" x14ac:dyDescent="0.3">
      <c r="A2036" s="2">
        <v>44327</v>
      </c>
      <c r="B2036" t="s">
        <v>1152</v>
      </c>
      <c r="C2036">
        <v>-51.15</v>
      </c>
      <c r="D2036" s="2">
        <v>44327</v>
      </c>
      <c r="E2036" t="s">
        <v>27</v>
      </c>
      <c r="F2036">
        <v>-51.15</v>
      </c>
      <c r="G2036">
        <v>0</v>
      </c>
    </row>
    <row r="2037" spans="1:7" x14ac:dyDescent="0.3">
      <c r="A2037" s="2">
        <v>44328</v>
      </c>
      <c r="B2037" t="s">
        <v>1153</v>
      </c>
      <c r="C2037">
        <v>-32.65</v>
      </c>
      <c r="D2037" s="2">
        <v>44328</v>
      </c>
      <c r="E2037" t="s">
        <v>27</v>
      </c>
      <c r="F2037">
        <v>-32.65</v>
      </c>
      <c r="G2037">
        <v>0</v>
      </c>
    </row>
    <row r="2038" spans="1:7" x14ac:dyDescent="0.3">
      <c r="A2038" s="2">
        <v>44328</v>
      </c>
      <c r="B2038" t="s">
        <v>327</v>
      </c>
      <c r="C2038">
        <v>-50.97</v>
      </c>
      <c r="D2038" s="2">
        <v>44328</v>
      </c>
      <c r="E2038" t="s">
        <v>27</v>
      </c>
      <c r="F2038">
        <v>-50.97</v>
      </c>
      <c r="G2038">
        <v>0</v>
      </c>
    </row>
    <row r="2039" spans="1:7" x14ac:dyDescent="0.3">
      <c r="A2039" s="2">
        <v>44328</v>
      </c>
      <c r="B2039" t="s">
        <v>1154</v>
      </c>
      <c r="C2039">
        <v>5663.75</v>
      </c>
      <c r="D2039" s="2">
        <v>44328</v>
      </c>
      <c r="E2039" t="s">
        <v>25</v>
      </c>
      <c r="F2039">
        <v>5663.75</v>
      </c>
      <c r="G2039">
        <v>0</v>
      </c>
    </row>
    <row r="2040" spans="1:7" x14ac:dyDescent="0.3">
      <c r="A2040" s="2">
        <v>44329</v>
      </c>
      <c r="B2040" t="s">
        <v>332</v>
      </c>
      <c r="C2040">
        <v>-19.59</v>
      </c>
      <c r="D2040" s="2">
        <v>44329</v>
      </c>
      <c r="E2040" t="s">
        <v>27</v>
      </c>
      <c r="F2040">
        <v>-19.59</v>
      </c>
      <c r="G2040">
        <v>0</v>
      </c>
    </row>
    <row r="2041" spans="1:7" x14ac:dyDescent="0.3">
      <c r="A2041" s="2">
        <v>44329</v>
      </c>
      <c r="B2041" t="s">
        <v>1155</v>
      </c>
      <c r="C2041">
        <v>300</v>
      </c>
      <c r="D2041" s="2">
        <v>44329</v>
      </c>
      <c r="E2041" t="s">
        <v>25</v>
      </c>
      <c r="F2041">
        <v>300</v>
      </c>
      <c r="G2041">
        <v>0</v>
      </c>
    </row>
    <row r="2042" spans="1:7" x14ac:dyDescent="0.3">
      <c r="A2042" s="2">
        <v>44329</v>
      </c>
      <c r="B2042" t="s">
        <v>1156</v>
      </c>
      <c r="C2042">
        <v>1735</v>
      </c>
      <c r="D2042" s="2">
        <v>44329</v>
      </c>
      <c r="E2042" t="s">
        <v>25</v>
      </c>
      <c r="F2042">
        <v>1735</v>
      </c>
      <c r="G2042">
        <v>0</v>
      </c>
    </row>
    <row r="2043" spans="1:7" x14ac:dyDescent="0.3">
      <c r="A2043" s="2">
        <v>44330</v>
      </c>
      <c r="B2043" t="s">
        <v>1157</v>
      </c>
      <c r="C2043">
        <v>711.25</v>
      </c>
      <c r="D2043" s="2">
        <v>44330</v>
      </c>
      <c r="E2043" t="s">
        <v>25</v>
      </c>
      <c r="F2043">
        <v>711.25</v>
      </c>
      <c r="G2043">
        <v>0</v>
      </c>
    </row>
    <row r="2044" spans="1:7" x14ac:dyDescent="0.3">
      <c r="A2044" s="2">
        <v>44333</v>
      </c>
      <c r="B2044" t="s">
        <v>1158</v>
      </c>
      <c r="C2044">
        <v>587.5</v>
      </c>
      <c r="D2044" s="2">
        <v>44333</v>
      </c>
      <c r="E2044" t="s">
        <v>25</v>
      </c>
      <c r="F2044">
        <v>587.5</v>
      </c>
      <c r="G2044">
        <v>0</v>
      </c>
    </row>
    <row r="2045" spans="1:7" x14ac:dyDescent="0.3">
      <c r="A2045" s="2">
        <v>44333</v>
      </c>
      <c r="B2045" t="s">
        <v>1158</v>
      </c>
      <c r="C2045">
        <v>293.75</v>
      </c>
      <c r="D2045" s="2">
        <v>44333</v>
      </c>
      <c r="E2045" t="s">
        <v>25</v>
      </c>
      <c r="F2045">
        <v>293.75</v>
      </c>
      <c r="G2045">
        <v>0</v>
      </c>
    </row>
    <row r="2046" spans="1:7" x14ac:dyDescent="0.3">
      <c r="A2046" s="2">
        <v>44333</v>
      </c>
      <c r="B2046" t="s">
        <v>1159</v>
      </c>
      <c r="C2046">
        <v>1440</v>
      </c>
      <c r="D2046" s="2">
        <v>44333</v>
      </c>
      <c r="E2046" t="s">
        <v>25</v>
      </c>
      <c r="F2046">
        <v>1440</v>
      </c>
      <c r="G2046">
        <v>0</v>
      </c>
    </row>
    <row r="2047" spans="1:7" x14ac:dyDescent="0.3">
      <c r="A2047" s="2">
        <v>44334</v>
      </c>
      <c r="B2047" t="s">
        <v>1160</v>
      </c>
      <c r="C2047">
        <v>-3.99</v>
      </c>
      <c r="D2047" s="2">
        <v>44334</v>
      </c>
      <c r="E2047" t="s">
        <v>27</v>
      </c>
      <c r="F2047">
        <v>-3.99</v>
      </c>
      <c r="G2047">
        <v>0</v>
      </c>
    </row>
    <row r="2048" spans="1:7" x14ac:dyDescent="0.3">
      <c r="A2048" s="2">
        <v>44334</v>
      </c>
      <c r="B2048" t="s">
        <v>1161</v>
      </c>
      <c r="C2048">
        <v>-7.95</v>
      </c>
      <c r="D2048" s="2">
        <v>44334</v>
      </c>
      <c r="E2048" t="s">
        <v>27</v>
      </c>
      <c r="F2048">
        <v>-7.95</v>
      </c>
      <c r="G2048">
        <v>0</v>
      </c>
    </row>
    <row r="2049" spans="1:7" x14ac:dyDescent="0.3">
      <c r="A2049" s="2">
        <v>44334</v>
      </c>
      <c r="B2049" t="s">
        <v>1162</v>
      </c>
      <c r="C2049">
        <v>-7.95</v>
      </c>
      <c r="D2049" s="2">
        <v>44334</v>
      </c>
      <c r="E2049" t="s">
        <v>27</v>
      </c>
      <c r="F2049">
        <v>-7.95</v>
      </c>
      <c r="G2049">
        <v>0</v>
      </c>
    </row>
    <row r="2050" spans="1:7" x14ac:dyDescent="0.3">
      <c r="A2050" s="2">
        <v>44334</v>
      </c>
      <c r="B2050" t="s">
        <v>1163</v>
      </c>
      <c r="C2050">
        <v>170</v>
      </c>
      <c r="D2050" s="2">
        <v>44334</v>
      </c>
      <c r="E2050" t="s">
        <v>25</v>
      </c>
      <c r="F2050">
        <v>170</v>
      </c>
      <c r="G2050">
        <v>0</v>
      </c>
    </row>
    <row r="2051" spans="1:7" x14ac:dyDescent="0.3">
      <c r="A2051" s="2">
        <v>44335</v>
      </c>
      <c r="B2051" t="s">
        <v>1164</v>
      </c>
      <c r="C2051">
        <v>123.75</v>
      </c>
      <c r="D2051" s="2">
        <v>44335</v>
      </c>
      <c r="E2051" t="s">
        <v>25</v>
      </c>
      <c r="F2051">
        <v>123.75</v>
      </c>
      <c r="G2051">
        <v>0</v>
      </c>
    </row>
    <row r="2052" spans="1:7" x14ac:dyDescent="0.3">
      <c r="A2052" s="2">
        <v>44335</v>
      </c>
      <c r="B2052" t="s">
        <v>1165</v>
      </c>
      <c r="C2052">
        <v>-2000</v>
      </c>
      <c r="D2052" s="2">
        <v>44335</v>
      </c>
      <c r="E2052" t="s">
        <v>27</v>
      </c>
      <c r="F2052">
        <v>-2000</v>
      </c>
      <c r="G2052">
        <v>0</v>
      </c>
    </row>
    <row r="2053" spans="1:7" x14ac:dyDescent="0.3">
      <c r="A2053" s="2">
        <v>44336</v>
      </c>
      <c r="B2053" t="s">
        <v>1166</v>
      </c>
      <c r="C2053">
        <v>2500</v>
      </c>
      <c r="D2053" s="2">
        <v>44336</v>
      </c>
      <c r="E2053" t="s">
        <v>25</v>
      </c>
      <c r="F2053">
        <v>2500</v>
      </c>
      <c r="G2053">
        <v>0</v>
      </c>
    </row>
    <row r="2054" spans="1:7" x14ac:dyDescent="0.3">
      <c r="A2054" s="2">
        <v>44337</v>
      </c>
      <c r="B2054" t="s">
        <v>1167</v>
      </c>
      <c r="C2054">
        <v>348.75</v>
      </c>
      <c r="D2054" s="2">
        <v>44337</v>
      </c>
      <c r="E2054" t="s">
        <v>25</v>
      </c>
      <c r="F2054">
        <v>348.75</v>
      </c>
      <c r="G2054">
        <v>0</v>
      </c>
    </row>
    <row r="2055" spans="1:7" x14ac:dyDescent="0.3">
      <c r="A2055" s="2">
        <v>44340</v>
      </c>
      <c r="B2055" t="s">
        <v>1168</v>
      </c>
      <c r="C2055">
        <v>-21.72</v>
      </c>
      <c r="D2055" s="2">
        <v>44340</v>
      </c>
      <c r="E2055" t="s">
        <v>27</v>
      </c>
      <c r="F2055">
        <v>-21.72</v>
      </c>
      <c r="G2055">
        <v>0</v>
      </c>
    </row>
    <row r="2056" spans="1:7" x14ac:dyDescent="0.3">
      <c r="A2056" s="2">
        <v>44340</v>
      </c>
      <c r="B2056" t="s">
        <v>1169</v>
      </c>
      <c r="C2056">
        <v>123.75</v>
      </c>
      <c r="D2056" s="2">
        <v>44340</v>
      </c>
      <c r="E2056" t="s">
        <v>25</v>
      </c>
      <c r="F2056">
        <v>123.75</v>
      </c>
      <c r="G2056">
        <v>0</v>
      </c>
    </row>
    <row r="2057" spans="1:7" x14ac:dyDescent="0.3">
      <c r="A2057" s="2">
        <v>44341</v>
      </c>
      <c r="B2057" t="s">
        <v>1170</v>
      </c>
      <c r="C2057">
        <v>123.75</v>
      </c>
      <c r="D2057" s="2">
        <v>44341</v>
      </c>
      <c r="E2057" t="s">
        <v>25</v>
      </c>
      <c r="F2057">
        <v>123.75</v>
      </c>
      <c r="G2057">
        <v>0</v>
      </c>
    </row>
    <row r="2058" spans="1:7" x14ac:dyDescent="0.3">
      <c r="A2058" s="2">
        <v>44342</v>
      </c>
      <c r="B2058" t="s">
        <v>1171</v>
      </c>
      <c r="C2058">
        <v>847.5</v>
      </c>
      <c r="D2058" s="2">
        <v>44342</v>
      </c>
      <c r="E2058" t="s">
        <v>25</v>
      </c>
      <c r="F2058">
        <v>847.5</v>
      </c>
      <c r="G2058">
        <v>0</v>
      </c>
    </row>
    <row r="2059" spans="1:7" x14ac:dyDescent="0.3">
      <c r="A2059" s="2">
        <v>44344</v>
      </c>
      <c r="B2059" t="s">
        <v>1172</v>
      </c>
      <c r="C2059">
        <v>300</v>
      </c>
      <c r="D2059" s="2">
        <v>44344</v>
      </c>
      <c r="E2059" t="s">
        <v>25</v>
      </c>
      <c r="F2059">
        <v>300</v>
      </c>
      <c r="G2059">
        <v>0</v>
      </c>
    </row>
    <row r="2060" spans="1:7" x14ac:dyDescent="0.3">
      <c r="A2060" s="2">
        <v>44348</v>
      </c>
      <c r="B2060" t="s">
        <v>1173</v>
      </c>
      <c r="C2060">
        <v>123.75</v>
      </c>
      <c r="D2060" s="2">
        <v>44348</v>
      </c>
      <c r="E2060" t="s">
        <v>25</v>
      </c>
      <c r="F2060">
        <v>123.75</v>
      </c>
      <c r="G2060">
        <v>0</v>
      </c>
    </row>
    <row r="2061" spans="1:7" x14ac:dyDescent="0.3">
      <c r="A2061" s="2">
        <v>44348</v>
      </c>
      <c r="B2061" t="s">
        <v>358</v>
      </c>
      <c r="C2061">
        <v>-103.44</v>
      </c>
      <c r="D2061" s="2">
        <v>44348</v>
      </c>
      <c r="E2061" t="s">
        <v>27</v>
      </c>
      <c r="F2061">
        <v>-103.44</v>
      </c>
      <c r="G2061">
        <v>0</v>
      </c>
    </row>
    <row r="2062" spans="1:7" x14ac:dyDescent="0.3">
      <c r="A2062" s="2">
        <v>44348</v>
      </c>
      <c r="B2062" t="s">
        <v>1173</v>
      </c>
      <c r="C2062">
        <v>123.75</v>
      </c>
      <c r="D2062" s="2">
        <v>44348</v>
      </c>
      <c r="E2062" t="s">
        <v>25</v>
      </c>
      <c r="F2062">
        <v>123.75</v>
      </c>
      <c r="G2062">
        <v>0</v>
      </c>
    </row>
    <row r="2063" spans="1:7" x14ac:dyDescent="0.3">
      <c r="A2063" s="2">
        <v>44348</v>
      </c>
      <c r="B2063" t="s">
        <v>1174</v>
      </c>
      <c r="C2063">
        <v>123.75</v>
      </c>
      <c r="D2063" s="2">
        <v>44348</v>
      </c>
      <c r="E2063" t="s">
        <v>25</v>
      </c>
      <c r="F2063">
        <v>123.75</v>
      </c>
      <c r="G2063">
        <v>0</v>
      </c>
    </row>
    <row r="2064" spans="1:7" x14ac:dyDescent="0.3">
      <c r="A2064" s="2">
        <v>44349</v>
      </c>
      <c r="B2064" t="s">
        <v>1175</v>
      </c>
      <c r="C2064">
        <v>-1150.8800000000001</v>
      </c>
      <c r="D2064" s="2">
        <v>44349</v>
      </c>
      <c r="E2064" t="s">
        <v>27</v>
      </c>
      <c r="F2064">
        <v>-1150.8800000000001</v>
      </c>
      <c r="G2064">
        <v>0</v>
      </c>
    </row>
    <row r="2065" spans="1:7" x14ac:dyDescent="0.3">
      <c r="A2065" s="2">
        <v>44349</v>
      </c>
      <c r="B2065" t="s">
        <v>1176</v>
      </c>
      <c r="C2065">
        <v>-30</v>
      </c>
      <c r="D2065" s="2">
        <v>44349</v>
      </c>
      <c r="E2065" t="s">
        <v>27</v>
      </c>
      <c r="F2065">
        <v>-30</v>
      </c>
      <c r="G2065">
        <v>0</v>
      </c>
    </row>
    <row r="2066" spans="1:7" x14ac:dyDescent="0.3">
      <c r="A2066" s="2">
        <v>44349</v>
      </c>
      <c r="B2066" t="s">
        <v>1177</v>
      </c>
      <c r="C2066">
        <v>123.75</v>
      </c>
      <c r="D2066" s="2">
        <v>44349</v>
      </c>
      <c r="E2066" t="s">
        <v>25</v>
      </c>
      <c r="F2066">
        <v>123.75</v>
      </c>
      <c r="G2066">
        <v>0</v>
      </c>
    </row>
    <row r="2067" spans="1:7" x14ac:dyDescent="0.3">
      <c r="A2067" s="2">
        <v>44350</v>
      </c>
      <c r="B2067" t="s">
        <v>1178</v>
      </c>
      <c r="C2067">
        <v>-696.48</v>
      </c>
      <c r="D2067" s="2">
        <v>44350</v>
      </c>
      <c r="E2067" t="s">
        <v>27</v>
      </c>
      <c r="F2067">
        <v>-696.48</v>
      </c>
      <c r="G2067">
        <v>0</v>
      </c>
    </row>
    <row r="2068" spans="1:7" x14ac:dyDescent="0.3">
      <c r="A2068" s="2">
        <v>44350</v>
      </c>
      <c r="B2068" t="s">
        <v>1179</v>
      </c>
      <c r="C2068">
        <v>123.75</v>
      </c>
      <c r="D2068" s="2">
        <v>44350</v>
      </c>
      <c r="E2068" t="s">
        <v>25</v>
      </c>
      <c r="F2068">
        <v>123.75</v>
      </c>
      <c r="G2068">
        <v>0</v>
      </c>
    </row>
    <row r="2069" spans="1:7" x14ac:dyDescent="0.3">
      <c r="A2069" s="2">
        <v>44351</v>
      </c>
      <c r="B2069" t="s">
        <v>1180</v>
      </c>
      <c r="C2069">
        <v>-3800</v>
      </c>
      <c r="D2069" s="2">
        <v>44351</v>
      </c>
      <c r="E2069" t="s">
        <v>27</v>
      </c>
      <c r="F2069">
        <v>-3800</v>
      </c>
      <c r="G2069">
        <v>0</v>
      </c>
    </row>
    <row r="2070" spans="1:7" x14ac:dyDescent="0.3">
      <c r="A2070" s="2">
        <v>44351</v>
      </c>
      <c r="B2070" t="s">
        <v>1181</v>
      </c>
      <c r="C2070">
        <v>-3700</v>
      </c>
      <c r="D2070" s="2">
        <v>44351</v>
      </c>
      <c r="E2070" t="s">
        <v>27</v>
      </c>
      <c r="F2070">
        <v>-3700</v>
      </c>
      <c r="G2070">
        <v>0</v>
      </c>
    </row>
    <row r="2071" spans="1:7" x14ac:dyDescent="0.3">
      <c r="A2071" s="2">
        <v>44351</v>
      </c>
      <c r="B2071" t="s">
        <v>1182</v>
      </c>
      <c r="C2071">
        <v>-21000</v>
      </c>
      <c r="D2071" s="2">
        <v>44351</v>
      </c>
      <c r="E2071" t="s">
        <v>27</v>
      </c>
      <c r="F2071">
        <v>-21000</v>
      </c>
      <c r="G2071">
        <v>0</v>
      </c>
    </row>
    <row r="2072" spans="1:7" x14ac:dyDescent="0.3">
      <c r="A2072" s="2">
        <v>44351</v>
      </c>
      <c r="B2072" t="s">
        <v>1183</v>
      </c>
      <c r="C2072">
        <v>-6000</v>
      </c>
      <c r="D2072" s="2">
        <v>44351</v>
      </c>
      <c r="E2072" t="s">
        <v>27</v>
      </c>
      <c r="F2072">
        <v>-6000</v>
      </c>
      <c r="G2072">
        <v>0</v>
      </c>
    </row>
    <row r="2073" spans="1:7" x14ac:dyDescent="0.3">
      <c r="A2073" s="2">
        <v>44351</v>
      </c>
      <c r="B2073" t="s">
        <v>1184</v>
      </c>
      <c r="C2073">
        <v>-110</v>
      </c>
      <c r="D2073" s="2">
        <v>44351</v>
      </c>
      <c r="E2073" t="s">
        <v>27</v>
      </c>
      <c r="F2073">
        <v>-110</v>
      </c>
      <c r="G2073">
        <v>0</v>
      </c>
    </row>
    <row r="2074" spans="1:7" x14ac:dyDescent="0.3">
      <c r="A2074" s="2">
        <v>44351</v>
      </c>
      <c r="B2074" t="s">
        <v>1184</v>
      </c>
      <c r="C2074">
        <v>-110</v>
      </c>
      <c r="D2074" s="2">
        <v>44351</v>
      </c>
      <c r="E2074" t="s">
        <v>27</v>
      </c>
      <c r="F2074">
        <v>-110</v>
      </c>
      <c r="G2074">
        <v>0</v>
      </c>
    </row>
    <row r="2075" spans="1:7" x14ac:dyDescent="0.3">
      <c r="A2075" s="2">
        <v>44354</v>
      </c>
      <c r="B2075" t="s">
        <v>1185</v>
      </c>
      <c r="C2075">
        <v>110</v>
      </c>
      <c r="D2075" s="2">
        <v>44354</v>
      </c>
      <c r="E2075" t="s">
        <v>25</v>
      </c>
      <c r="F2075">
        <v>110</v>
      </c>
      <c r="G2075">
        <v>0</v>
      </c>
    </row>
    <row r="2076" spans="1:7" x14ac:dyDescent="0.3">
      <c r="A2076" s="2">
        <v>44354</v>
      </c>
      <c r="B2076" t="s">
        <v>1186</v>
      </c>
      <c r="C2076">
        <v>110</v>
      </c>
      <c r="D2076" s="2">
        <v>44354</v>
      </c>
      <c r="E2076" t="s">
        <v>25</v>
      </c>
      <c r="F2076">
        <v>110</v>
      </c>
      <c r="G2076">
        <v>0</v>
      </c>
    </row>
    <row r="2077" spans="1:7" x14ac:dyDescent="0.3">
      <c r="A2077" s="2">
        <v>44354</v>
      </c>
      <c r="B2077" t="s">
        <v>1187</v>
      </c>
      <c r="C2077">
        <v>-110</v>
      </c>
      <c r="D2077" s="2">
        <v>44354</v>
      </c>
      <c r="E2077" t="s">
        <v>27</v>
      </c>
      <c r="F2077">
        <v>-110</v>
      </c>
      <c r="G2077">
        <v>0</v>
      </c>
    </row>
    <row r="2078" spans="1:7" x14ac:dyDescent="0.3">
      <c r="A2078" s="2">
        <v>44354</v>
      </c>
      <c r="B2078" t="s">
        <v>1188</v>
      </c>
      <c r="C2078">
        <v>223.75</v>
      </c>
      <c r="D2078" s="2">
        <v>44354</v>
      </c>
      <c r="E2078" t="s">
        <v>25</v>
      </c>
      <c r="F2078">
        <v>223.75</v>
      </c>
      <c r="G2078">
        <v>0</v>
      </c>
    </row>
    <row r="2079" spans="1:7" x14ac:dyDescent="0.3">
      <c r="A2079" s="2">
        <v>44354</v>
      </c>
      <c r="B2079" t="s">
        <v>1189</v>
      </c>
      <c r="C2079">
        <v>-110</v>
      </c>
      <c r="D2079" s="2">
        <v>44354</v>
      </c>
      <c r="E2079" t="s">
        <v>27</v>
      </c>
      <c r="F2079">
        <v>-110</v>
      </c>
      <c r="G2079">
        <v>0</v>
      </c>
    </row>
    <row r="2080" spans="1:7" x14ac:dyDescent="0.3">
      <c r="A2080" s="2">
        <v>44354</v>
      </c>
      <c r="B2080" t="s">
        <v>1190</v>
      </c>
      <c r="C2080">
        <v>-8301</v>
      </c>
      <c r="D2080" s="2">
        <v>44354</v>
      </c>
      <c r="E2080" t="s">
        <v>27</v>
      </c>
      <c r="F2080">
        <v>-8301</v>
      </c>
      <c r="G2080">
        <v>0</v>
      </c>
    </row>
    <row r="2081" spans="1:7" x14ac:dyDescent="0.3">
      <c r="A2081" s="2">
        <v>44354</v>
      </c>
      <c r="B2081" t="s">
        <v>1191</v>
      </c>
      <c r="C2081">
        <v>-2335</v>
      </c>
      <c r="D2081" s="2">
        <v>44354</v>
      </c>
      <c r="E2081" t="s">
        <v>27</v>
      </c>
      <c r="F2081">
        <v>-2335</v>
      </c>
      <c r="G2081">
        <v>0</v>
      </c>
    </row>
    <row r="2082" spans="1:7" x14ac:dyDescent="0.3">
      <c r="A2082" s="2">
        <v>44356</v>
      </c>
      <c r="B2082" t="s">
        <v>1192</v>
      </c>
      <c r="C2082">
        <v>325</v>
      </c>
      <c r="D2082" s="2">
        <v>44356</v>
      </c>
      <c r="E2082" t="s">
        <v>25</v>
      </c>
      <c r="F2082">
        <v>325</v>
      </c>
      <c r="G2082">
        <v>0</v>
      </c>
    </row>
    <row r="2083" spans="1:7" x14ac:dyDescent="0.3">
      <c r="A2083" s="2">
        <v>44357</v>
      </c>
      <c r="B2083" t="s">
        <v>1193</v>
      </c>
      <c r="C2083">
        <v>2566.25</v>
      </c>
      <c r="D2083" s="2">
        <v>44357</v>
      </c>
      <c r="E2083" t="s">
        <v>25</v>
      </c>
      <c r="F2083">
        <v>2566.25</v>
      </c>
      <c r="G2083">
        <v>0</v>
      </c>
    </row>
    <row r="2084" spans="1:7" x14ac:dyDescent="0.3">
      <c r="A2084" s="2">
        <v>44357</v>
      </c>
      <c r="B2084" t="s">
        <v>1194</v>
      </c>
      <c r="C2084">
        <v>-16.95</v>
      </c>
      <c r="D2084" s="2">
        <v>44357</v>
      </c>
      <c r="E2084" t="s">
        <v>27</v>
      </c>
      <c r="F2084">
        <v>-16.95</v>
      </c>
      <c r="G2084">
        <v>0</v>
      </c>
    </row>
    <row r="2085" spans="1:7" x14ac:dyDescent="0.3">
      <c r="A2085" s="2">
        <v>44358</v>
      </c>
      <c r="B2085" t="s">
        <v>1195</v>
      </c>
      <c r="C2085">
        <v>530</v>
      </c>
      <c r="D2085" s="2">
        <v>44358</v>
      </c>
      <c r="E2085" t="s">
        <v>25</v>
      </c>
      <c r="F2085">
        <v>530</v>
      </c>
      <c r="G2085">
        <v>0</v>
      </c>
    </row>
    <row r="2086" spans="1:7" x14ac:dyDescent="0.3">
      <c r="A2086" s="2">
        <v>44358</v>
      </c>
      <c r="B2086" t="s">
        <v>377</v>
      </c>
      <c r="C2086">
        <v>-9.99</v>
      </c>
      <c r="D2086" s="2">
        <v>44358</v>
      </c>
      <c r="E2086" t="s">
        <v>27</v>
      </c>
      <c r="F2086">
        <v>-9.99</v>
      </c>
      <c r="G2086">
        <v>0</v>
      </c>
    </row>
    <row r="2087" spans="1:7" x14ac:dyDescent="0.3">
      <c r="A2087" s="2">
        <v>44361</v>
      </c>
      <c r="B2087" t="s">
        <v>1196</v>
      </c>
      <c r="C2087">
        <v>123.75</v>
      </c>
      <c r="D2087" s="2">
        <v>44361</v>
      </c>
      <c r="E2087" t="s">
        <v>25</v>
      </c>
      <c r="F2087">
        <v>123.75</v>
      </c>
      <c r="G2087">
        <v>0</v>
      </c>
    </row>
    <row r="2088" spans="1:7" x14ac:dyDescent="0.3">
      <c r="A2088" s="2">
        <v>44361</v>
      </c>
      <c r="B2088" t="s">
        <v>29</v>
      </c>
      <c r="C2088">
        <v>-34.950000000000003</v>
      </c>
      <c r="D2088" s="2">
        <v>44361</v>
      </c>
      <c r="E2088" t="s">
        <v>27</v>
      </c>
      <c r="F2088">
        <v>-34.950000000000003</v>
      </c>
      <c r="G2088">
        <v>0</v>
      </c>
    </row>
    <row r="2089" spans="1:7" x14ac:dyDescent="0.3">
      <c r="A2089" s="2">
        <v>44361</v>
      </c>
      <c r="B2089" t="s">
        <v>385</v>
      </c>
      <c r="C2089">
        <v>-19.59</v>
      </c>
      <c r="D2089" s="2">
        <v>44361</v>
      </c>
      <c r="E2089" t="s">
        <v>27</v>
      </c>
      <c r="F2089">
        <v>-19.59</v>
      </c>
      <c r="G2089">
        <v>0</v>
      </c>
    </row>
    <row r="2090" spans="1:7" x14ac:dyDescent="0.3">
      <c r="A2090" s="2">
        <v>44361</v>
      </c>
      <c r="B2090" t="s">
        <v>1197</v>
      </c>
      <c r="C2090">
        <v>420</v>
      </c>
      <c r="D2090" s="2">
        <v>44361</v>
      </c>
      <c r="E2090" t="s">
        <v>25</v>
      </c>
      <c r="F2090">
        <v>420</v>
      </c>
      <c r="G2090">
        <v>0</v>
      </c>
    </row>
    <row r="2091" spans="1:7" x14ac:dyDescent="0.3">
      <c r="A2091" s="2">
        <v>44361</v>
      </c>
      <c r="B2091" t="s">
        <v>1196</v>
      </c>
      <c r="C2091">
        <v>320</v>
      </c>
      <c r="D2091" s="2">
        <v>44361</v>
      </c>
      <c r="E2091" t="s">
        <v>25</v>
      </c>
      <c r="F2091">
        <v>320</v>
      </c>
      <c r="G2091">
        <v>0</v>
      </c>
    </row>
    <row r="2092" spans="1:7" x14ac:dyDescent="0.3">
      <c r="A2092" s="2">
        <v>44362</v>
      </c>
      <c r="B2092" t="s">
        <v>1198</v>
      </c>
      <c r="C2092">
        <v>333.75</v>
      </c>
      <c r="D2092" s="2">
        <v>44362</v>
      </c>
      <c r="E2092" t="s">
        <v>25</v>
      </c>
      <c r="F2092">
        <v>333.75</v>
      </c>
      <c r="G2092">
        <v>0</v>
      </c>
    </row>
    <row r="2093" spans="1:7" x14ac:dyDescent="0.3">
      <c r="A2093" s="2">
        <v>44362</v>
      </c>
      <c r="B2093" t="s">
        <v>31</v>
      </c>
      <c r="C2093">
        <v>450</v>
      </c>
      <c r="D2093" s="2">
        <v>44362</v>
      </c>
      <c r="E2093" t="s">
        <v>25</v>
      </c>
      <c r="F2093">
        <v>450</v>
      </c>
      <c r="G2093">
        <v>0</v>
      </c>
    </row>
    <row r="2094" spans="1:7" x14ac:dyDescent="0.3">
      <c r="A2094" s="2">
        <v>44363</v>
      </c>
      <c r="B2094" t="s">
        <v>1199</v>
      </c>
      <c r="C2094">
        <v>270</v>
      </c>
      <c r="D2094" s="2">
        <v>44363</v>
      </c>
      <c r="E2094" t="s">
        <v>25</v>
      </c>
      <c r="F2094">
        <v>270</v>
      </c>
      <c r="G2094">
        <v>0</v>
      </c>
    </row>
    <row r="2095" spans="1:7" x14ac:dyDescent="0.3">
      <c r="A2095" s="2">
        <v>44364</v>
      </c>
      <c r="B2095" t="s">
        <v>1200</v>
      </c>
      <c r="C2095">
        <v>123.75</v>
      </c>
      <c r="D2095" s="2">
        <v>44364</v>
      </c>
      <c r="E2095" t="s">
        <v>25</v>
      </c>
      <c r="F2095">
        <v>123.75</v>
      </c>
      <c r="G2095">
        <v>0</v>
      </c>
    </row>
    <row r="2096" spans="1:7" x14ac:dyDescent="0.3">
      <c r="A2096" s="2">
        <v>44364</v>
      </c>
      <c r="B2096" t="s">
        <v>1201</v>
      </c>
      <c r="C2096">
        <v>-93.6</v>
      </c>
      <c r="D2096" s="2">
        <v>44364</v>
      </c>
      <c r="E2096" t="s">
        <v>27</v>
      </c>
      <c r="F2096">
        <v>-93.6</v>
      </c>
      <c r="G2096">
        <v>0</v>
      </c>
    </row>
    <row r="2097" spans="1:7" x14ac:dyDescent="0.3">
      <c r="A2097" s="2">
        <v>44365</v>
      </c>
      <c r="B2097" t="s">
        <v>1202</v>
      </c>
      <c r="C2097">
        <v>320</v>
      </c>
      <c r="D2097" s="2">
        <v>44365</v>
      </c>
      <c r="E2097" t="s">
        <v>25</v>
      </c>
      <c r="F2097">
        <v>320</v>
      </c>
      <c r="G2097">
        <v>0</v>
      </c>
    </row>
    <row r="2098" spans="1:7" x14ac:dyDescent="0.3">
      <c r="A2098" s="2">
        <v>44365</v>
      </c>
      <c r="B2098" t="s">
        <v>1203</v>
      </c>
      <c r="C2098">
        <v>110</v>
      </c>
      <c r="D2098" s="2">
        <v>44365</v>
      </c>
      <c r="E2098" t="s">
        <v>25</v>
      </c>
      <c r="F2098">
        <v>110</v>
      </c>
      <c r="G2098">
        <v>0</v>
      </c>
    </row>
    <row r="2099" spans="1:7" x14ac:dyDescent="0.3">
      <c r="A2099" s="2">
        <v>44368</v>
      </c>
      <c r="B2099" t="s">
        <v>1204</v>
      </c>
      <c r="C2099">
        <v>333.75</v>
      </c>
      <c r="D2099" s="2">
        <v>44368</v>
      </c>
      <c r="E2099" t="s">
        <v>25</v>
      </c>
      <c r="F2099">
        <v>333.75</v>
      </c>
      <c r="G2099">
        <v>0</v>
      </c>
    </row>
    <row r="2100" spans="1:7" x14ac:dyDescent="0.3">
      <c r="A2100" s="2">
        <v>44368</v>
      </c>
      <c r="B2100" t="s">
        <v>1205</v>
      </c>
      <c r="C2100">
        <v>595</v>
      </c>
      <c r="D2100" s="2">
        <v>44368</v>
      </c>
      <c r="E2100" t="s">
        <v>25</v>
      </c>
      <c r="F2100">
        <v>595</v>
      </c>
      <c r="G2100">
        <v>0</v>
      </c>
    </row>
    <row r="2101" spans="1:7" x14ac:dyDescent="0.3">
      <c r="A2101" s="2">
        <v>44368</v>
      </c>
      <c r="B2101" t="s">
        <v>1206</v>
      </c>
      <c r="C2101">
        <v>-7.95</v>
      </c>
      <c r="D2101" s="2">
        <v>44368</v>
      </c>
      <c r="E2101" t="s">
        <v>27</v>
      </c>
      <c r="F2101">
        <v>-7.95</v>
      </c>
      <c r="G2101">
        <v>0</v>
      </c>
    </row>
    <row r="2102" spans="1:7" x14ac:dyDescent="0.3">
      <c r="A2102" s="2">
        <v>44368</v>
      </c>
      <c r="B2102" t="s">
        <v>1207</v>
      </c>
      <c r="C2102">
        <v>-7.95</v>
      </c>
      <c r="D2102" s="2">
        <v>44368</v>
      </c>
      <c r="E2102" t="s">
        <v>27</v>
      </c>
      <c r="F2102">
        <v>-7.95</v>
      </c>
      <c r="G2102">
        <v>0</v>
      </c>
    </row>
    <row r="2103" spans="1:7" x14ac:dyDescent="0.3">
      <c r="A2103" s="2">
        <v>44369</v>
      </c>
      <c r="B2103" t="s">
        <v>1208</v>
      </c>
      <c r="C2103">
        <v>210</v>
      </c>
      <c r="D2103" s="2">
        <v>44369</v>
      </c>
      <c r="E2103" t="s">
        <v>25</v>
      </c>
      <c r="F2103">
        <v>210</v>
      </c>
      <c r="G2103">
        <v>0</v>
      </c>
    </row>
    <row r="2104" spans="1:7" x14ac:dyDescent="0.3">
      <c r="A2104" s="2">
        <v>44370</v>
      </c>
      <c r="B2104" t="s">
        <v>1209</v>
      </c>
      <c r="C2104">
        <v>543.75</v>
      </c>
      <c r="D2104" s="2">
        <v>44370</v>
      </c>
      <c r="E2104" t="s">
        <v>25</v>
      </c>
      <c r="F2104">
        <v>543.75</v>
      </c>
      <c r="G2104">
        <v>0</v>
      </c>
    </row>
    <row r="2105" spans="1:7" x14ac:dyDescent="0.3">
      <c r="A2105" s="2">
        <v>44370</v>
      </c>
      <c r="B2105" t="s">
        <v>390</v>
      </c>
      <c r="C2105">
        <v>-75.98</v>
      </c>
      <c r="D2105" s="2">
        <v>44370</v>
      </c>
      <c r="E2105" t="s">
        <v>27</v>
      </c>
      <c r="F2105">
        <v>-75.98</v>
      </c>
      <c r="G2105">
        <v>0</v>
      </c>
    </row>
    <row r="2106" spans="1:7" x14ac:dyDescent="0.3">
      <c r="A2106" s="2">
        <v>44371</v>
      </c>
      <c r="B2106" t="s">
        <v>1210</v>
      </c>
      <c r="C2106">
        <v>1407.5</v>
      </c>
      <c r="D2106" s="2">
        <v>44371</v>
      </c>
      <c r="E2106" t="s">
        <v>25</v>
      </c>
      <c r="F2106">
        <v>1407.5</v>
      </c>
      <c r="G2106">
        <v>0</v>
      </c>
    </row>
    <row r="2107" spans="1:7" x14ac:dyDescent="0.3">
      <c r="A2107" s="2">
        <v>44372</v>
      </c>
      <c r="B2107" t="s">
        <v>1211</v>
      </c>
      <c r="C2107">
        <v>1118.75</v>
      </c>
      <c r="D2107" s="2">
        <v>44372</v>
      </c>
      <c r="E2107" t="s">
        <v>25</v>
      </c>
      <c r="F2107">
        <v>1118.75</v>
      </c>
      <c r="G2107">
        <v>0</v>
      </c>
    </row>
    <row r="2108" spans="1:7" x14ac:dyDescent="0.3">
      <c r="A2108" s="2">
        <v>44375</v>
      </c>
      <c r="B2108" t="s">
        <v>1212</v>
      </c>
      <c r="C2108">
        <v>870</v>
      </c>
      <c r="D2108" s="2">
        <v>44375</v>
      </c>
      <c r="E2108" t="s">
        <v>25</v>
      </c>
      <c r="F2108">
        <v>870</v>
      </c>
      <c r="G2108">
        <v>0</v>
      </c>
    </row>
    <row r="2109" spans="1:7" x14ac:dyDescent="0.3">
      <c r="A2109" s="2">
        <v>44375</v>
      </c>
      <c r="B2109" t="s">
        <v>1213</v>
      </c>
      <c r="C2109">
        <v>123.75</v>
      </c>
      <c r="D2109" s="2">
        <v>44375</v>
      </c>
      <c r="E2109" t="s">
        <v>25</v>
      </c>
      <c r="F2109">
        <v>123.75</v>
      </c>
      <c r="G2109">
        <v>0</v>
      </c>
    </row>
    <row r="2110" spans="1:7" x14ac:dyDescent="0.3">
      <c r="A2110" s="2">
        <v>44375</v>
      </c>
      <c r="B2110" t="s">
        <v>50</v>
      </c>
      <c r="C2110">
        <v>-103.44</v>
      </c>
      <c r="D2110" s="2">
        <v>44375</v>
      </c>
      <c r="E2110" t="s">
        <v>27</v>
      </c>
      <c r="F2110">
        <v>-103.44</v>
      </c>
      <c r="G2110">
        <v>0</v>
      </c>
    </row>
    <row r="2111" spans="1:7" x14ac:dyDescent="0.3">
      <c r="A2111" s="2">
        <v>44375</v>
      </c>
      <c r="B2111" t="s">
        <v>1213</v>
      </c>
      <c r="C2111">
        <v>553.75</v>
      </c>
      <c r="D2111" s="2">
        <v>44375</v>
      </c>
      <c r="E2111" t="s">
        <v>25</v>
      </c>
      <c r="F2111">
        <v>553.75</v>
      </c>
      <c r="G2111">
        <v>0</v>
      </c>
    </row>
    <row r="2112" spans="1:7" x14ac:dyDescent="0.3">
      <c r="A2112" s="2">
        <v>44376</v>
      </c>
      <c r="B2112" t="s">
        <v>1214</v>
      </c>
      <c r="C2112">
        <v>1250</v>
      </c>
      <c r="D2112" s="2">
        <v>44376</v>
      </c>
      <c r="E2112" t="s">
        <v>25</v>
      </c>
      <c r="F2112">
        <v>1250</v>
      </c>
      <c r="G2112">
        <v>0</v>
      </c>
    </row>
    <row r="2113" spans="1:7" x14ac:dyDescent="0.3">
      <c r="A2113" s="2">
        <v>44376</v>
      </c>
      <c r="B2113" t="s">
        <v>1215</v>
      </c>
      <c r="C2113">
        <v>123.75</v>
      </c>
      <c r="D2113" s="2">
        <v>44376</v>
      </c>
      <c r="E2113" t="s">
        <v>25</v>
      </c>
      <c r="F2113">
        <v>123.75</v>
      </c>
      <c r="G2113">
        <v>0</v>
      </c>
    </row>
    <row r="2114" spans="1:7" x14ac:dyDescent="0.3">
      <c r="A2114" s="2">
        <v>44378</v>
      </c>
      <c r="B2114" t="s">
        <v>1216</v>
      </c>
      <c r="C2114">
        <v>110</v>
      </c>
      <c r="D2114" s="2">
        <v>44378</v>
      </c>
      <c r="E2114" t="s">
        <v>25</v>
      </c>
      <c r="F2114">
        <v>110</v>
      </c>
      <c r="G2114">
        <v>0</v>
      </c>
    </row>
    <row r="2115" spans="1:7" x14ac:dyDescent="0.3">
      <c r="A2115" s="2">
        <v>44379</v>
      </c>
      <c r="B2115" t="s">
        <v>1217</v>
      </c>
      <c r="C2115">
        <v>-30</v>
      </c>
      <c r="D2115" s="2">
        <v>44379</v>
      </c>
      <c r="E2115" t="s">
        <v>27</v>
      </c>
      <c r="F2115">
        <v>-30</v>
      </c>
      <c r="G2115">
        <v>0</v>
      </c>
    </row>
    <row r="2116" spans="1:7" x14ac:dyDescent="0.3">
      <c r="A2116" s="2">
        <v>44379</v>
      </c>
      <c r="B2116" t="s">
        <v>1218</v>
      </c>
      <c r="C2116">
        <v>3263.75</v>
      </c>
      <c r="D2116" s="2">
        <v>44379</v>
      </c>
      <c r="E2116" t="s">
        <v>25</v>
      </c>
      <c r="F2116">
        <v>3263.75</v>
      </c>
      <c r="G2116">
        <v>0</v>
      </c>
    </row>
    <row r="2117" spans="1:7" x14ac:dyDescent="0.3">
      <c r="A2117" s="2">
        <v>44379</v>
      </c>
      <c r="B2117" t="s">
        <v>1216</v>
      </c>
      <c r="C2117">
        <v>-565.97</v>
      </c>
      <c r="D2117" s="2">
        <v>44379</v>
      </c>
      <c r="E2117" t="s">
        <v>27</v>
      </c>
      <c r="F2117">
        <v>-565.97</v>
      </c>
      <c r="G2117">
        <v>0</v>
      </c>
    </row>
    <row r="2118" spans="1:7" x14ac:dyDescent="0.3">
      <c r="A2118" s="2">
        <v>44383</v>
      </c>
      <c r="B2118" t="s">
        <v>1219</v>
      </c>
      <c r="C2118">
        <v>3160</v>
      </c>
      <c r="D2118" s="2">
        <v>44383</v>
      </c>
      <c r="E2118" t="s">
        <v>25</v>
      </c>
      <c r="F2118">
        <v>3160</v>
      </c>
      <c r="G2118">
        <v>0</v>
      </c>
    </row>
    <row r="2119" spans="1:7" x14ac:dyDescent="0.3">
      <c r="A2119" s="2">
        <v>44383</v>
      </c>
      <c r="B2119" t="s">
        <v>56</v>
      </c>
      <c r="C2119">
        <v>-34.950000000000003</v>
      </c>
      <c r="D2119" s="2">
        <v>44383</v>
      </c>
      <c r="E2119" t="s">
        <v>27</v>
      </c>
      <c r="F2119">
        <v>-34.950000000000003</v>
      </c>
      <c r="G2119">
        <v>0</v>
      </c>
    </row>
    <row r="2120" spans="1:7" x14ac:dyDescent="0.3">
      <c r="A2120" s="2">
        <v>44383</v>
      </c>
      <c r="B2120" t="s">
        <v>1220</v>
      </c>
      <c r="C2120">
        <v>273.75</v>
      </c>
      <c r="D2120" s="2">
        <v>44383</v>
      </c>
      <c r="E2120" t="s">
        <v>25</v>
      </c>
      <c r="F2120">
        <v>273.75</v>
      </c>
      <c r="G2120">
        <v>0</v>
      </c>
    </row>
    <row r="2121" spans="1:7" x14ac:dyDescent="0.3">
      <c r="A2121" s="2">
        <v>44383</v>
      </c>
      <c r="B2121" t="s">
        <v>1220</v>
      </c>
      <c r="C2121">
        <v>192.5</v>
      </c>
      <c r="D2121" s="2">
        <v>44383</v>
      </c>
      <c r="E2121" t="s">
        <v>25</v>
      </c>
      <c r="F2121">
        <v>192.5</v>
      </c>
      <c r="G2121">
        <v>0</v>
      </c>
    </row>
    <row r="2122" spans="1:7" x14ac:dyDescent="0.3">
      <c r="A2122" s="2">
        <v>44383</v>
      </c>
      <c r="B2122" t="s">
        <v>1221</v>
      </c>
      <c r="C2122">
        <v>1376.25</v>
      </c>
      <c r="D2122" s="2">
        <v>44383</v>
      </c>
      <c r="E2122" t="s">
        <v>25</v>
      </c>
      <c r="F2122">
        <v>1376.25</v>
      </c>
      <c r="G2122">
        <v>0</v>
      </c>
    </row>
    <row r="2123" spans="1:7" x14ac:dyDescent="0.3">
      <c r="A2123" s="2">
        <v>44384</v>
      </c>
      <c r="B2123" t="s">
        <v>31</v>
      </c>
      <c r="C2123">
        <v>2000</v>
      </c>
      <c r="D2123" s="2">
        <v>44384</v>
      </c>
      <c r="E2123" t="s">
        <v>25</v>
      </c>
      <c r="F2123">
        <v>2000</v>
      </c>
      <c r="G2123">
        <v>0</v>
      </c>
    </row>
    <row r="2124" spans="1:7" x14ac:dyDescent="0.3">
      <c r="A2124" s="2">
        <v>44384</v>
      </c>
      <c r="B2124" t="s">
        <v>1222</v>
      </c>
      <c r="C2124">
        <v>667.5</v>
      </c>
      <c r="D2124" s="2">
        <v>44384</v>
      </c>
      <c r="E2124" t="s">
        <v>25</v>
      </c>
      <c r="F2124">
        <v>667.5</v>
      </c>
      <c r="G2124">
        <v>0</v>
      </c>
    </row>
    <row r="2125" spans="1:7" x14ac:dyDescent="0.3">
      <c r="A2125" s="2">
        <v>44385</v>
      </c>
      <c r="B2125" t="s">
        <v>1223</v>
      </c>
      <c r="C2125">
        <v>3393.75</v>
      </c>
      <c r="D2125" s="2">
        <v>44385</v>
      </c>
      <c r="E2125" t="s">
        <v>25</v>
      </c>
      <c r="F2125">
        <v>3393.75</v>
      </c>
      <c r="G2125">
        <v>0</v>
      </c>
    </row>
    <row r="2126" spans="1:7" x14ac:dyDescent="0.3">
      <c r="A2126" s="2">
        <v>44386</v>
      </c>
      <c r="B2126" t="s">
        <v>1224</v>
      </c>
      <c r="C2126">
        <v>8162.5</v>
      </c>
      <c r="D2126" s="2">
        <v>44386</v>
      </c>
      <c r="E2126" t="s">
        <v>25</v>
      </c>
      <c r="F2126">
        <v>8162.5</v>
      </c>
      <c r="G2126">
        <v>0</v>
      </c>
    </row>
    <row r="2127" spans="1:7" x14ac:dyDescent="0.3">
      <c r="A2127" s="2">
        <v>44389</v>
      </c>
      <c r="B2127" t="s">
        <v>761</v>
      </c>
      <c r="C2127">
        <v>-9.99</v>
      </c>
      <c r="D2127" s="2">
        <v>44389</v>
      </c>
      <c r="E2127" t="s">
        <v>27</v>
      </c>
      <c r="F2127">
        <v>-9.99</v>
      </c>
      <c r="G2127">
        <v>0</v>
      </c>
    </row>
    <row r="2128" spans="1:7" x14ac:dyDescent="0.3">
      <c r="A2128" s="2">
        <v>44389</v>
      </c>
      <c r="B2128" t="s">
        <v>1225</v>
      </c>
      <c r="C2128">
        <v>6172.5</v>
      </c>
      <c r="D2128" s="2">
        <v>44389</v>
      </c>
      <c r="E2128" t="s">
        <v>25</v>
      </c>
      <c r="F2128">
        <v>6172.5</v>
      </c>
      <c r="G2128">
        <v>0</v>
      </c>
    </row>
    <row r="2129" spans="1:7" x14ac:dyDescent="0.3">
      <c r="A2129" s="2">
        <v>44389</v>
      </c>
      <c r="B2129" t="s">
        <v>1226</v>
      </c>
      <c r="C2129">
        <v>1740</v>
      </c>
      <c r="D2129" s="2">
        <v>44389</v>
      </c>
      <c r="E2129" t="s">
        <v>25</v>
      </c>
      <c r="F2129">
        <v>1740</v>
      </c>
      <c r="G2129">
        <v>0</v>
      </c>
    </row>
    <row r="2130" spans="1:7" x14ac:dyDescent="0.3">
      <c r="A2130" s="2">
        <v>44389</v>
      </c>
      <c r="B2130" t="s">
        <v>1226</v>
      </c>
      <c r="C2130">
        <v>976.25</v>
      </c>
      <c r="D2130" s="2">
        <v>44389</v>
      </c>
      <c r="E2130" t="s">
        <v>25</v>
      </c>
      <c r="F2130">
        <v>976.25</v>
      </c>
      <c r="G2130">
        <v>0</v>
      </c>
    </row>
    <row r="2131" spans="1:7" x14ac:dyDescent="0.3">
      <c r="A2131" s="2">
        <v>44389</v>
      </c>
      <c r="B2131" t="s">
        <v>1227</v>
      </c>
      <c r="C2131">
        <v>-16.95</v>
      </c>
      <c r="D2131" s="2">
        <v>44389</v>
      </c>
      <c r="E2131" t="s">
        <v>27</v>
      </c>
      <c r="F2131">
        <v>-16.95</v>
      </c>
      <c r="G2131">
        <v>0</v>
      </c>
    </row>
    <row r="2132" spans="1:7" x14ac:dyDescent="0.3">
      <c r="A2132" s="2">
        <v>44389</v>
      </c>
      <c r="B2132" t="s">
        <v>1228</v>
      </c>
      <c r="C2132">
        <v>-13855</v>
      </c>
      <c r="D2132" s="2">
        <v>44389</v>
      </c>
      <c r="E2132" t="s">
        <v>27</v>
      </c>
      <c r="F2132">
        <v>-13855</v>
      </c>
      <c r="G2132">
        <v>0</v>
      </c>
    </row>
    <row r="2133" spans="1:7" x14ac:dyDescent="0.3">
      <c r="A2133" s="2">
        <v>44389</v>
      </c>
      <c r="B2133" t="s">
        <v>1229</v>
      </c>
      <c r="C2133">
        <v>-6221.57</v>
      </c>
      <c r="D2133" s="2">
        <v>44389</v>
      </c>
      <c r="E2133" t="s">
        <v>27</v>
      </c>
      <c r="F2133">
        <v>-6221.57</v>
      </c>
      <c r="G2133">
        <v>0</v>
      </c>
    </row>
    <row r="2134" spans="1:7" x14ac:dyDescent="0.3">
      <c r="A2134" s="2">
        <v>44389</v>
      </c>
      <c r="B2134" t="s">
        <v>1230</v>
      </c>
      <c r="C2134">
        <v>-255.9</v>
      </c>
      <c r="D2134" s="2">
        <v>44389</v>
      </c>
      <c r="E2134" t="s">
        <v>27</v>
      </c>
      <c r="F2134">
        <v>-255.9</v>
      </c>
      <c r="G2134">
        <v>0</v>
      </c>
    </row>
    <row r="2135" spans="1:7" x14ac:dyDescent="0.3">
      <c r="A2135" s="2">
        <v>44389</v>
      </c>
      <c r="B2135" t="s">
        <v>1231</v>
      </c>
      <c r="C2135">
        <v>-111.85</v>
      </c>
      <c r="D2135" s="2">
        <v>44389</v>
      </c>
      <c r="E2135" t="s">
        <v>27</v>
      </c>
      <c r="F2135">
        <v>-111.85</v>
      </c>
      <c r="G2135">
        <v>0</v>
      </c>
    </row>
    <row r="2136" spans="1:7" x14ac:dyDescent="0.3">
      <c r="A2136" s="2">
        <v>44390</v>
      </c>
      <c r="B2136" t="s">
        <v>1232</v>
      </c>
      <c r="C2136">
        <v>1082.5</v>
      </c>
      <c r="D2136" s="2">
        <v>44390</v>
      </c>
      <c r="E2136" t="s">
        <v>25</v>
      </c>
      <c r="F2136">
        <v>1082.5</v>
      </c>
      <c r="G2136">
        <v>0</v>
      </c>
    </row>
    <row r="2137" spans="1:7" x14ac:dyDescent="0.3">
      <c r="A2137" s="2">
        <v>44390</v>
      </c>
      <c r="B2137" t="s">
        <v>1233</v>
      </c>
      <c r="C2137">
        <v>-18005</v>
      </c>
      <c r="D2137" s="2">
        <v>44390</v>
      </c>
      <c r="E2137" t="s">
        <v>27</v>
      </c>
      <c r="F2137">
        <v>-18005</v>
      </c>
      <c r="G2137">
        <v>0</v>
      </c>
    </row>
    <row r="2138" spans="1:7" x14ac:dyDescent="0.3">
      <c r="A2138" s="2">
        <v>44391</v>
      </c>
      <c r="B2138" t="s">
        <v>397</v>
      </c>
      <c r="C2138">
        <v>-19.59</v>
      </c>
      <c r="D2138" s="2">
        <v>44391</v>
      </c>
      <c r="E2138" t="s">
        <v>27</v>
      </c>
      <c r="F2138">
        <v>-19.59</v>
      </c>
      <c r="G2138">
        <v>0</v>
      </c>
    </row>
    <row r="2139" spans="1:7" x14ac:dyDescent="0.3">
      <c r="A2139" s="2">
        <v>44391</v>
      </c>
      <c r="B2139" t="s">
        <v>1234</v>
      </c>
      <c r="C2139">
        <v>1995</v>
      </c>
      <c r="D2139" s="2">
        <v>44391</v>
      </c>
      <c r="E2139" t="s">
        <v>25</v>
      </c>
      <c r="F2139">
        <v>1995</v>
      </c>
      <c r="G2139">
        <v>0</v>
      </c>
    </row>
    <row r="2140" spans="1:7" x14ac:dyDescent="0.3">
      <c r="A2140" s="2">
        <v>44391</v>
      </c>
      <c r="B2140" t="s">
        <v>67</v>
      </c>
      <c r="C2140">
        <v>-85.98</v>
      </c>
      <c r="D2140" s="2">
        <v>44391</v>
      </c>
      <c r="E2140" t="s">
        <v>27</v>
      </c>
      <c r="F2140">
        <v>-85.98</v>
      </c>
      <c r="G2140">
        <v>0</v>
      </c>
    </row>
    <row r="2141" spans="1:7" x14ac:dyDescent="0.3">
      <c r="A2141" s="2">
        <v>44392</v>
      </c>
      <c r="B2141" t="s">
        <v>1235</v>
      </c>
      <c r="C2141">
        <v>19812.5</v>
      </c>
      <c r="D2141" s="2">
        <v>44392</v>
      </c>
      <c r="E2141" t="s">
        <v>25</v>
      </c>
      <c r="F2141">
        <v>19812.5</v>
      </c>
      <c r="G2141">
        <v>0</v>
      </c>
    </row>
    <row r="2142" spans="1:7" x14ac:dyDescent="0.3">
      <c r="A2142" s="2">
        <v>44393</v>
      </c>
      <c r="B2142" t="s">
        <v>1236</v>
      </c>
      <c r="C2142">
        <v>11942.5</v>
      </c>
      <c r="D2142" s="2">
        <v>44393</v>
      </c>
      <c r="E2142" t="s">
        <v>25</v>
      </c>
      <c r="F2142">
        <v>11942.5</v>
      </c>
      <c r="G2142">
        <v>0</v>
      </c>
    </row>
    <row r="2143" spans="1:7" x14ac:dyDescent="0.3">
      <c r="A2143" s="2">
        <v>44396</v>
      </c>
      <c r="B2143" t="s">
        <v>1237</v>
      </c>
      <c r="C2143">
        <v>-7.95</v>
      </c>
      <c r="D2143" s="2">
        <v>44396</v>
      </c>
      <c r="E2143" t="s">
        <v>27</v>
      </c>
      <c r="F2143">
        <v>-7.95</v>
      </c>
      <c r="G2143">
        <v>0</v>
      </c>
    </row>
    <row r="2144" spans="1:7" x14ac:dyDescent="0.3">
      <c r="A2144" s="2">
        <v>44396</v>
      </c>
      <c r="B2144" t="s">
        <v>1238</v>
      </c>
      <c r="C2144">
        <v>-7.95</v>
      </c>
      <c r="D2144" s="2">
        <v>44396</v>
      </c>
      <c r="E2144" t="s">
        <v>27</v>
      </c>
      <c r="F2144">
        <v>-7.95</v>
      </c>
      <c r="G2144">
        <v>0</v>
      </c>
    </row>
    <row r="2145" spans="1:7" x14ac:dyDescent="0.3">
      <c r="A2145" s="2">
        <v>44396</v>
      </c>
      <c r="B2145" t="s">
        <v>1239</v>
      </c>
      <c r="C2145">
        <v>745</v>
      </c>
      <c r="D2145" s="2">
        <v>44396</v>
      </c>
      <c r="E2145" t="s">
        <v>25</v>
      </c>
      <c r="F2145">
        <v>745</v>
      </c>
      <c r="G2145">
        <v>0</v>
      </c>
    </row>
    <row r="2146" spans="1:7" x14ac:dyDescent="0.3">
      <c r="A2146" s="2">
        <v>44396</v>
      </c>
      <c r="B2146" t="s">
        <v>1240</v>
      </c>
      <c r="C2146">
        <v>36572.5</v>
      </c>
      <c r="D2146" s="2">
        <v>44396</v>
      </c>
      <c r="E2146" t="s">
        <v>25</v>
      </c>
      <c r="F2146">
        <v>36572.5</v>
      </c>
      <c r="G2146">
        <v>0</v>
      </c>
    </row>
    <row r="2147" spans="1:7" x14ac:dyDescent="0.3">
      <c r="A2147" s="2">
        <v>44397</v>
      </c>
      <c r="B2147" t="s">
        <v>1241</v>
      </c>
      <c r="C2147">
        <v>210</v>
      </c>
      <c r="D2147" s="2">
        <v>44397</v>
      </c>
      <c r="E2147" t="s">
        <v>25</v>
      </c>
      <c r="F2147">
        <v>210</v>
      </c>
      <c r="G2147">
        <v>0</v>
      </c>
    </row>
    <row r="2148" spans="1:7" x14ac:dyDescent="0.3">
      <c r="A2148" s="2">
        <v>44398</v>
      </c>
      <c r="B2148" t="s">
        <v>1242</v>
      </c>
      <c r="C2148">
        <v>1000</v>
      </c>
      <c r="D2148" s="2">
        <v>44398</v>
      </c>
      <c r="E2148" t="s">
        <v>25</v>
      </c>
      <c r="F2148">
        <v>1000</v>
      </c>
      <c r="G2148">
        <v>0</v>
      </c>
    </row>
    <row r="2149" spans="1:7" x14ac:dyDescent="0.3">
      <c r="A2149" s="2">
        <v>44398</v>
      </c>
      <c r="B2149" t="s">
        <v>1243</v>
      </c>
      <c r="C2149">
        <v>432.5</v>
      </c>
      <c r="D2149" s="2">
        <v>44398</v>
      </c>
      <c r="E2149" t="s">
        <v>25</v>
      </c>
      <c r="F2149">
        <v>432.5</v>
      </c>
      <c r="G2149">
        <v>0</v>
      </c>
    </row>
    <row r="2150" spans="1:7" x14ac:dyDescent="0.3">
      <c r="A2150" s="2">
        <v>44399</v>
      </c>
      <c r="B2150" t="s">
        <v>1244</v>
      </c>
      <c r="C2150">
        <v>7442.5</v>
      </c>
      <c r="D2150" s="2">
        <v>44399</v>
      </c>
      <c r="E2150" t="s">
        <v>25</v>
      </c>
      <c r="F2150">
        <v>7442.5</v>
      </c>
      <c r="G2150">
        <v>0</v>
      </c>
    </row>
    <row r="2151" spans="1:7" x14ac:dyDescent="0.3">
      <c r="A2151" s="2">
        <v>44400</v>
      </c>
      <c r="B2151" t="s">
        <v>1245</v>
      </c>
      <c r="C2151">
        <v>150</v>
      </c>
      <c r="D2151" s="2">
        <v>44400</v>
      </c>
      <c r="E2151" t="s">
        <v>25</v>
      </c>
      <c r="F2151">
        <v>150</v>
      </c>
      <c r="G2151">
        <v>0</v>
      </c>
    </row>
    <row r="2152" spans="1:7" x14ac:dyDescent="0.3">
      <c r="A2152" s="2">
        <v>44403</v>
      </c>
      <c r="B2152" t="s">
        <v>1246</v>
      </c>
      <c r="C2152">
        <v>440</v>
      </c>
      <c r="D2152" s="2">
        <v>44403</v>
      </c>
      <c r="E2152" t="s">
        <v>25</v>
      </c>
      <c r="F2152">
        <v>440</v>
      </c>
      <c r="G2152">
        <v>0</v>
      </c>
    </row>
    <row r="2153" spans="1:7" x14ac:dyDescent="0.3">
      <c r="A2153" s="2">
        <v>44403</v>
      </c>
      <c r="B2153" t="s">
        <v>1247</v>
      </c>
      <c r="C2153">
        <v>1732.5</v>
      </c>
      <c r="D2153" s="2">
        <v>44403</v>
      </c>
      <c r="E2153" t="s">
        <v>25</v>
      </c>
      <c r="F2153">
        <v>1732.5</v>
      </c>
      <c r="G2153">
        <v>0</v>
      </c>
    </row>
    <row r="2154" spans="1:7" x14ac:dyDescent="0.3">
      <c r="A2154" s="2">
        <v>44404</v>
      </c>
      <c r="B2154" t="s">
        <v>1248</v>
      </c>
      <c r="C2154">
        <v>10010</v>
      </c>
      <c r="D2154" s="2">
        <v>44404</v>
      </c>
      <c r="E2154" t="s">
        <v>25</v>
      </c>
      <c r="F2154">
        <v>10010</v>
      </c>
      <c r="G2154">
        <v>0</v>
      </c>
    </row>
    <row r="2155" spans="1:7" x14ac:dyDescent="0.3">
      <c r="A2155" s="2">
        <v>44405</v>
      </c>
      <c r="B2155" t="s">
        <v>1249</v>
      </c>
      <c r="C2155">
        <v>302.5</v>
      </c>
      <c r="D2155" s="2">
        <v>44405</v>
      </c>
      <c r="E2155" t="s">
        <v>25</v>
      </c>
      <c r="F2155">
        <v>302.5</v>
      </c>
      <c r="G2155">
        <v>0</v>
      </c>
    </row>
    <row r="2156" spans="1:7" x14ac:dyDescent="0.3">
      <c r="A2156" s="2">
        <v>44406</v>
      </c>
      <c r="B2156" t="s">
        <v>1250</v>
      </c>
      <c r="C2156">
        <v>770</v>
      </c>
      <c r="D2156" s="2">
        <v>44406</v>
      </c>
      <c r="E2156" t="s">
        <v>25</v>
      </c>
      <c r="F2156">
        <v>770</v>
      </c>
      <c r="G2156">
        <v>0</v>
      </c>
    </row>
    <row r="2157" spans="1:7" x14ac:dyDescent="0.3">
      <c r="A2157" s="2">
        <v>44406</v>
      </c>
      <c r="B2157" t="s">
        <v>83</v>
      </c>
      <c r="C2157">
        <v>-103.44</v>
      </c>
      <c r="D2157" s="2">
        <v>44406</v>
      </c>
      <c r="E2157" t="s">
        <v>27</v>
      </c>
      <c r="F2157">
        <v>-103.44</v>
      </c>
      <c r="G2157">
        <v>0</v>
      </c>
    </row>
    <row r="2158" spans="1:7" x14ac:dyDescent="0.3">
      <c r="A2158" s="2">
        <v>44407</v>
      </c>
      <c r="B2158" t="s">
        <v>1251</v>
      </c>
      <c r="C2158">
        <v>240</v>
      </c>
      <c r="D2158" s="2">
        <v>44407</v>
      </c>
      <c r="E2158" t="s">
        <v>25</v>
      </c>
      <c r="F2158">
        <v>240</v>
      </c>
      <c r="G2158">
        <v>0</v>
      </c>
    </row>
    <row r="2159" spans="1:7" x14ac:dyDescent="0.3">
      <c r="A2159" s="2">
        <v>44410</v>
      </c>
      <c r="B2159" t="s">
        <v>1252</v>
      </c>
      <c r="C2159">
        <v>247.5</v>
      </c>
      <c r="D2159" s="2">
        <v>44410</v>
      </c>
      <c r="E2159" t="s">
        <v>25</v>
      </c>
      <c r="F2159">
        <v>247.5</v>
      </c>
      <c r="G2159">
        <v>0</v>
      </c>
    </row>
    <row r="2160" spans="1:7" x14ac:dyDescent="0.3">
      <c r="A2160" s="2">
        <v>44410</v>
      </c>
      <c r="B2160" t="s">
        <v>1253</v>
      </c>
      <c r="C2160">
        <v>165</v>
      </c>
      <c r="D2160" s="2">
        <v>44410</v>
      </c>
      <c r="E2160" t="s">
        <v>25</v>
      </c>
      <c r="F2160">
        <v>165</v>
      </c>
      <c r="G2160">
        <v>0</v>
      </c>
    </row>
    <row r="2161" spans="1:7" x14ac:dyDescent="0.3">
      <c r="A2161" s="2">
        <v>44410</v>
      </c>
      <c r="B2161" t="s">
        <v>1252</v>
      </c>
      <c r="C2161">
        <v>-5008.26</v>
      </c>
      <c r="D2161" s="2">
        <v>44410</v>
      </c>
      <c r="E2161" t="s">
        <v>27</v>
      </c>
      <c r="F2161">
        <v>-5008.26</v>
      </c>
      <c r="G2161">
        <v>0</v>
      </c>
    </row>
    <row r="2162" spans="1:7" x14ac:dyDescent="0.3">
      <c r="A2162" s="2">
        <v>44410</v>
      </c>
      <c r="B2162" t="s">
        <v>1254</v>
      </c>
      <c r="C2162">
        <v>-30</v>
      </c>
      <c r="D2162" s="2">
        <v>44410</v>
      </c>
      <c r="E2162" t="s">
        <v>27</v>
      </c>
      <c r="F2162">
        <v>-30</v>
      </c>
      <c r="G2162">
        <v>0</v>
      </c>
    </row>
    <row r="2163" spans="1:7" x14ac:dyDescent="0.3">
      <c r="A2163" s="2">
        <v>44411</v>
      </c>
      <c r="B2163" t="s">
        <v>1255</v>
      </c>
      <c r="C2163">
        <v>82.5</v>
      </c>
      <c r="D2163" s="2">
        <v>44411</v>
      </c>
      <c r="E2163" t="s">
        <v>25</v>
      </c>
      <c r="F2163">
        <v>82.5</v>
      </c>
      <c r="G2163">
        <v>0</v>
      </c>
    </row>
    <row r="2164" spans="1:7" x14ac:dyDescent="0.3">
      <c r="A2164" s="2">
        <v>44411</v>
      </c>
      <c r="B2164" t="s">
        <v>1255</v>
      </c>
      <c r="C2164">
        <v>445</v>
      </c>
      <c r="D2164" s="2">
        <v>44411</v>
      </c>
      <c r="E2164" t="s">
        <v>25</v>
      </c>
      <c r="F2164">
        <v>445</v>
      </c>
      <c r="G2164">
        <v>0</v>
      </c>
    </row>
    <row r="2165" spans="1:7" x14ac:dyDescent="0.3">
      <c r="A2165" s="2">
        <v>44412</v>
      </c>
      <c r="B2165" t="s">
        <v>1256</v>
      </c>
      <c r="C2165">
        <v>242.5</v>
      </c>
      <c r="D2165" s="2">
        <v>44412</v>
      </c>
      <c r="E2165" t="s">
        <v>25</v>
      </c>
      <c r="F2165">
        <v>242.5</v>
      </c>
      <c r="G2165">
        <v>0</v>
      </c>
    </row>
    <row r="2166" spans="1:7" x14ac:dyDescent="0.3">
      <c r="A2166" s="2">
        <v>44413</v>
      </c>
      <c r="B2166" t="s">
        <v>1257</v>
      </c>
      <c r="C2166">
        <v>185</v>
      </c>
      <c r="D2166" s="2">
        <v>44413</v>
      </c>
      <c r="E2166" t="s">
        <v>25</v>
      </c>
      <c r="F2166">
        <v>185</v>
      </c>
      <c r="G2166">
        <v>0</v>
      </c>
    </row>
    <row r="2167" spans="1:7" x14ac:dyDescent="0.3">
      <c r="A2167" s="2">
        <v>44414</v>
      </c>
      <c r="B2167" t="s">
        <v>31</v>
      </c>
      <c r="C2167">
        <v>500</v>
      </c>
      <c r="D2167" s="2">
        <v>44414</v>
      </c>
      <c r="E2167" t="s">
        <v>25</v>
      </c>
      <c r="F2167">
        <v>500</v>
      </c>
      <c r="G2167">
        <v>0</v>
      </c>
    </row>
    <row r="2168" spans="1:7" x14ac:dyDescent="0.3">
      <c r="A2168" s="2">
        <v>44414</v>
      </c>
      <c r="B2168" t="s">
        <v>31</v>
      </c>
      <c r="C2168">
        <v>200</v>
      </c>
      <c r="D2168" s="2">
        <v>44414</v>
      </c>
      <c r="E2168" t="s">
        <v>25</v>
      </c>
      <c r="F2168">
        <v>200</v>
      </c>
      <c r="G2168">
        <v>0</v>
      </c>
    </row>
    <row r="2169" spans="1:7" x14ac:dyDescent="0.3">
      <c r="A2169" s="2">
        <v>44414</v>
      </c>
      <c r="B2169" t="s">
        <v>1258</v>
      </c>
      <c r="C2169">
        <v>1112.5</v>
      </c>
      <c r="D2169" s="2">
        <v>44414</v>
      </c>
      <c r="E2169" t="s">
        <v>25</v>
      </c>
      <c r="F2169">
        <v>1112.5</v>
      </c>
      <c r="G2169">
        <v>0</v>
      </c>
    </row>
    <row r="2170" spans="1:7" x14ac:dyDescent="0.3">
      <c r="A2170" s="2">
        <v>44417</v>
      </c>
      <c r="B2170" t="s">
        <v>1259</v>
      </c>
      <c r="C2170">
        <v>370</v>
      </c>
      <c r="D2170" s="2">
        <v>44417</v>
      </c>
      <c r="E2170" t="s">
        <v>25</v>
      </c>
      <c r="F2170">
        <v>370</v>
      </c>
      <c r="G2170">
        <v>0</v>
      </c>
    </row>
    <row r="2171" spans="1:7" x14ac:dyDescent="0.3">
      <c r="A2171" s="2">
        <v>44417</v>
      </c>
      <c r="B2171" t="s">
        <v>1260</v>
      </c>
      <c r="C2171">
        <v>150</v>
      </c>
      <c r="D2171" s="2">
        <v>44417</v>
      </c>
      <c r="E2171" t="s">
        <v>25</v>
      </c>
      <c r="F2171">
        <v>150</v>
      </c>
      <c r="G2171">
        <v>0</v>
      </c>
    </row>
    <row r="2172" spans="1:7" x14ac:dyDescent="0.3">
      <c r="A2172" s="2">
        <v>44417</v>
      </c>
      <c r="B2172" t="s">
        <v>1260</v>
      </c>
      <c r="C2172">
        <v>300</v>
      </c>
      <c r="D2172" s="2">
        <v>44417</v>
      </c>
      <c r="E2172" t="s">
        <v>25</v>
      </c>
      <c r="F2172">
        <v>300</v>
      </c>
      <c r="G2172">
        <v>0</v>
      </c>
    </row>
    <row r="2173" spans="1:7" x14ac:dyDescent="0.3">
      <c r="A2173" s="2">
        <v>44418</v>
      </c>
      <c r="B2173" t="s">
        <v>1261</v>
      </c>
      <c r="C2173">
        <v>-9.99</v>
      </c>
      <c r="D2173" s="2">
        <v>44418</v>
      </c>
      <c r="E2173" t="s">
        <v>27</v>
      </c>
      <c r="F2173">
        <v>-9.99</v>
      </c>
      <c r="G2173">
        <v>0</v>
      </c>
    </row>
    <row r="2174" spans="1:7" x14ac:dyDescent="0.3">
      <c r="A2174" s="2">
        <v>44418</v>
      </c>
      <c r="B2174" t="s">
        <v>1262</v>
      </c>
      <c r="C2174">
        <v>260</v>
      </c>
      <c r="D2174" s="2">
        <v>44418</v>
      </c>
      <c r="E2174" t="s">
        <v>25</v>
      </c>
      <c r="F2174">
        <v>260</v>
      </c>
      <c r="G2174">
        <v>0</v>
      </c>
    </row>
    <row r="2175" spans="1:7" x14ac:dyDescent="0.3">
      <c r="A2175" s="2">
        <v>44419</v>
      </c>
      <c r="B2175" t="s">
        <v>1263</v>
      </c>
      <c r="C2175">
        <v>225</v>
      </c>
      <c r="D2175" s="2">
        <v>44419</v>
      </c>
      <c r="E2175" t="s">
        <v>25</v>
      </c>
      <c r="F2175">
        <v>225</v>
      </c>
      <c r="G2175">
        <v>0</v>
      </c>
    </row>
    <row r="2176" spans="1:7" x14ac:dyDescent="0.3">
      <c r="A2176" s="2">
        <v>44420</v>
      </c>
      <c r="B2176" t="s">
        <v>1264</v>
      </c>
      <c r="C2176">
        <v>-12895</v>
      </c>
      <c r="D2176" s="2">
        <v>44420</v>
      </c>
      <c r="E2176" t="s">
        <v>27</v>
      </c>
      <c r="F2176">
        <v>-12895</v>
      </c>
      <c r="G2176">
        <v>0</v>
      </c>
    </row>
    <row r="2177" spans="1:7" x14ac:dyDescent="0.3">
      <c r="A2177" s="2">
        <v>44420</v>
      </c>
      <c r="B2177" t="s">
        <v>1265</v>
      </c>
      <c r="C2177">
        <v>165</v>
      </c>
      <c r="D2177" s="2">
        <v>44420</v>
      </c>
      <c r="E2177" t="s">
        <v>25</v>
      </c>
      <c r="F2177">
        <v>165</v>
      </c>
      <c r="G2177">
        <v>0</v>
      </c>
    </row>
    <row r="2178" spans="1:7" x14ac:dyDescent="0.3">
      <c r="A2178" s="2">
        <v>44421</v>
      </c>
      <c r="B2178" t="s">
        <v>1266</v>
      </c>
      <c r="C2178">
        <v>525</v>
      </c>
      <c r="D2178" s="2">
        <v>44421</v>
      </c>
      <c r="E2178" t="s">
        <v>25</v>
      </c>
      <c r="F2178">
        <v>525</v>
      </c>
      <c r="G2178">
        <v>0</v>
      </c>
    </row>
    <row r="2179" spans="1:7" x14ac:dyDescent="0.3">
      <c r="A2179" s="2">
        <v>44421</v>
      </c>
      <c r="B2179" t="s">
        <v>88</v>
      </c>
      <c r="C2179">
        <v>-19.59</v>
      </c>
      <c r="D2179" s="2">
        <v>44421</v>
      </c>
      <c r="E2179" t="s">
        <v>27</v>
      </c>
      <c r="F2179">
        <v>-19.59</v>
      </c>
      <c r="G2179">
        <v>0</v>
      </c>
    </row>
    <row r="2180" spans="1:7" x14ac:dyDescent="0.3">
      <c r="A2180" s="2">
        <v>44421</v>
      </c>
      <c r="B2180" t="s">
        <v>1267</v>
      </c>
      <c r="C2180">
        <v>20000</v>
      </c>
      <c r="D2180" s="2">
        <v>44421</v>
      </c>
      <c r="E2180" t="s">
        <v>25</v>
      </c>
      <c r="F2180">
        <v>20000</v>
      </c>
      <c r="G2180">
        <v>0</v>
      </c>
    </row>
    <row r="2181" spans="1:7" x14ac:dyDescent="0.3">
      <c r="A2181" s="2">
        <v>44424</v>
      </c>
      <c r="B2181" t="s">
        <v>1268</v>
      </c>
      <c r="C2181">
        <v>685</v>
      </c>
      <c r="D2181" s="2">
        <v>44424</v>
      </c>
      <c r="E2181" t="s">
        <v>25</v>
      </c>
      <c r="F2181">
        <v>685</v>
      </c>
      <c r="G2181">
        <v>0</v>
      </c>
    </row>
    <row r="2182" spans="1:7" x14ac:dyDescent="0.3">
      <c r="A2182" s="2">
        <v>44424</v>
      </c>
      <c r="B2182" t="s">
        <v>1269</v>
      </c>
      <c r="C2182">
        <v>165</v>
      </c>
      <c r="D2182" s="2">
        <v>44424</v>
      </c>
      <c r="E2182" t="s">
        <v>25</v>
      </c>
      <c r="F2182">
        <v>165</v>
      </c>
      <c r="G2182">
        <v>0</v>
      </c>
    </row>
    <row r="2183" spans="1:7" x14ac:dyDescent="0.3">
      <c r="A2183" s="2">
        <v>44426</v>
      </c>
      <c r="B2183" t="s">
        <v>1270</v>
      </c>
      <c r="C2183">
        <v>-7.95</v>
      </c>
      <c r="D2183" s="2">
        <v>44426</v>
      </c>
      <c r="E2183" t="s">
        <v>27</v>
      </c>
      <c r="F2183">
        <v>-7.95</v>
      </c>
      <c r="G2183">
        <v>0</v>
      </c>
    </row>
    <row r="2184" spans="1:7" x14ac:dyDescent="0.3">
      <c r="A2184" s="2">
        <v>44426</v>
      </c>
      <c r="B2184" t="s">
        <v>1271</v>
      </c>
      <c r="C2184">
        <v>-7.95</v>
      </c>
      <c r="D2184" s="2">
        <v>44426</v>
      </c>
      <c r="E2184" t="s">
        <v>27</v>
      </c>
      <c r="F2184">
        <v>-7.95</v>
      </c>
      <c r="G2184">
        <v>0</v>
      </c>
    </row>
    <row r="2185" spans="1:7" x14ac:dyDescent="0.3">
      <c r="A2185" s="2">
        <v>44427</v>
      </c>
      <c r="B2185" t="s">
        <v>1272</v>
      </c>
      <c r="C2185">
        <v>585</v>
      </c>
      <c r="D2185" s="2">
        <v>44427</v>
      </c>
      <c r="E2185" t="s">
        <v>25</v>
      </c>
      <c r="F2185">
        <v>585</v>
      </c>
      <c r="G2185">
        <v>0</v>
      </c>
    </row>
    <row r="2186" spans="1:7" x14ac:dyDescent="0.3">
      <c r="A2186" s="2">
        <v>44427</v>
      </c>
      <c r="B2186" t="s">
        <v>1273</v>
      </c>
      <c r="C2186">
        <v>-120</v>
      </c>
      <c r="D2186" s="2">
        <v>44427</v>
      </c>
      <c r="E2186" t="s">
        <v>27</v>
      </c>
      <c r="F2186">
        <v>-120</v>
      </c>
      <c r="G2186">
        <v>0</v>
      </c>
    </row>
    <row r="2187" spans="1:7" x14ac:dyDescent="0.3">
      <c r="A2187" s="2">
        <v>44428</v>
      </c>
      <c r="B2187" t="s">
        <v>1274</v>
      </c>
      <c r="C2187">
        <v>1665</v>
      </c>
      <c r="D2187" s="2">
        <v>44428</v>
      </c>
      <c r="E2187" t="s">
        <v>25</v>
      </c>
      <c r="F2187">
        <v>1665</v>
      </c>
      <c r="G2187">
        <v>0</v>
      </c>
    </row>
    <row r="2188" spans="1:7" x14ac:dyDescent="0.3">
      <c r="A2188" s="2">
        <v>44431</v>
      </c>
      <c r="B2188" t="s">
        <v>1275</v>
      </c>
      <c r="C2188">
        <v>122.5</v>
      </c>
      <c r="D2188" s="2">
        <v>44431</v>
      </c>
      <c r="E2188" t="s">
        <v>25</v>
      </c>
      <c r="F2188">
        <v>122.5</v>
      </c>
      <c r="G2188">
        <v>0</v>
      </c>
    </row>
    <row r="2189" spans="1:7" x14ac:dyDescent="0.3">
      <c r="A2189" s="2">
        <v>44431</v>
      </c>
      <c r="B2189" t="s">
        <v>1275</v>
      </c>
      <c r="C2189">
        <v>122.5</v>
      </c>
      <c r="D2189" s="2">
        <v>44433</v>
      </c>
      <c r="E2189" t="s">
        <v>25</v>
      </c>
      <c r="F2189">
        <v>122.5</v>
      </c>
      <c r="G2189">
        <v>0</v>
      </c>
    </row>
    <row r="2190" spans="1:7" x14ac:dyDescent="0.3">
      <c r="A2190" s="2">
        <v>44431</v>
      </c>
      <c r="B2190" t="s">
        <v>1276</v>
      </c>
      <c r="C2190">
        <v>780</v>
      </c>
      <c r="D2190" s="2">
        <v>44431</v>
      </c>
      <c r="E2190" t="s">
        <v>25</v>
      </c>
      <c r="F2190">
        <v>780</v>
      </c>
      <c r="G2190">
        <v>0</v>
      </c>
    </row>
    <row r="2191" spans="1:7" x14ac:dyDescent="0.3">
      <c r="A2191" s="2">
        <v>44432</v>
      </c>
      <c r="B2191" t="s">
        <v>1277</v>
      </c>
      <c r="C2191">
        <v>80</v>
      </c>
      <c r="D2191" s="2">
        <v>44432</v>
      </c>
      <c r="E2191" t="s">
        <v>25</v>
      </c>
      <c r="F2191">
        <v>80</v>
      </c>
      <c r="G2191">
        <v>0</v>
      </c>
    </row>
    <row r="2192" spans="1:7" x14ac:dyDescent="0.3">
      <c r="A2192" s="2">
        <v>44434</v>
      </c>
      <c r="B2192" t="s">
        <v>1278</v>
      </c>
      <c r="C2192">
        <v>350</v>
      </c>
      <c r="D2192" s="2">
        <v>44433</v>
      </c>
      <c r="E2192" t="s">
        <v>25</v>
      </c>
      <c r="F2192">
        <v>350</v>
      </c>
      <c r="G2192">
        <v>0</v>
      </c>
    </row>
    <row r="2193" spans="1:7" x14ac:dyDescent="0.3">
      <c r="A2193" s="2">
        <v>44435</v>
      </c>
      <c r="B2193" t="s">
        <v>1279</v>
      </c>
      <c r="C2193">
        <v>267.5</v>
      </c>
      <c r="D2193" s="2">
        <v>44435</v>
      </c>
      <c r="E2193" t="s">
        <v>25</v>
      </c>
      <c r="F2193">
        <v>267.5</v>
      </c>
      <c r="G2193">
        <v>0</v>
      </c>
    </row>
    <row r="2194" spans="1:7" x14ac:dyDescent="0.3">
      <c r="A2194" s="2">
        <v>44438</v>
      </c>
      <c r="B2194" t="s">
        <v>1280</v>
      </c>
      <c r="C2194">
        <v>190</v>
      </c>
      <c r="D2194" s="2">
        <v>44438</v>
      </c>
      <c r="E2194" t="s">
        <v>25</v>
      </c>
      <c r="F2194">
        <v>190</v>
      </c>
      <c r="G2194">
        <v>0</v>
      </c>
    </row>
    <row r="2195" spans="1:7" x14ac:dyDescent="0.3">
      <c r="A2195" s="2">
        <v>44438</v>
      </c>
      <c r="B2195" t="s">
        <v>1280</v>
      </c>
      <c r="C2195">
        <v>230</v>
      </c>
      <c r="D2195" s="2">
        <v>44438</v>
      </c>
      <c r="E2195" t="s">
        <v>25</v>
      </c>
      <c r="F2195">
        <v>230</v>
      </c>
      <c r="G2195">
        <v>0</v>
      </c>
    </row>
    <row r="2196" spans="1:7" x14ac:dyDescent="0.3">
      <c r="A2196" s="2">
        <v>44438</v>
      </c>
      <c r="B2196" t="s">
        <v>97</v>
      </c>
      <c r="C2196">
        <v>-103.44</v>
      </c>
      <c r="D2196" s="2">
        <v>44438</v>
      </c>
      <c r="E2196" t="s">
        <v>27</v>
      </c>
      <c r="F2196">
        <v>-103.44</v>
      </c>
      <c r="G2196">
        <v>0</v>
      </c>
    </row>
    <row r="2197" spans="1:7" x14ac:dyDescent="0.3">
      <c r="A2197" s="2">
        <v>44438</v>
      </c>
      <c r="B2197" t="s">
        <v>1281</v>
      </c>
      <c r="C2197">
        <v>142.5</v>
      </c>
      <c r="D2197" s="2">
        <v>44438</v>
      </c>
      <c r="E2197" t="s">
        <v>25</v>
      </c>
      <c r="F2197">
        <v>142.5</v>
      </c>
      <c r="G2197">
        <v>0</v>
      </c>
    </row>
    <row r="2198" spans="1:7" x14ac:dyDescent="0.3">
      <c r="A2198" s="2">
        <v>44440</v>
      </c>
      <c r="B2198" t="s">
        <v>1282</v>
      </c>
      <c r="C2198">
        <v>437.5</v>
      </c>
      <c r="D2198" s="2">
        <v>44440</v>
      </c>
      <c r="E2198" t="s">
        <v>25</v>
      </c>
      <c r="F2198">
        <v>437.5</v>
      </c>
      <c r="G2198">
        <v>0</v>
      </c>
    </row>
    <row r="2199" spans="1:7" x14ac:dyDescent="0.3">
      <c r="A2199" s="2">
        <v>44440</v>
      </c>
      <c r="B2199" t="s">
        <v>1283</v>
      </c>
      <c r="C2199">
        <v>-30</v>
      </c>
      <c r="D2199" s="2">
        <v>44440</v>
      </c>
      <c r="E2199" t="s">
        <v>27</v>
      </c>
      <c r="F2199">
        <v>-30</v>
      </c>
      <c r="G2199">
        <v>0</v>
      </c>
    </row>
    <row r="2200" spans="1:7" x14ac:dyDescent="0.3">
      <c r="A2200" s="2">
        <v>44441</v>
      </c>
      <c r="B2200" t="s">
        <v>1284</v>
      </c>
      <c r="C2200">
        <v>1042.5</v>
      </c>
      <c r="D2200" s="2">
        <v>44441</v>
      </c>
      <c r="E2200" t="s">
        <v>25</v>
      </c>
      <c r="F2200">
        <v>1042.5</v>
      </c>
      <c r="G2200">
        <v>0</v>
      </c>
    </row>
    <row r="2201" spans="1:7" x14ac:dyDescent="0.3">
      <c r="A2201" s="2">
        <v>44441</v>
      </c>
      <c r="B2201" t="s">
        <v>1282</v>
      </c>
      <c r="C2201">
        <v>-481.71</v>
      </c>
      <c r="D2201" s="2">
        <v>44441</v>
      </c>
      <c r="E2201" t="s">
        <v>27</v>
      </c>
      <c r="F2201">
        <v>-481.71</v>
      </c>
      <c r="G2201">
        <v>0</v>
      </c>
    </row>
    <row r="2202" spans="1:7" x14ac:dyDescent="0.3">
      <c r="A2202" s="2">
        <v>44442</v>
      </c>
      <c r="B2202" t="s">
        <v>102</v>
      </c>
      <c r="C2202">
        <v>-34.950000000000003</v>
      </c>
      <c r="D2202" s="2">
        <v>44442</v>
      </c>
      <c r="E2202" t="s">
        <v>27</v>
      </c>
      <c r="F2202">
        <v>-34.950000000000003</v>
      </c>
      <c r="G2202">
        <v>0</v>
      </c>
    </row>
    <row r="2203" spans="1:7" x14ac:dyDescent="0.3">
      <c r="A2203" s="2">
        <v>44442</v>
      </c>
      <c r="B2203" t="s">
        <v>1285</v>
      </c>
      <c r="C2203">
        <v>280</v>
      </c>
      <c r="D2203" s="2">
        <v>44442</v>
      </c>
      <c r="E2203" t="s">
        <v>25</v>
      </c>
      <c r="F2203">
        <v>280</v>
      </c>
      <c r="G2203">
        <v>0</v>
      </c>
    </row>
    <row r="2204" spans="1:7" x14ac:dyDescent="0.3">
      <c r="A2204" s="2">
        <v>44446</v>
      </c>
      <c r="B2204" t="s">
        <v>1286</v>
      </c>
      <c r="C2204">
        <v>875</v>
      </c>
      <c r="D2204" s="2">
        <v>44446</v>
      </c>
      <c r="E2204" t="s">
        <v>25</v>
      </c>
      <c r="F2204">
        <v>875</v>
      </c>
      <c r="G2204">
        <v>0</v>
      </c>
    </row>
    <row r="2205" spans="1:7" x14ac:dyDescent="0.3">
      <c r="A2205" s="2">
        <v>44446</v>
      </c>
      <c r="B2205" t="s">
        <v>1287</v>
      </c>
      <c r="C2205">
        <v>260</v>
      </c>
      <c r="D2205" s="2">
        <v>44446</v>
      </c>
      <c r="E2205" t="s">
        <v>25</v>
      </c>
      <c r="F2205">
        <v>260</v>
      </c>
      <c r="G2205">
        <v>0</v>
      </c>
    </row>
    <row r="2206" spans="1:7" x14ac:dyDescent="0.3">
      <c r="A2206" s="2">
        <v>44446</v>
      </c>
      <c r="B2206" t="s">
        <v>1288</v>
      </c>
      <c r="C2206">
        <v>210</v>
      </c>
      <c r="D2206" s="2">
        <v>44446</v>
      </c>
      <c r="E2206" t="s">
        <v>25</v>
      </c>
      <c r="F2206">
        <v>210</v>
      </c>
      <c r="G2206">
        <v>0</v>
      </c>
    </row>
    <row r="2207" spans="1:7" x14ac:dyDescent="0.3">
      <c r="A2207" s="2">
        <v>44446</v>
      </c>
      <c r="B2207" t="s">
        <v>1286</v>
      </c>
      <c r="C2207">
        <v>165</v>
      </c>
      <c r="D2207" s="2">
        <v>44446</v>
      </c>
      <c r="E2207" t="s">
        <v>25</v>
      </c>
      <c r="F2207">
        <v>165</v>
      </c>
      <c r="G2207">
        <v>0</v>
      </c>
    </row>
    <row r="2208" spans="1:7" x14ac:dyDescent="0.3">
      <c r="A2208" s="2">
        <v>44446</v>
      </c>
      <c r="B2208" t="s">
        <v>1289</v>
      </c>
      <c r="C2208">
        <v>-518</v>
      </c>
      <c r="D2208" s="2">
        <v>44446</v>
      </c>
      <c r="E2208" t="s">
        <v>27</v>
      </c>
      <c r="F2208">
        <v>-518</v>
      </c>
      <c r="G2208">
        <v>0</v>
      </c>
    </row>
    <row r="2209" spans="1:7" x14ac:dyDescent="0.3">
      <c r="A2209" s="2">
        <v>44446</v>
      </c>
      <c r="B2209" t="s">
        <v>418</v>
      </c>
      <c r="C2209">
        <v>-75.97</v>
      </c>
      <c r="D2209" s="2">
        <v>44446</v>
      </c>
      <c r="E2209" t="s">
        <v>27</v>
      </c>
      <c r="F2209">
        <v>-75.97</v>
      </c>
      <c r="G2209">
        <v>0</v>
      </c>
    </row>
    <row r="2210" spans="1:7" x14ac:dyDescent="0.3">
      <c r="A2210" s="2">
        <v>44447</v>
      </c>
      <c r="B2210" t="s">
        <v>1290</v>
      </c>
      <c r="C2210">
        <v>260</v>
      </c>
      <c r="D2210" s="2">
        <v>44447</v>
      </c>
      <c r="E2210" t="s">
        <v>25</v>
      </c>
      <c r="F2210">
        <v>260</v>
      </c>
      <c r="G2210">
        <v>0</v>
      </c>
    </row>
    <row r="2211" spans="1:7" x14ac:dyDescent="0.3">
      <c r="A2211" s="2">
        <v>44448</v>
      </c>
      <c r="B2211" t="s">
        <v>1291</v>
      </c>
      <c r="C2211">
        <v>692.5</v>
      </c>
      <c r="D2211" s="2">
        <v>44448</v>
      </c>
      <c r="E2211" t="s">
        <v>25</v>
      </c>
      <c r="F2211">
        <v>692.5</v>
      </c>
      <c r="G2211">
        <v>0</v>
      </c>
    </row>
    <row r="2212" spans="1:7" x14ac:dyDescent="0.3">
      <c r="A2212" s="2">
        <v>44449</v>
      </c>
      <c r="B2212" t="s">
        <v>1292</v>
      </c>
      <c r="C2212">
        <v>-9.99</v>
      </c>
      <c r="D2212" s="2">
        <v>44449</v>
      </c>
      <c r="E2212" t="s">
        <v>27</v>
      </c>
      <c r="F2212">
        <v>-9.99</v>
      </c>
      <c r="G2212">
        <v>0</v>
      </c>
    </row>
    <row r="2213" spans="1:7" x14ac:dyDescent="0.3">
      <c r="A2213" s="2">
        <v>44449</v>
      </c>
      <c r="B2213" t="s">
        <v>1293</v>
      </c>
      <c r="C2213">
        <v>-16.95</v>
      </c>
      <c r="D2213" s="2">
        <v>44449</v>
      </c>
      <c r="E2213" t="s">
        <v>27</v>
      </c>
      <c r="F2213">
        <v>-16.95</v>
      </c>
      <c r="G2213">
        <v>0</v>
      </c>
    </row>
    <row r="2214" spans="1:7" x14ac:dyDescent="0.3">
      <c r="A2214" s="2">
        <v>44449</v>
      </c>
      <c r="B2214" t="s">
        <v>1294</v>
      </c>
      <c r="C2214">
        <v>242.5</v>
      </c>
      <c r="D2214" s="2">
        <v>44449</v>
      </c>
      <c r="E2214" t="s">
        <v>25</v>
      </c>
      <c r="F2214">
        <v>242.5</v>
      </c>
      <c r="G2214">
        <v>0</v>
      </c>
    </row>
    <row r="2215" spans="1:7" x14ac:dyDescent="0.3">
      <c r="A2215" s="2">
        <v>44452</v>
      </c>
      <c r="B2215" t="s">
        <v>1295</v>
      </c>
      <c r="C2215">
        <v>40</v>
      </c>
      <c r="D2215" s="2">
        <v>44452</v>
      </c>
      <c r="E2215" t="s">
        <v>25</v>
      </c>
      <c r="F2215">
        <v>40</v>
      </c>
      <c r="G2215">
        <v>0</v>
      </c>
    </row>
    <row r="2216" spans="1:7" x14ac:dyDescent="0.3">
      <c r="A2216" s="2">
        <v>44452</v>
      </c>
      <c r="B2216" t="s">
        <v>1295</v>
      </c>
      <c r="C2216">
        <v>320</v>
      </c>
      <c r="D2216" s="2">
        <v>44452</v>
      </c>
      <c r="E2216" t="s">
        <v>25</v>
      </c>
      <c r="F2216">
        <v>320</v>
      </c>
      <c r="G2216">
        <v>0</v>
      </c>
    </row>
    <row r="2217" spans="1:7" x14ac:dyDescent="0.3">
      <c r="A2217" s="2">
        <v>44452</v>
      </c>
      <c r="B2217" t="s">
        <v>1296</v>
      </c>
      <c r="C2217">
        <v>102.5</v>
      </c>
      <c r="D2217" s="2">
        <v>44452</v>
      </c>
      <c r="E2217" t="s">
        <v>25</v>
      </c>
      <c r="F2217">
        <v>102.5</v>
      </c>
      <c r="G2217">
        <v>0</v>
      </c>
    </row>
    <row r="2218" spans="1:7" x14ac:dyDescent="0.3">
      <c r="A2218" s="2">
        <v>44454</v>
      </c>
      <c r="B2218" t="s">
        <v>1297</v>
      </c>
      <c r="C2218">
        <v>437.5</v>
      </c>
      <c r="D2218" s="2">
        <v>44454</v>
      </c>
      <c r="E2218" t="s">
        <v>25</v>
      </c>
      <c r="F2218">
        <v>437.5</v>
      </c>
      <c r="G2218">
        <v>0</v>
      </c>
    </row>
    <row r="2219" spans="1:7" x14ac:dyDescent="0.3">
      <c r="A2219" s="2">
        <v>44455</v>
      </c>
      <c r="B2219" t="s">
        <v>1298</v>
      </c>
      <c r="C2219">
        <v>787.5</v>
      </c>
      <c r="D2219" s="2">
        <v>44455</v>
      </c>
      <c r="E2219" t="s">
        <v>25</v>
      </c>
      <c r="F2219">
        <v>787.5</v>
      </c>
      <c r="G2219">
        <v>0</v>
      </c>
    </row>
    <row r="2220" spans="1:7" x14ac:dyDescent="0.3">
      <c r="A2220" s="2">
        <v>44456</v>
      </c>
      <c r="B2220" t="s">
        <v>1299</v>
      </c>
      <c r="C2220">
        <v>462.5</v>
      </c>
      <c r="D2220" s="2">
        <v>44456</v>
      </c>
      <c r="E2220" t="s">
        <v>25</v>
      </c>
      <c r="F2220">
        <v>462.5</v>
      </c>
      <c r="G2220">
        <v>0</v>
      </c>
    </row>
    <row r="2221" spans="1:7" x14ac:dyDescent="0.3">
      <c r="A2221" s="2">
        <v>44459</v>
      </c>
      <c r="B2221" t="s">
        <v>1300</v>
      </c>
      <c r="C2221">
        <v>40</v>
      </c>
      <c r="D2221" s="2">
        <v>44459</v>
      </c>
      <c r="E2221" t="s">
        <v>25</v>
      </c>
      <c r="F2221">
        <v>40</v>
      </c>
      <c r="G2221">
        <v>0</v>
      </c>
    </row>
    <row r="2222" spans="1:7" x14ac:dyDescent="0.3">
      <c r="A2222" s="2">
        <v>44459</v>
      </c>
      <c r="B2222" t="s">
        <v>1301</v>
      </c>
      <c r="C2222">
        <v>1335</v>
      </c>
      <c r="D2222" s="2">
        <v>44459</v>
      </c>
      <c r="E2222" t="s">
        <v>25</v>
      </c>
      <c r="F2222">
        <v>1335</v>
      </c>
      <c r="G2222">
        <v>0</v>
      </c>
    </row>
    <row r="2223" spans="1:7" x14ac:dyDescent="0.3">
      <c r="A2223" s="2">
        <v>44459</v>
      </c>
      <c r="B2223" t="s">
        <v>1302</v>
      </c>
      <c r="C2223">
        <v>-7.95</v>
      </c>
      <c r="D2223" s="2">
        <v>44459</v>
      </c>
      <c r="E2223" t="s">
        <v>27</v>
      </c>
      <c r="F2223">
        <v>-7.95</v>
      </c>
      <c r="G2223">
        <v>0</v>
      </c>
    </row>
    <row r="2224" spans="1:7" x14ac:dyDescent="0.3">
      <c r="A2224" s="2">
        <v>44459</v>
      </c>
      <c r="B2224" t="s">
        <v>1300</v>
      </c>
      <c r="C2224">
        <v>1142.5</v>
      </c>
      <c r="D2224" s="2">
        <v>44459</v>
      </c>
      <c r="E2224" t="s">
        <v>25</v>
      </c>
      <c r="F2224">
        <v>1142.5</v>
      </c>
      <c r="G2224">
        <v>0</v>
      </c>
    </row>
    <row r="2225" spans="1:7" x14ac:dyDescent="0.3">
      <c r="A2225" s="2">
        <v>44459</v>
      </c>
      <c r="B2225" t="s">
        <v>1303</v>
      </c>
      <c r="C2225">
        <v>-7.95</v>
      </c>
      <c r="D2225" s="2">
        <v>44459</v>
      </c>
      <c r="E2225" t="s">
        <v>27</v>
      </c>
      <c r="F2225">
        <v>-7.95</v>
      </c>
      <c r="G2225">
        <v>0</v>
      </c>
    </row>
    <row r="2226" spans="1:7" x14ac:dyDescent="0.3">
      <c r="A2226" s="2">
        <v>44460</v>
      </c>
      <c r="B2226" t="s">
        <v>1304</v>
      </c>
      <c r="C2226">
        <v>82.5</v>
      </c>
      <c r="D2226" s="2">
        <v>44460</v>
      </c>
      <c r="E2226" t="s">
        <v>25</v>
      </c>
      <c r="F2226">
        <v>82.5</v>
      </c>
      <c r="G2226">
        <v>0</v>
      </c>
    </row>
    <row r="2227" spans="1:7" x14ac:dyDescent="0.3">
      <c r="A2227" s="2">
        <v>44461</v>
      </c>
      <c r="B2227" t="s">
        <v>1305</v>
      </c>
      <c r="C2227">
        <v>1592.5</v>
      </c>
      <c r="D2227" s="2">
        <v>44461</v>
      </c>
      <c r="E2227" t="s">
        <v>25</v>
      </c>
      <c r="F2227">
        <v>1592.5</v>
      </c>
      <c r="G2227">
        <v>0</v>
      </c>
    </row>
    <row r="2228" spans="1:7" x14ac:dyDescent="0.3">
      <c r="A2228" s="2">
        <v>44462</v>
      </c>
      <c r="B2228" t="s">
        <v>1306</v>
      </c>
      <c r="C2228">
        <v>765</v>
      </c>
      <c r="D2228" s="2">
        <v>44462</v>
      </c>
      <c r="E2228" t="s">
        <v>25</v>
      </c>
      <c r="F2228">
        <v>765</v>
      </c>
      <c r="G2228">
        <v>0</v>
      </c>
    </row>
    <row r="2229" spans="1:7" x14ac:dyDescent="0.3">
      <c r="A2229" s="2">
        <v>44463</v>
      </c>
      <c r="B2229" t="s">
        <v>1307</v>
      </c>
      <c r="C2229">
        <v>247.5</v>
      </c>
      <c r="D2229" s="2">
        <v>44463</v>
      </c>
      <c r="E2229" t="s">
        <v>25</v>
      </c>
      <c r="F2229">
        <v>247.5</v>
      </c>
      <c r="G2229">
        <v>0</v>
      </c>
    </row>
    <row r="2230" spans="1:7" x14ac:dyDescent="0.3">
      <c r="A2230" s="2">
        <v>44463</v>
      </c>
      <c r="B2230" t="s">
        <v>31</v>
      </c>
      <c r="C2230">
        <v>10890</v>
      </c>
      <c r="D2230" s="2">
        <v>44463</v>
      </c>
      <c r="E2230" t="s">
        <v>25</v>
      </c>
      <c r="F2230">
        <v>10890</v>
      </c>
      <c r="G2230">
        <v>0</v>
      </c>
    </row>
    <row r="2231" spans="1:7" x14ac:dyDescent="0.3">
      <c r="A2231" s="2">
        <v>44466</v>
      </c>
      <c r="B2231" t="s">
        <v>1308</v>
      </c>
      <c r="C2231">
        <v>492.5</v>
      </c>
      <c r="D2231" s="2">
        <v>44466</v>
      </c>
      <c r="E2231" t="s">
        <v>25</v>
      </c>
      <c r="F2231">
        <v>492.5</v>
      </c>
      <c r="G2231">
        <v>0</v>
      </c>
    </row>
    <row r="2232" spans="1:7" x14ac:dyDescent="0.3">
      <c r="A2232" s="2">
        <v>44466</v>
      </c>
      <c r="B2232" t="s">
        <v>1309</v>
      </c>
      <c r="C2232">
        <v>765</v>
      </c>
      <c r="D2232" s="2">
        <v>44466</v>
      </c>
      <c r="E2232" t="s">
        <v>25</v>
      </c>
      <c r="F2232">
        <v>765</v>
      </c>
      <c r="G2232">
        <v>0</v>
      </c>
    </row>
    <row r="2233" spans="1:7" x14ac:dyDescent="0.3">
      <c r="A2233" s="2">
        <v>44467</v>
      </c>
      <c r="B2233" t="s">
        <v>1310</v>
      </c>
      <c r="C2233">
        <v>40</v>
      </c>
      <c r="D2233" s="2">
        <v>44467</v>
      </c>
      <c r="E2233" t="s">
        <v>25</v>
      </c>
      <c r="F2233">
        <v>40</v>
      </c>
      <c r="G2233">
        <v>0</v>
      </c>
    </row>
    <row r="2234" spans="1:7" x14ac:dyDescent="0.3">
      <c r="A2234" s="2">
        <v>44467</v>
      </c>
      <c r="B2234" t="s">
        <v>111</v>
      </c>
      <c r="C2234">
        <v>-103.44</v>
      </c>
      <c r="D2234" s="2">
        <v>44467</v>
      </c>
      <c r="E2234" t="s">
        <v>27</v>
      </c>
      <c r="F2234">
        <v>-103.44</v>
      </c>
      <c r="G2234">
        <v>0</v>
      </c>
    </row>
    <row r="2235" spans="1:7" x14ac:dyDescent="0.3">
      <c r="A2235" s="2">
        <v>44468</v>
      </c>
      <c r="B2235" t="s">
        <v>1311</v>
      </c>
      <c r="C2235">
        <v>1497.5</v>
      </c>
      <c r="D2235" s="2">
        <v>44468</v>
      </c>
      <c r="E2235" t="s">
        <v>25</v>
      </c>
      <c r="F2235">
        <v>1497.5</v>
      </c>
      <c r="G2235">
        <v>0</v>
      </c>
    </row>
    <row r="2236" spans="1:7" x14ac:dyDescent="0.3">
      <c r="A2236" s="2">
        <v>44469</v>
      </c>
      <c r="B2236" t="s">
        <v>1312</v>
      </c>
      <c r="C2236">
        <v>1272.5</v>
      </c>
      <c r="D2236" s="2">
        <v>44469</v>
      </c>
      <c r="E2236" t="s">
        <v>25</v>
      </c>
      <c r="F2236">
        <v>1272.5</v>
      </c>
      <c r="G2236">
        <v>0</v>
      </c>
    </row>
    <row r="2237" spans="1:7" x14ac:dyDescent="0.3">
      <c r="A2237" s="2">
        <v>44470</v>
      </c>
      <c r="B2237" t="s">
        <v>1313</v>
      </c>
      <c r="C2237">
        <v>717.5</v>
      </c>
      <c r="D2237" s="2">
        <v>44470</v>
      </c>
      <c r="E2237" t="s">
        <v>25</v>
      </c>
      <c r="F2237">
        <v>717.5</v>
      </c>
      <c r="G2237">
        <v>0</v>
      </c>
    </row>
    <row r="2238" spans="1:7" x14ac:dyDescent="0.3">
      <c r="A2238" s="2">
        <v>44473</v>
      </c>
      <c r="B2238" t="s">
        <v>1314</v>
      </c>
      <c r="C2238">
        <v>950</v>
      </c>
      <c r="D2238" s="2">
        <v>44473</v>
      </c>
      <c r="E2238" t="s">
        <v>25</v>
      </c>
      <c r="F2238">
        <v>950</v>
      </c>
      <c r="G2238">
        <v>0</v>
      </c>
    </row>
    <row r="2239" spans="1:7" x14ac:dyDescent="0.3">
      <c r="A2239" s="2">
        <v>44473</v>
      </c>
      <c r="B2239" t="s">
        <v>1315</v>
      </c>
      <c r="C2239">
        <v>1861.25</v>
      </c>
      <c r="D2239" s="2">
        <v>44473</v>
      </c>
      <c r="E2239" t="s">
        <v>25</v>
      </c>
      <c r="F2239">
        <v>1861.25</v>
      </c>
      <c r="G2239">
        <v>0</v>
      </c>
    </row>
    <row r="2240" spans="1:7" x14ac:dyDescent="0.3">
      <c r="A2240" s="2">
        <v>44473</v>
      </c>
      <c r="B2240" t="s">
        <v>1313</v>
      </c>
      <c r="C2240">
        <v>-727.95</v>
      </c>
      <c r="D2240" s="2">
        <v>44473</v>
      </c>
      <c r="E2240" t="s">
        <v>27</v>
      </c>
      <c r="F2240">
        <v>-727.95</v>
      </c>
      <c r="G2240">
        <v>0</v>
      </c>
    </row>
    <row r="2241" spans="1:7" x14ac:dyDescent="0.3">
      <c r="A2241" s="2">
        <v>44473</v>
      </c>
      <c r="B2241" t="s">
        <v>1316</v>
      </c>
      <c r="C2241">
        <v>-30</v>
      </c>
      <c r="D2241" s="2">
        <v>44473</v>
      </c>
      <c r="E2241" t="s">
        <v>27</v>
      </c>
      <c r="F2241">
        <v>-30</v>
      </c>
      <c r="G2241">
        <v>0</v>
      </c>
    </row>
    <row r="2242" spans="1:7" x14ac:dyDescent="0.3">
      <c r="A2242" s="2">
        <v>44473</v>
      </c>
      <c r="B2242" t="s">
        <v>1315</v>
      </c>
      <c r="C2242">
        <v>992.5</v>
      </c>
      <c r="D2242" s="2">
        <v>44473</v>
      </c>
      <c r="E2242" t="s">
        <v>25</v>
      </c>
      <c r="F2242">
        <v>992.5</v>
      </c>
      <c r="G2242">
        <v>0</v>
      </c>
    </row>
    <row r="2243" spans="1:7" x14ac:dyDescent="0.3">
      <c r="A2243" s="2">
        <v>44474</v>
      </c>
      <c r="B2243" t="s">
        <v>1317</v>
      </c>
      <c r="C2243">
        <v>556.25</v>
      </c>
      <c r="D2243" s="2">
        <v>44474</v>
      </c>
      <c r="E2243" t="s">
        <v>25</v>
      </c>
      <c r="F2243">
        <v>556.25</v>
      </c>
      <c r="G2243">
        <v>0</v>
      </c>
    </row>
    <row r="2244" spans="1:7" x14ac:dyDescent="0.3">
      <c r="A2244" s="2">
        <v>44475</v>
      </c>
      <c r="B2244" t="s">
        <v>1318</v>
      </c>
      <c r="C2244">
        <v>-67.61</v>
      </c>
      <c r="D2244" s="2">
        <v>44475</v>
      </c>
      <c r="E2244" t="s">
        <v>27</v>
      </c>
      <c r="F2244">
        <v>-67.61</v>
      </c>
      <c r="G2244">
        <v>0</v>
      </c>
    </row>
    <row r="2245" spans="1:7" x14ac:dyDescent="0.3">
      <c r="A2245" s="2">
        <v>44475</v>
      </c>
      <c r="B2245" t="s">
        <v>1319</v>
      </c>
      <c r="C2245">
        <v>1256.25</v>
      </c>
      <c r="D2245" s="2">
        <v>44475</v>
      </c>
      <c r="E2245" t="s">
        <v>25</v>
      </c>
      <c r="F2245">
        <v>1256.25</v>
      </c>
      <c r="G2245">
        <v>0</v>
      </c>
    </row>
    <row r="2246" spans="1:7" x14ac:dyDescent="0.3">
      <c r="A2246" s="2">
        <v>44476</v>
      </c>
      <c r="B2246" t="s">
        <v>1320</v>
      </c>
      <c r="C2246">
        <v>3797.5</v>
      </c>
      <c r="D2246" s="2">
        <v>44476</v>
      </c>
      <c r="E2246" t="s">
        <v>25</v>
      </c>
      <c r="F2246">
        <v>3797.5</v>
      </c>
      <c r="G2246">
        <v>0</v>
      </c>
    </row>
    <row r="2247" spans="1:7" x14ac:dyDescent="0.3">
      <c r="A2247" s="2">
        <v>44477</v>
      </c>
      <c r="B2247" t="s">
        <v>1321</v>
      </c>
      <c r="C2247">
        <v>5582.5</v>
      </c>
      <c r="D2247" s="2">
        <v>44477</v>
      </c>
      <c r="E2247" t="s">
        <v>25</v>
      </c>
      <c r="F2247">
        <v>5582.5</v>
      </c>
      <c r="G2247">
        <v>0</v>
      </c>
    </row>
    <row r="2248" spans="1:7" x14ac:dyDescent="0.3">
      <c r="A2248" s="2">
        <v>44481</v>
      </c>
      <c r="B2248" t="s">
        <v>1322</v>
      </c>
      <c r="C2248">
        <v>-16.95</v>
      </c>
      <c r="D2248" s="2">
        <v>44481</v>
      </c>
      <c r="E2248" t="s">
        <v>27</v>
      </c>
      <c r="F2248">
        <v>-16.95</v>
      </c>
      <c r="G2248">
        <v>0</v>
      </c>
    </row>
    <row r="2249" spans="1:7" x14ac:dyDescent="0.3">
      <c r="A2249" s="2">
        <v>44481</v>
      </c>
      <c r="B2249" t="s">
        <v>1323</v>
      </c>
      <c r="C2249">
        <v>210</v>
      </c>
      <c r="D2249" s="2">
        <v>44481</v>
      </c>
      <c r="E2249" t="s">
        <v>25</v>
      </c>
      <c r="F2249">
        <v>210</v>
      </c>
      <c r="G2249">
        <v>0</v>
      </c>
    </row>
    <row r="2250" spans="1:7" x14ac:dyDescent="0.3">
      <c r="A2250" s="2">
        <v>44481</v>
      </c>
      <c r="B2250" t="s">
        <v>1323</v>
      </c>
      <c r="C2250">
        <v>2075</v>
      </c>
      <c r="D2250" s="2">
        <v>44481</v>
      </c>
      <c r="E2250" t="s">
        <v>25</v>
      </c>
      <c r="F2250">
        <v>2075</v>
      </c>
      <c r="G2250">
        <v>0</v>
      </c>
    </row>
    <row r="2251" spans="1:7" x14ac:dyDescent="0.3">
      <c r="A2251" s="2">
        <v>44481</v>
      </c>
      <c r="B2251" t="s">
        <v>1324</v>
      </c>
      <c r="C2251">
        <v>13316.25</v>
      </c>
      <c r="D2251" s="2">
        <v>44481</v>
      </c>
      <c r="E2251" t="s">
        <v>25</v>
      </c>
      <c r="F2251">
        <v>13316.25</v>
      </c>
      <c r="G2251">
        <v>0</v>
      </c>
    </row>
    <row r="2252" spans="1:7" x14ac:dyDescent="0.3">
      <c r="A2252" s="2">
        <v>44481</v>
      </c>
      <c r="B2252" t="s">
        <v>119</v>
      </c>
      <c r="C2252">
        <v>-9.99</v>
      </c>
      <c r="D2252" s="2">
        <v>44481</v>
      </c>
      <c r="E2252" t="s">
        <v>27</v>
      </c>
      <c r="F2252">
        <v>-9.99</v>
      </c>
      <c r="G2252">
        <v>0</v>
      </c>
    </row>
    <row r="2253" spans="1:7" x14ac:dyDescent="0.3">
      <c r="A2253" s="2">
        <v>44482</v>
      </c>
      <c r="B2253" t="s">
        <v>123</v>
      </c>
      <c r="C2253">
        <v>-19.59</v>
      </c>
      <c r="D2253" s="2">
        <v>44482</v>
      </c>
      <c r="E2253" t="s">
        <v>27</v>
      </c>
      <c r="F2253">
        <v>-19.59</v>
      </c>
      <c r="G2253">
        <v>0</v>
      </c>
    </row>
    <row r="2254" spans="1:7" x14ac:dyDescent="0.3">
      <c r="A2254" s="2">
        <v>44482</v>
      </c>
      <c r="B2254" t="s">
        <v>1325</v>
      </c>
      <c r="C2254">
        <v>2190</v>
      </c>
      <c r="D2254" s="2">
        <v>44482</v>
      </c>
      <c r="E2254" t="s">
        <v>25</v>
      </c>
      <c r="F2254">
        <v>2190</v>
      </c>
      <c r="G2254">
        <v>0</v>
      </c>
    </row>
    <row r="2255" spans="1:7" x14ac:dyDescent="0.3">
      <c r="A2255" s="2">
        <v>44484</v>
      </c>
      <c r="B2255" t="s">
        <v>1326</v>
      </c>
      <c r="C2255">
        <v>371.25</v>
      </c>
      <c r="D2255" s="2">
        <v>44484</v>
      </c>
      <c r="E2255" t="s">
        <v>25</v>
      </c>
      <c r="F2255">
        <v>371.25</v>
      </c>
      <c r="G2255">
        <v>0</v>
      </c>
    </row>
    <row r="2256" spans="1:7" x14ac:dyDescent="0.3">
      <c r="A2256" s="2">
        <v>44487</v>
      </c>
      <c r="B2256" t="s">
        <v>1327</v>
      </c>
      <c r="C2256">
        <v>-7.95</v>
      </c>
      <c r="D2256" s="2">
        <v>44487</v>
      </c>
      <c r="E2256" t="s">
        <v>27</v>
      </c>
      <c r="F2256">
        <v>-7.95</v>
      </c>
      <c r="G2256">
        <v>0</v>
      </c>
    </row>
    <row r="2257" spans="1:7" x14ac:dyDescent="0.3">
      <c r="A2257" s="2">
        <v>44487</v>
      </c>
      <c r="B2257" t="s">
        <v>1328</v>
      </c>
      <c r="C2257">
        <v>-7.95</v>
      </c>
      <c r="D2257" s="2">
        <v>44487</v>
      </c>
      <c r="E2257" t="s">
        <v>27</v>
      </c>
      <c r="F2257">
        <v>-7.95</v>
      </c>
      <c r="G2257">
        <v>0</v>
      </c>
    </row>
    <row r="2258" spans="1:7" x14ac:dyDescent="0.3">
      <c r="A2258" s="2">
        <v>44487</v>
      </c>
      <c r="B2258" t="s">
        <v>1329</v>
      </c>
      <c r="C2258">
        <v>206.25</v>
      </c>
      <c r="D2258" s="2">
        <v>44487</v>
      </c>
      <c r="E2258" t="s">
        <v>25</v>
      </c>
      <c r="F2258">
        <v>206.25</v>
      </c>
      <c r="G2258">
        <v>0</v>
      </c>
    </row>
    <row r="2259" spans="1:7" x14ac:dyDescent="0.3">
      <c r="A2259" s="2">
        <v>44487</v>
      </c>
      <c r="B2259" t="s">
        <v>1330</v>
      </c>
      <c r="C2259">
        <v>206.25</v>
      </c>
      <c r="D2259" s="2">
        <v>44487</v>
      </c>
      <c r="E2259" t="s">
        <v>25</v>
      </c>
      <c r="F2259">
        <v>206.25</v>
      </c>
      <c r="G2259">
        <v>0</v>
      </c>
    </row>
    <row r="2260" spans="1:7" x14ac:dyDescent="0.3">
      <c r="A2260" s="2">
        <v>44487</v>
      </c>
      <c r="B2260" t="s">
        <v>1330</v>
      </c>
      <c r="C2260">
        <v>416.25</v>
      </c>
      <c r="D2260" s="2">
        <v>44487</v>
      </c>
      <c r="E2260" t="s">
        <v>25</v>
      </c>
      <c r="F2260">
        <v>416.25</v>
      </c>
      <c r="G2260">
        <v>0</v>
      </c>
    </row>
    <row r="2261" spans="1:7" x14ac:dyDescent="0.3">
      <c r="A2261" s="2">
        <v>44488</v>
      </c>
      <c r="B2261" t="s">
        <v>1331</v>
      </c>
      <c r="C2261">
        <v>206.25</v>
      </c>
      <c r="D2261" s="2">
        <v>44488</v>
      </c>
      <c r="E2261" t="s">
        <v>25</v>
      </c>
      <c r="F2261">
        <v>206.25</v>
      </c>
      <c r="G2261">
        <v>0</v>
      </c>
    </row>
    <row r="2262" spans="1:7" x14ac:dyDescent="0.3">
      <c r="A2262" s="2">
        <v>44489</v>
      </c>
      <c r="B2262" t="s">
        <v>1332</v>
      </c>
      <c r="C2262">
        <v>3781.25</v>
      </c>
      <c r="D2262" s="2">
        <v>44489</v>
      </c>
      <c r="E2262" t="s">
        <v>25</v>
      </c>
      <c r="F2262">
        <v>3781.25</v>
      </c>
      <c r="G2262">
        <v>0</v>
      </c>
    </row>
    <row r="2263" spans="1:7" x14ac:dyDescent="0.3">
      <c r="A2263" s="2">
        <v>44490</v>
      </c>
      <c r="B2263" t="s">
        <v>1333</v>
      </c>
      <c r="C2263">
        <v>206.25</v>
      </c>
      <c r="D2263" s="2">
        <v>44490</v>
      </c>
      <c r="E2263" t="s">
        <v>25</v>
      </c>
      <c r="F2263">
        <v>206.25</v>
      </c>
      <c r="G2263">
        <v>0</v>
      </c>
    </row>
    <row r="2264" spans="1:7" x14ac:dyDescent="0.3">
      <c r="A2264" s="2">
        <v>44491</v>
      </c>
      <c r="B2264" t="s">
        <v>1334</v>
      </c>
      <c r="C2264">
        <v>581.25</v>
      </c>
      <c r="D2264" s="2">
        <v>44491</v>
      </c>
      <c r="E2264" t="s">
        <v>25</v>
      </c>
      <c r="F2264">
        <v>581.25</v>
      </c>
      <c r="G2264">
        <v>0</v>
      </c>
    </row>
    <row r="2265" spans="1:7" x14ac:dyDescent="0.3">
      <c r="A2265" s="2">
        <v>44496</v>
      </c>
      <c r="B2265" t="s">
        <v>1335</v>
      </c>
      <c r="C2265">
        <v>741.25</v>
      </c>
      <c r="D2265" s="2">
        <v>44496</v>
      </c>
      <c r="E2265" t="s">
        <v>25</v>
      </c>
      <c r="F2265">
        <v>741.25</v>
      </c>
      <c r="G2265">
        <v>0</v>
      </c>
    </row>
    <row r="2266" spans="1:7" x14ac:dyDescent="0.3">
      <c r="A2266" s="2">
        <v>44497</v>
      </c>
      <c r="B2266" t="s">
        <v>1336</v>
      </c>
      <c r="C2266">
        <v>856.25</v>
      </c>
      <c r="D2266" s="2">
        <v>44497</v>
      </c>
      <c r="E2266" t="s">
        <v>25</v>
      </c>
      <c r="F2266">
        <v>856.25</v>
      </c>
      <c r="G2266">
        <v>0</v>
      </c>
    </row>
    <row r="2267" spans="1:7" x14ac:dyDescent="0.3">
      <c r="A2267" s="2">
        <v>44498</v>
      </c>
      <c r="B2267" t="s">
        <v>131</v>
      </c>
      <c r="C2267">
        <v>-103.44</v>
      </c>
      <c r="D2267" s="2">
        <v>44498</v>
      </c>
      <c r="E2267" t="s">
        <v>27</v>
      </c>
      <c r="F2267">
        <v>-103.44</v>
      </c>
      <c r="G2267">
        <v>0</v>
      </c>
    </row>
    <row r="2268" spans="1:7" x14ac:dyDescent="0.3">
      <c r="A2268" s="2">
        <v>44498</v>
      </c>
      <c r="B2268" t="s">
        <v>133</v>
      </c>
      <c r="C2268">
        <v>-42.99</v>
      </c>
      <c r="D2268" s="2">
        <v>44498</v>
      </c>
      <c r="E2268" t="s">
        <v>27</v>
      </c>
      <c r="F2268">
        <v>-42.99</v>
      </c>
      <c r="G2268">
        <v>0</v>
      </c>
    </row>
    <row r="2269" spans="1:7" x14ac:dyDescent="0.3">
      <c r="A2269" s="2">
        <v>44501</v>
      </c>
      <c r="B2269" t="s">
        <v>1337</v>
      </c>
      <c r="C2269">
        <v>2206.25</v>
      </c>
      <c r="D2269" s="2">
        <v>44501</v>
      </c>
      <c r="E2269" t="s">
        <v>25</v>
      </c>
      <c r="F2269">
        <v>2206.25</v>
      </c>
      <c r="G2269">
        <v>0</v>
      </c>
    </row>
    <row r="2270" spans="1:7" x14ac:dyDescent="0.3">
      <c r="A2270" s="2">
        <v>44502</v>
      </c>
      <c r="B2270" t="s">
        <v>1338</v>
      </c>
      <c r="C2270">
        <v>-1842.22</v>
      </c>
      <c r="D2270" s="2">
        <v>44502</v>
      </c>
      <c r="E2270" t="s">
        <v>27</v>
      </c>
      <c r="F2270">
        <v>-1842.22</v>
      </c>
      <c r="G2270">
        <v>0</v>
      </c>
    </row>
    <row r="2271" spans="1:7" x14ac:dyDescent="0.3">
      <c r="A2271" s="2">
        <v>44502</v>
      </c>
      <c r="B2271" t="s">
        <v>1339</v>
      </c>
      <c r="C2271">
        <v>-30</v>
      </c>
      <c r="D2271" s="2">
        <v>44502</v>
      </c>
      <c r="E2271" t="s">
        <v>27</v>
      </c>
      <c r="F2271">
        <v>-30</v>
      </c>
      <c r="G2271">
        <v>0</v>
      </c>
    </row>
    <row r="2272" spans="1:7" x14ac:dyDescent="0.3">
      <c r="A2272" s="2">
        <v>44503</v>
      </c>
      <c r="B2272" t="s">
        <v>138</v>
      </c>
      <c r="C2272">
        <v>-34.950000000000003</v>
      </c>
      <c r="D2272" s="2">
        <v>44503</v>
      </c>
      <c r="E2272" t="s">
        <v>27</v>
      </c>
      <c r="F2272">
        <v>-34.950000000000003</v>
      </c>
      <c r="G2272">
        <v>0</v>
      </c>
    </row>
    <row r="2273" spans="1:7" x14ac:dyDescent="0.3">
      <c r="A2273" s="2">
        <v>44503</v>
      </c>
      <c r="B2273" t="s">
        <v>1340</v>
      </c>
      <c r="C2273">
        <v>330</v>
      </c>
      <c r="D2273" s="2">
        <v>44503</v>
      </c>
      <c r="E2273" t="s">
        <v>25</v>
      </c>
      <c r="F2273">
        <v>330</v>
      </c>
      <c r="G2273">
        <v>0</v>
      </c>
    </row>
    <row r="2274" spans="1:7" x14ac:dyDescent="0.3">
      <c r="A2274" s="2">
        <v>44504</v>
      </c>
      <c r="B2274" t="s">
        <v>1341</v>
      </c>
      <c r="C2274">
        <v>5371.25</v>
      </c>
      <c r="D2274" s="2">
        <v>44504</v>
      </c>
      <c r="E2274" t="s">
        <v>25</v>
      </c>
      <c r="F2274">
        <v>5371.25</v>
      </c>
      <c r="G2274">
        <v>0</v>
      </c>
    </row>
    <row r="2275" spans="1:7" x14ac:dyDescent="0.3">
      <c r="A2275" s="2">
        <v>44505</v>
      </c>
      <c r="B2275" t="s">
        <v>1342</v>
      </c>
      <c r="C2275">
        <v>536.25</v>
      </c>
      <c r="D2275" s="2">
        <v>44505</v>
      </c>
      <c r="E2275" t="s">
        <v>25</v>
      </c>
      <c r="F2275">
        <v>536.25</v>
      </c>
      <c r="G2275">
        <v>0</v>
      </c>
    </row>
    <row r="2276" spans="1:7" x14ac:dyDescent="0.3">
      <c r="A2276" s="2">
        <v>44508</v>
      </c>
      <c r="B2276" t="s">
        <v>1343</v>
      </c>
      <c r="C2276">
        <v>330</v>
      </c>
      <c r="D2276" s="2">
        <v>44508</v>
      </c>
      <c r="E2276" t="s">
        <v>25</v>
      </c>
      <c r="F2276">
        <v>330</v>
      </c>
      <c r="G2276">
        <v>0</v>
      </c>
    </row>
    <row r="2277" spans="1:7" x14ac:dyDescent="0.3">
      <c r="A2277" s="2">
        <v>44508</v>
      </c>
      <c r="B2277" t="s">
        <v>1344</v>
      </c>
      <c r="C2277">
        <v>-7702.39</v>
      </c>
      <c r="D2277" s="2">
        <v>44508</v>
      </c>
      <c r="E2277" t="s">
        <v>27</v>
      </c>
      <c r="F2277">
        <v>-7702.39</v>
      </c>
      <c r="G2277">
        <v>0</v>
      </c>
    </row>
    <row r="2278" spans="1:7" x14ac:dyDescent="0.3">
      <c r="A2278" s="2">
        <v>44508</v>
      </c>
      <c r="B2278" t="s">
        <v>1343</v>
      </c>
      <c r="C2278">
        <v>742.5</v>
      </c>
      <c r="D2278" s="2">
        <v>44508</v>
      </c>
      <c r="E2278" t="s">
        <v>25</v>
      </c>
      <c r="F2278">
        <v>742.5</v>
      </c>
      <c r="G2278">
        <v>0</v>
      </c>
    </row>
    <row r="2279" spans="1:7" x14ac:dyDescent="0.3">
      <c r="A2279" s="2">
        <v>44509</v>
      </c>
      <c r="B2279" t="s">
        <v>1345</v>
      </c>
      <c r="C2279">
        <v>2200</v>
      </c>
      <c r="D2279" s="2">
        <v>44509</v>
      </c>
      <c r="E2279" t="s">
        <v>25</v>
      </c>
      <c r="F2279">
        <v>2200</v>
      </c>
      <c r="G2279">
        <v>0</v>
      </c>
    </row>
    <row r="2280" spans="1:7" x14ac:dyDescent="0.3">
      <c r="A2280" s="2">
        <v>44510</v>
      </c>
      <c r="B2280" t="s">
        <v>1346</v>
      </c>
      <c r="C2280">
        <v>907.5</v>
      </c>
      <c r="D2280" s="2">
        <v>44510</v>
      </c>
      <c r="E2280" t="s">
        <v>25</v>
      </c>
      <c r="F2280">
        <v>907.5</v>
      </c>
      <c r="G2280">
        <v>0</v>
      </c>
    </row>
    <row r="2281" spans="1:7" x14ac:dyDescent="0.3">
      <c r="A2281" s="2">
        <v>44510</v>
      </c>
      <c r="B2281" t="s">
        <v>141</v>
      </c>
      <c r="C2281">
        <v>-9.99</v>
      </c>
      <c r="D2281" s="2">
        <v>44510</v>
      </c>
      <c r="E2281" t="s">
        <v>27</v>
      </c>
      <c r="F2281">
        <v>-9.99</v>
      </c>
      <c r="G2281">
        <v>0</v>
      </c>
    </row>
    <row r="2282" spans="1:7" x14ac:dyDescent="0.3">
      <c r="A2282" s="2">
        <v>44510</v>
      </c>
      <c r="B2282" t="s">
        <v>1347</v>
      </c>
      <c r="C2282">
        <v>-16.95</v>
      </c>
      <c r="D2282" s="2">
        <v>44510</v>
      </c>
      <c r="E2282" t="s">
        <v>27</v>
      </c>
      <c r="F2282">
        <v>-16.95</v>
      </c>
      <c r="G2282">
        <v>0</v>
      </c>
    </row>
    <row r="2283" spans="1:7" x14ac:dyDescent="0.3">
      <c r="A2283" s="2">
        <v>44512</v>
      </c>
      <c r="B2283" t="s">
        <v>1348</v>
      </c>
      <c r="C2283">
        <v>637.5</v>
      </c>
      <c r="D2283" s="2">
        <v>44512</v>
      </c>
      <c r="E2283" t="s">
        <v>25</v>
      </c>
      <c r="F2283">
        <v>637.5</v>
      </c>
      <c r="G2283">
        <v>0</v>
      </c>
    </row>
    <row r="2284" spans="1:7" x14ac:dyDescent="0.3">
      <c r="A2284" s="2">
        <v>44512</v>
      </c>
      <c r="B2284" t="s">
        <v>1349</v>
      </c>
      <c r="C2284">
        <v>495</v>
      </c>
      <c r="D2284" s="2">
        <v>44512</v>
      </c>
      <c r="E2284" t="s">
        <v>25</v>
      </c>
      <c r="F2284">
        <v>495</v>
      </c>
      <c r="G2284">
        <v>0</v>
      </c>
    </row>
    <row r="2285" spans="1:7" x14ac:dyDescent="0.3">
      <c r="A2285" s="2">
        <v>44515</v>
      </c>
      <c r="B2285" t="s">
        <v>1350</v>
      </c>
      <c r="C2285">
        <v>495</v>
      </c>
      <c r="D2285" s="2">
        <v>44515</v>
      </c>
      <c r="E2285" t="s">
        <v>25</v>
      </c>
      <c r="F2285">
        <v>495</v>
      </c>
      <c r="G2285">
        <v>0</v>
      </c>
    </row>
    <row r="2286" spans="1:7" x14ac:dyDescent="0.3">
      <c r="A2286" s="2">
        <v>44515</v>
      </c>
      <c r="B2286" t="s">
        <v>1351</v>
      </c>
      <c r="C2286">
        <v>330</v>
      </c>
      <c r="D2286" s="2">
        <v>44515</v>
      </c>
      <c r="E2286" t="s">
        <v>25</v>
      </c>
      <c r="F2286">
        <v>330</v>
      </c>
      <c r="G2286">
        <v>0</v>
      </c>
    </row>
    <row r="2287" spans="1:7" x14ac:dyDescent="0.3">
      <c r="A2287" s="2">
        <v>44515</v>
      </c>
      <c r="B2287" t="s">
        <v>1352</v>
      </c>
      <c r="C2287">
        <v>-46.02</v>
      </c>
      <c r="D2287" s="2">
        <v>44515</v>
      </c>
      <c r="E2287" t="s">
        <v>27</v>
      </c>
      <c r="F2287">
        <v>-46.02</v>
      </c>
      <c r="G2287">
        <v>0</v>
      </c>
    </row>
    <row r="2288" spans="1:7" x14ac:dyDescent="0.3">
      <c r="A2288" s="2">
        <v>44515</v>
      </c>
      <c r="B2288" t="s">
        <v>1351</v>
      </c>
      <c r="C2288">
        <v>-815</v>
      </c>
      <c r="D2288" s="2">
        <v>44515</v>
      </c>
      <c r="E2288" t="s">
        <v>27</v>
      </c>
      <c r="F2288">
        <v>-815</v>
      </c>
      <c r="G2288">
        <v>0</v>
      </c>
    </row>
    <row r="2289" spans="1:7" x14ac:dyDescent="0.3">
      <c r="A2289" s="2">
        <v>44515</v>
      </c>
      <c r="B2289" t="s">
        <v>1353</v>
      </c>
      <c r="C2289">
        <v>-14000</v>
      </c>
      <c r="D2289" s="2">
        <v>44515</v>
      </c>
      <c r="E2289" t="s">
        <v>27</v>
      </c>
      <c r="F2289">
        <v>-14000</v>
      </c>
      <c r="G2289">
        <v>0</v>
      </c>
    </row>
    <row r="2290" spans="1:7" x14ac:dyDescent="0.3">
      <c r="A2290" s="2">
        <v>44515</v>
      </c>
      <c r="B2290" t="s">
        <v>1354</v>
      </c>
      <c r="C2290">
        <v>-4830</v>
      </c>
      <c r="D2290" s="2">
        <v>44515</v>
      </c>
      <c r="E2290" t="s">
        <v>27</v>
      </c>
      <c r="F2290">
        <v>-4830</v>
      </c>
      <c r="G2290">
        <v>0</v>
      </c>
    </row>
    <row r="2291" spans="1:7" x14ac:dyDescent="0.3">
      <c r="A2291" s="2">
        <v>44516</v>
      </c>
      <c r="B2291" t="s">
        <v>1355</v>
      </c>
      <c r="C2291">
        <v>-175</v>
      </c>
      <c r="D2291" s="2">
        <v>44516</v>
      </c>
      <c r="E2291" t="s">
        <v>27</v>
      </c>
      <c r="F2291">
        <v>-175</v>
      </c>
      <c r="G2291">
        <v>0</v>
      </c>
    </row>
    <row r="2292" spans="1:7" x14ac:dyDescent="0.3">
      <c r="A2292" s="2">
        <v>44517</v>
      </c>
      <c r="B2292" t="s">
        <v>1356</v>
      </c>
      <c r="C2292">
        <v>2942.5</v>
      </c>
      <c r="D2292" s="2">
        <v>44517</v>
      </c>
      <c r="E2292" t="s">
        <v>25</v>
      </c>
      <c r="F2292">
        <v>2942.5</v>
      </c>
      <c r="G2292">
        <v>0</v>
      </c>
    </row>
    <row r="2293" spans="1:7" x14ac:dyDescent="0.3">
      <c r="A2293" s="2">
        <v>44518</v>
      </c>
      <c r="B2293" t="s">
        <v>1357</v>
      </c>
      <c r="C2293">
        <v>412.5</v>
      </c>
      <c r="D2293" s="2">
        <v>44518</v>
      </c>
      <c r="E2293" t="s">
        <v>25</v>
      </c>
      <c r="F2293">
        <v>412.5</v>
      </c>
      <c r="G2293">
        <v>0</v>
      </c>
    </row>
    <row r="2294" spans="1:7" x14ac:dyDescent="0.3">
      <c r="A2294" s="2">
        <v>44518</v>
      </c>
      <c r="B2294" t="s">
        <v>1358</v>
      </c>
      <c r="C2294">
        <v>-19.59</v>
      </c>
      <c r="D2294" s="2">
        <v>44518</v>
      </c>
      <c r="E2294" t="s">
        <v>27</v>
      </c>
      <c r="F2294">
        <v>-19.59</v>
      </c>
      <c r="G2294">
        <v>0</v>
      </c>
    </row>
    <row r="2295" spans="1:7" x14ac:dyDescent="0.3">
      <c r="A2295" s="2">
        <v>44518</v>
      </c>
      <c r="B2295" t="s">
        <v>1359</v>
      </c>
      <c r="C2295">
        <v>-7.95</v>
      </c>
      <c r="D2295" s="2">
        <v>44518</v>
      </c>
      <c r="E2295" t="s">
        <v>27</v>
      </c>
      <c r="F2295">
        <v>-7.95</v>
      </c>
      <c r="G2295">
        <v>0</v>
      </c>
    </row>
    <row r="2296" spans="1:7" x14ac:dyDescent="0.3">
      <c r="A2296" s="2">
        <v>44518</v>
      </c>
      <c r="B2296" t="s">
        <v>1360</v>
      </c>
      <c r="C2296">
        <v>-7.95</v>
      </c>
      <c r="D2296" s="2">
        <v>44518</v>
      </c>
      <c r="E2296" t="s">
        <v>27</v>
      </c>
      <c r="F2296">
        <v>-7.95</v>
      </c>
      <c r="G2296">
        <v>0</v>
      </c>
    </row>
    <row r="2297" spans="1:7" x14ac:dyDescent="0.3">
      <c r="A2297" s="2">
        <v>44519</v>
      </c>
      <c r="B2297" t="s">
        <v>1361</v>
      </c>
      <c r="C2297">
        <v>17291.25</v>
      </c>
      <c r="D2297" s="2">
        <v>44519</v>
      </c>
      <c r="E2297" t="s">
        <v>25</v>
      </c>
      <c r="F2297">
        <v>17291.25</v>
      </c>
      <c r="G2297">
        <v>0</v>
      </c>
    </row>
    <row r="2298" spans="1:7" x14ac:dyDescent="0.3">
      <c r="A2298" s="2">
        <v>44522</v>
      </c>
      <c r="B2298" t="s">
        <v>1362</v>
      </c>
      <c r="C2298">
        <v>13412.5</v>
      </c>
      <c r="D2298" s="2">
        <v>44522</v>
      </c>
      <c r="E2298" t="s">
        <v>25</v>
      </c>
      <c r="F2298">
        <v>13412.5</v>
      </c>
      <c r="G2298">
        <v>0</v>
      </c>
    </row>
    <row r="2299" spans="1:7" x14ac:dyDescent="0.3">
      <c r="A2299" s="2">
        <v>44522</v>
      </c>
      <c r="B2299" t="s">
        <v>1363</v>
      </c>
      <c r="C2299">
        <v>2025</v>
      </c>
      <c r="D2299" s="2">
        <v>44522</v>
      </c>
      <c r="E2299" t="s">
        <v>25</v>
      </c>
      <c r="F2299">
        <v>2025</v>
      </c>
      <c r="G2299">
        <v>0</v>
      </c>
    </row>
    <row r="2300" spans="1:7" x14ac:dyDescent="0.3">
      <c r="A2300" s="2">
        <v>44522</v>
      </c>
      <c r="B2300" t="s">
        <v>1363</v>
      </c>
      <c r="C2300">
        <v>14605</v>
      </c>
      <c r="D2300" s="2">
        <v>44522</v>
      </c>
      <c r="E2300" t="s">
        <v>25</v>
      </c>
      <c r="F2300">
        <v>14605</v>
      </c>
      <c r="G2300">
        <v>0</v>
      </c>
    </row>
    <row r="2301" spans="1:7" x14ac:dyDescent="0.3">
      <c r="A2301" s="2">
        <v>44523</v>
      </c>
      <c r="B2301" t="s">
        <v>1364</v>
      </c>
      <c r="C2301">
        <v>1455</v>
      </c>
      <c r="D2301" s="2">
        <v>44523</v>
      </c>
      <c r="E2301" t="s">
        <v>25</v>
      </c>
      <c r="F2301">
        <v>1455</v>
      </c>
      <c r="G2301">
        <v>0</v>
      </c>
    </row>
    <row r="2302" spans="1:7" x14ac:dyDescent="0.3">
      <c r="A2302" s="2">
        <v>44524</v>
      </c>
      <c r="B2302" t="s">
        <v>1365</v>
      </c>
      <c r="C2302">
        <v>10671.25</v>
      </c>
      <c r="D2302" s="2">
        <v>44524</v>
      </c>
      <c r="E2302" t="s">
        <v>25</v>
      </c>
      <c r="F2302">
        <v>10671.25</v>
      </c>
      <c r="G2302">
        <v>0</v>
      </c>
    </row>
    <row r="2303" spans="1:7" x14ac:dyDescent="0.3">
      <c r="A2303" s="2">
        <v>44526</v>
      </c>
      <c r="B2303" t="s">
        <v>1366</v>
      </c>
      <c r="C2303">
        <v>990</v>
      </c>
      <c r="D2303" s="2">
        <v>44526</v>
      </c>
      <c r="E2303" t="s">
        <v>25</v>
      </c>
      <c r="F2303">
        <v>990</v>
      </c>
      <c r="G2303">
        <v>0</v>
      </c>
    </row>
    <row r="2304" spans="1:7" x14ac:dyDescent="0.3">
      <c r="A2304" s="2">
        <v>44526</v>
      </c>
      <c r="B2304" t="s">
        <v>1367</v>
      </c>
      <c r="C2304">
        <v>8725</v>
      </c>
      <c r="D2304" s="2">
        <v>44526</v>
      </c>
      <c r="E2304" t="s">
        <v>25</v>
      </c>
      <c r="F2304">
        <v>8725</v>
      </c>
      <c r="G2304">
        <v>0</v>
      </c>
    </row>
    <row r="2305" spans="1:7" x14ac:dyDescent="0.3">
      <c r="A2305" s="2">
        <v>44529</v>
      </c>
      <c r="B2305" t="s">
        <v>1368</v>
      </c>
      <c r="C2305">
        <v>701.25</v>
      </c>
      <c r="D2305" s="2">
        <v>44529</v>
      </c>
      <c r="E2305" t="s">
        <v>25</v>
      </c>
      <c r="F2305">
        <v>701.25</v>
      </c>
      <c r="G2305">
        <v>0</v>
      </c>
    </row>
    <row r="2306" spans="1:7" x14ac:dyDescent="0.3">
      <c r="A2306" s="2">
        <v>44529</v>
      </c>
      <c r="B2306" t="s">
        <v>1368</v>
      </c>
      <c r="C2306">
        <v>866.25</v>
      </c>
      <c r="D2306" s="2">
        <v>44529</v>
      </c>
      <c r="E2306" t="s">
        <v>25</v>
      </c>
      <c r="F2306">
        <v>866.25</v>
      </c>
      <c r="G2306">
        <v>0</v>
      </c>
    </row>
    <row r="2307" spans="1:7" x14ac:dyDescent="0.3">
      <c r="A2307" s="2">
        <v>44529</v>
      </c>
      <c r="B2307" t="s">
        <v>156</v>
      </c>
      <c r="C2307">
        <v>-103.44</v>
      </c>
      <c r="D2307" s="2">
        <v>44529</v>
      </c>
      <c r="E2307" t="s">
        <v>27</v>
      </c>
      <c r="F2307">
        <v>-103.44</v>
      </c>
      <c r="G2307">
        <v>0</v>
      </c>
    </row>
    <row r="2308" spans="1:7" x14ac:dyDescent="0.3">
      <c r="A2308" s="2">
        <v>44529</v>
      </c>
      <c r="B2308" t="s">
        <v>1369</v>
      </c>
      <c r="C2308">
        <v>330</v>
      </c>
      <c r="D2308" s="2">
        <v>44529</v>
      </c>
      <c r="E2308" t="s">
        <v>25</v>
      </c>
      <c r="F2308">
        <v>330</v>
      </c>
      <c r="G2308">
        <v>0</v>
      </c>
    </row>
    <row r="2309" spans="1:7" x14ac:dyDescent="0.3">
      <c r="A2309" s="2">
        <v>44530</v>
      </c>
      <c r="B2309" t="s">
        <v>1370</v>
      </c>
      <c r="C2309">
        <v>1361.25</v>
      </c>
      <c r="D2309" s="2">
        <v>44530</v>
      </c>
      <c r="E2309" t="s">
        <v>25</v>
      </c>
      <c r="F2309">
        <v>1361.25</v>
      </c>
      <c r="G2309">
        <v>0</v>
      </c>
    </row>
    <row r="2310" spans="1:7" x14ac:dyDescent="0.3">
      <c r="A2310" s="2">
        <v>44531</v>
      </c>
      <c r="B2310" t="s">
        <v>1371</v>
      </c>
      <c r="C2310">
        <v>825</v>
      </c>
      <c r="D2310" s="2">
        <v>44531</v>
      </c>
      <c r="E2310" t="s">
        <v>25</v>
      </c>
      <c r="F2310">
        <v>825</v>
      </c>
      <c r="G2310">
        <v>0</v>
      </c>
    </row>
    <row r="2311" spans="1:7" x14ac:dyDescent="0.3">
      <c r="A2311" s="2">
        <v>44532</v>
      </c>
      <c r="B2311" t="s">
        <v>1371</v>
      </c>
      <c r="C2311">
        <v>-3821.27</v>
      </c>
      <c r="D2311" s="2">
        <v>44532</v>
      </c>
      <c r="E2311" t="s">
        <v>27</v>
      </c>
      <c r="F2311">
        <v>-3821.27</v>
      </c>
      <c r="G2311">
        <v>0</v>
      </c>
    </row>
    <row r="2312" spans="1:7" x14ac:dyDescent="0.3">
      <c r="A2312" s="2">
        <v>44532</v>
      </c>
      <c r="B2312" t="s">
        <v>1372</v>
      </c>
      <c r="C2312">
        <v>1601.25</v>
      </c>
      <c r="D2312" s="2">
        <v>44532</v>
      </c>
      <c r="E2312" t="s">
        <v>25</v>
      </c>
      <c r="F2312">
        <v>1601.25</v>
      </c>
      <c r="G2312">
        <v>0</v>
      </c>
    </row>
    <row r="2313" spans="1:7" x14ac:dyDescent="0.3">
      <c r="A2313" s="2">
        <v>44532</v>
      </c>
      <c r="B2313" t="s">
        <v>1373</v>
      </c>
      <c r="C2313">
        <v>-30</v>
      </c>
      <c r="D2313" s="2">
        <v>44532</v>
      </c>
      <c r="E2313" t="s">
        <v>27</v>
      </c>
      <c r="F2313">
        <v>-30</v>
      </c>
      <c r="G2313">
        <v>0</v>
      </c>
    </row>
    <row r="2314" spans="1:7" x14ac:dyDescent="0.3">
      <c r="A2314" s="2">
        <v>44533</v>
      </c>
      <c r="B2314" t="s">
        <v>162</v>
      </c>
      <c r="C2314">
        <v>-34.950000000000003</v>
      </c>
      <c r="D2314" s="2">
        <v>44533</v>
      </c>
      <c r="E2314" t="s">
        <v>27</v>
      </c>
      <c r="F2314">
        <v>-34.950000000000003</v>
      </c>
      <c r="G2314">
        <v>0</v>
      </c>
    </row>
    <row r="2315" spans="1:7" x14ac:dyDescent="0.3">
      <c r="A2315" s="2">
        <v>44533</v>
      </c>
      <c r="B2315" t="s">
        <v>1374</v>
      </c>
      <c r="C2315">
        <v>1826.25</v>
      </c>
      <c r="D2315" s="2">
        <v>44533</v>
      </c>
      <c r="E2315" t="s">
        <v>25</v>
      </c>
      <c r="F2315">
        <v>1826.25</v>
      </c>
      <c r="G2315">
        <v>0</v>
      </c>
    </row>
    <row r="2316" spans="1:7" x14ac:dyDescent="0.3">
      <c r="A2316" s="2">
        <v>44536</v>
      </c>
      <c r="B2316" t="s">
        <v>1375</v>
      </c>
      <c r="C2316">
        <v>1661.25</v>
      </c>
      <c r="D2316" s="2">
        <v>44536</v>
      </c>
      <c r="E2316" t="s">
        <v>25</v>
      </c>
      <c r="F2316">
        <v>1661.25</v>
      </c>
      <c r="G2316">
        <v>0</v>
      </c>
    </row>
    <row r="2317" spans="1:7" x14ac:dyDescent="0.3">
      <c r="A2317" s="2">
        <v>44536</v>
      </c>
      <c r="B2317" t="s">
        <v>1376</v>
      </c>
      <c r="C2317">
        <v>2021.25</v>
      </c>
      <c r="D2317" s="2">
        <v>44536</v>
      </c>
      <c r="E2317" t="s">
        <v>25</v>
      </c>
      <c r="F2317">
        <v>2021.25</v>
      </c>
      <c r="G2317">
        <v>0</v>
      </c>
    </row>
    <row r="2318" spans="1:7" x14ac:dyDescent="0.3">
      <c r="A2318" s="2">
        <v>44537</v>
      </c>
      <c r="B2318" t="s">
        <v>1377</v>
      </c>
      <c r="C2318">
        <v>330</v>
      </c>
      <c r="D2318" s="2">
        <v>44537</v>
      </c>
      <c r="E2318" t="s">
        <v>25</v>
      </c>
      <c r="F2318">
        <v>330</v>
      </c>
      <c r="G2318">
        <v>0</v>
      </c>
    </row>
    <row r="2319" spans="1:7" x14ac:dyDescent="0.3">
      <c r="A2319" s="2">
        <v>44538</v>
      </c>
      <c r="B2319" t="s">
        <v>1378</v>
      </c>
      <c r="C2319">
        <v>3195</v>
      </c>
      <c r="D2319" s="2">
        <v>44538</v>
      </c>
      <c r="E2319" t="s">
        <v>25</v>
      </c>
      <c r="F2319">
        <v>3195</v>
      </c>
      <c r="G2319">
        <v>0</v>
      </c>
    </row>
    <row r="2320" spans="1:7" x14ac:dyDescent="0.3">
      <c r="A2320" s="2">
        <v>44539</v>
      </c>
      <c r="B2320" t="s">
        <v>1379</v>
      </c>
      <c r="C2320">
        <v>1650</v>
      </c>
      <c r="D2320" s="2">
        <v>44539</v>
      </c>
      <c r="E2320" t="s">
        <v>25</v>
      </c>
      <c r="F2320">
        <v>1650</v>
      </c>
      <c r="G2320">
        <v>0</v>
      </c>
    </row>
    <row r="2321" spans="1:7" x14ac:dyDescent="0.3">
      <c r="A2321" s="2">
        <v>44540</v>
      </c>
      <c r="B2321" t="s">
        <v>1380</v>
      </c>
      <c r="C2321">
        <v>1155</v>
      </c>
      <c r="D2321" s="2">
        <v>44540</v>
      </c>
      <c r="E2321" t="s">
        <v>25</v>
      </c>
      <c r="F2321">
        <v>1155</v>
      </c>
      <c r="G2321">
        <v>0</v>
      </c>
    </row>
    <row r="2322" spans="1:7" x14ac:dyDescent="0.3">
      <c r="A2322" s="2">
        <v>44540</v>
      </c>
      <c r="B2322" t="s">
        <v>897</v>
      </c>
      <c r="C2322">
        <v>-16.95</v>
      </c>
      <c r="D2322" s="2">
        <v>44540</v>
      </c>
      <c r="E2322" t="s">
        <v>27</v>
      </c>
      <c r="F2322">
        <v>-16.95</v>
      </c>
      <c r="G2322">
        <v>0</v>
      </c>
    </row>
    <row r="2323" spans="1:7" x14ac:dyDescent="0.3">
      <c r="A2323" s="2">
        <v>44540</v>
      </c>
      <c r="B2323" t="s">
        <v>166</v>
      </c>
      <c r="C2323">
        <v>-9.99</v>
      </c>
      <c r="D2323" s="2">
        <v>44540</v>
      </c>
      <c r="E2323" t="s">
        <v>27</v>
      </c>
      <c r="F2323">
        <v>-9.99</v>
      </c>
      <c r="G2323">
        <v>0</v>
      </c>
    </row>
    <row r="2324" spans="1:7" x14ac:dyDescent="0.3">
      <c r="A2324" s="2">
        <v>44543</v>
      </c>
      <c r="B2324" t="s">
        <v>1381</v>
      </c>
      <c r="C2324">
        <v>165</v>
      </c>
      <c r="D2324" s="2">
        <v>44543</v>
      </c>
      <c r="E2324" t="s">
        <v>25</v>
      </c>
      <c r="F2324">
        <v>165</v>
      </c>
      <c r="G2324">
        <v>0</v>
      </c>
    </row>
    <row r="2325" spans="1:7" x14ac:dyDescent="0.3">
      <c r="A2325" s="2">
        <v>44543</v>
      </c>
      <c r="B2325" t="s">
        <v>1381</v>
      </c>
      <c r="C2325">
        <v>2861.25</v>
      </c>
      <c r="D2325" s="2">
        <v>44543</v>
      </c>
      <c r="E2325" t="s">
        <v>25</v>
      </c>
      <c r="F2325">
        <v>2861.25</v>
      </c>
      <c r="G2325">
        <v>0</v>
      </c>
    </row>
    <row r="2326" spans="1:7" x14ac:dyDescent="0.3">
      <c r="A2326" s="2">
        <v>44543</v>
      </c>
      <c r="B2326" t="s">
        <v>1382</v>
      </c>
      <c r="C2326">
        <v>671.25</v>
      </c>
      <c r="D2326" s="2">
        <v>44543</v>
      </c>
      <c r="E2326" t="s">
        <v>25</v>
      </c>
      <c r="F2326">
        <v>671.25</v>
      </c>
      <c r="G2326">
        <v>0</v>
      </c>
    </row>
    <row r="2327" spans="1:7" x14ac:dyDescent="0.3">
      <c r="A2327" s="2">
        <v>44544</v>
      </c>
      <c r="B2327" t="s">
        <v>1383</v>
      </c>
      <c r="C2327">
        <v>330</v>
      </c>
      <c r="D2327" s="2">
        <v>44544</v>
      </c>
      <c r="E2327" t="s">
        <v>25</v>
      </c>
      <c r="F2327">
        <v>330</v>
      </c>
      <c r="G2327">
        <v>0</v>
      </c>
    </row>
    <row r="2328" spans="1:7" x14ac:dyDescent="0.3">
      <c r="A2328" s="2">
        <v>44544</v>
      </c>
      <c r="B2328" t="s">
        <v>1384</v>
      </c>
      <c r="C2328">
        <v>-19.59</v>
      </c>
      <c r="D2328" s="2">
        <v>44544</v>
      </c>
      <c r="E2328" t="s">
        <v>27</v>
      </c>
      <c r="F2328">
        <v>-19.59</v>
      </c>
      <c r="G2328">
        <v>0</v>
      </c>
    </row>
    <row r="2329" spans="1:7" x14ac:dyDescent="0.3">
      <c r="A2329" s="2">
        <v>44545</v>
      </c>
      <c r="B2329" t="s">
        <v>1385</v>
      </c>
      <c r="C2329">
        <v>1155</v>
      </c>
      <c r="D2329" s="2">
        <v>44545</v>
      </c>
      <c r="E2329" t="s">
        <v>25</v>
      </c>
      <c r="F2329">
        <v>1155</v>
      </c>
      <c r="G2329">
        <v>0</v>
      </c>
    </row>
    <row r="2330" spans="1:7" x14ac:dyDescent="0.3">
      <c r="A2330" s="2">
        <v>44546</v>
      </c>
      <c r="B2330" t="s">
        <v>1386</v>
      </c>
      <c r="C2330">
        <v>22405</v>
      </c>
      <c r="D2330" s="2">
        <v>44546</v>
      </c>
      <c r="E2330" t="s">
        <v>25</v>
      </c>
      <c r="F2330">
        <v>22405</v>
      </c>
      <c r="G2330">
        <v>0</v>
      </c>
    </row>
    <row r="2331" spans="1:7" x14ac:dyDescent="0.3">
      <c r="A2331" s="2">
        <v>44547</v>
      </c>
      <c r="B2331" t="s">
        <v>1387</v>
      </c>
      <c r="C2331">
        <v>8790</v>
      </c>
      <c r="D2331" s="2">
        <v>44547</v>
      </c>
      <c r="E2331" t="s">
        <v>25</v>
      </c>
      <c r="F2331">
        <v>8790</v>
      </c>
      <c r="G2331">
        <v>0</v>
      </c>
    </row>
    <row r="2332" spans="1:7" x14ac:dyDescent="0.3">
      <c r="A2332" s="2">
        <v>44547</v>
      </c>
      <c r="B2332" t="s">
        <v>916</v>
      </c>
      <c r="C2332">
        <v>300</v>
      </c>
      <c r="D2332" s="2">
        <v>44547</v>
      </c>
      <c r="E2332" t="s">
        <v>25</v>
      </c>
      <c r="F2332">
        <v>300</v>
      </c>
      <c r="G2332">
        <v>0</v>
      </c>
    </row>
    <row r="2333" spans="1:7" x14ac:dyDescent="0.3">
      <c r="A2333" s="2">
        <v>44550</v>
      </c>
      <c r="B2333" t="s">
        <v>1388</v>
      </c>
      <c r="C2333">
        <v>825</v>
      </c>
      <c r="D2333" s="2">
        <v>44550</v>
      </c>
      <c r="E2333" t="s">
        <v>25</v>
      </c>
      <c r="F2333">
        <v>825</v>
      </c>
      <c r="G2333">
        <v>0</v>
      </c>
    </row>
    <row r="2334" spans="1:7" x14ac:dyDescent="0.3">
      <c r="A2334" s="2">
        <v>44550</v>
      </c>
      <c r="B2334" t="s">
        <v>1389</v>
      </c>
      <c r="C2334">
        <v>-7.95</v>
      </c>
      <c r="D2334" s="2">
        <v>44550</v>
      </c>
      <c r="E2334" t="s">
        <v>27</v>
      </c>
      <c r="F2334">
        <v>-7.95</v>
      </c>
      <c r="G2334">
        <v>0</v>
      </c>
    </row>
    <row r="2335" spans="1:7" x14ac:dyDescent="0.3">
      <c r="A2335" s="2">
        <v>44550</v>
      </c>
      <c r="B2335" t="s">
        <v>1388</v>
      </c>
      <c r="C2335">
        <v>1950</v>
      </c>
      <c r="D2335" s="2">
        <v>44550</v>
      </c>
      <c r="E2335" t="s">
        <v>25</v>
      </c>
      <c r="F2335">
        <v>1950</v>
      </c>
      <c r="G2335">
        <v>0</v>
      </c>
    </row>
    <row r="2336" spans="1:7" x14ac:dyDescent="0.3">
      <c r="A2336" s="2">
        <v>44550</v>
      </c>
      <c r="B2336" t="s">
        <v>1390</v>
      </c>
      <c r="C2336">
        <v>4650</v>
      </c>
      <c r="D2336" s="2">
        <v>44550</v>
      </c>
      <c r="E2336" t="s">
        <v>25</v>
      </c>
      <c r="F2336">
        <v>4650</v>
      </c>
      <c r="G2336">
        <v>0</v>
      </c>
    </row>
    <row r="2337" spans="1:7" x14ac:dyDescent="0.3">
      <c r="A2337" s="2">
        <v>44551</v>
      </c>
      <c r="B2337" t="s">
        <v>1391</v>
      </c>
      <c r="C2337">
        <v>720</v>
      </c>
      <c r="D2337" s="2">
        <v>44551</v>
      </c>
      <c r="E2337" t="s">
        <v>25</v>
      </c>
      <c r="F2337">
        <v>720</v>
      </c>
      <c r="G2337">
        <v>0</v>
      </c>
    </row>
    <row r="2338" spans="1:7" x14ac:dyDescent="0.3">
      <c r="A2338" s="2">
        <v>44551</v>
      </c>
      <c r="B2338" t="s">
        <v>1392</v>
      </c>
      <c r="C2338">
        <v>165</v>
      </c>
      <c r="D2338" s="2">
        <v>44551</v>
      </c>
      <c r="E2338" t="s">
        <v>25</v>
      </c>
      <c r="F2338">
        <v>165</v>
      </c>
      <c r="G2338">
        <v>0</v>
      </c>
    </row>
    <row r="2339" spans="1:7" x14ac:dyDescent="0.3">
      <c r="A2339" s="2">
        <v>44552</v>
      </c>
      <c r="B2339" t="s">
        <v>1393</v>
      </c>
      <c r="C2339">
        <v>1425</v>
      </c>
      <c r="D2339" s="2">
        <v>44552</v>
      </c>
      <c r="E2339" t="s">
        <v>25</v>
      </c>
      <c r="F2339">
        <v>1425</v>
      </c>
      <c r="G2339">
        <v>0</v>
      </c>
    </row>
    <row r="2340" spans="1:7" x14ac:dyDescent="0.3">
      <c r="A2340" s="2">
        <v>44553</v>
      </c>
      <c r="B2340" t="s">
        <v>1394</v>
      </c>
      <c r="C2340">
        <v>-50</v>
      </c>
      <c r="D2340" s="2">
        <v>44553</v>
      </c>
      <c r="E2340" t="s">
        <v>27</v>
      </c>
      <c r="F2340">
        <v>-50</v>
      </c>
      <c r="G2340">
        <v>0</v>
      </c>
    </row>
    <row r="2341" spans="1:7" x14ac:dyDescent="0.3">
      <c r="A2341" s="2">
        <v>44553</v>
      </c>
      <c r="B2341" t="s">
        <v>1395</v>
      </c>
      <c r="C2341">
        <v>1725</v>
      </c>
      <c r="D2341" s="2">
        <v>44553</v>
      </c>
      <c r="E2341" t="s">
        <v>25</v>
      </c>
      <c r="F2341">
        <v>1725</v>
      </c>
      <c r="G2341">
        <v>0</v>
      </c>
    </row>
    <row r="2342" spans="1:7" x14ac:dyDescent="0.3">
      <c r="A2342" s="2">
        <v>44554</v>
      </c>
      <c r="B2342" t="s">
        <v>930</v>
      </c>
      <c r="C2342">
        <v>4800</v>
      </c>
      <c r="D2342" s="2">
        <v>44554</v>
      </c>
      <c r="E2342" t="s">
        <v>25</v>
      </c>
      <c r="F2342">
        <v>4800</v>
      </c>
      <c r="G2342">
        <v>0</v>
      </c>
    </row>
    <row r="2343" spans="1:7" x14ac:dyDescent="0.3">
      <c r="A2343" s="2">
        <v>44554</v>
      </c>
      <c r="B2343" t="s">
        <v>1396</v>
      </c>
      <c r="C2343">
        <v>495</v>
      </c>
      <c r="D2343" s="2">
        <v>44554</v>
      </c>
      <c r="E2343" t="s">
        <v>25</v>
      </c>
      <c r="F2343">
        <v>495</v>
      </c>
      <c r="G2343">
        <v>0</v>
      </c>
    </row>
    <row r="2344" spans="1:7" x14ac:dyDescent="0.3">
      <c r="A2344" s="2">
        <v>44557</v>
      </c>
      <c r="B2344" t="s">
        <v>1397</v>
      </c>
      <c r="C2344">
        <v>1455</v>
      </c>
      <c r="D2344" s="2">
        <v>44557</v>
      </c>
      <c r="E2344" t="s">
        <v>25</v>
      </c>
      <c r="F2344">
        <v>1455</v>
      </c>
      <c r="G2344">
        <v>0</v>
      </c>
    </row>
    <row r="2345" spans="1:7" x14ac:dyDescent="0.3">
      <c r="A2345" s="2">
        <v>44557</v>
      </c>
      <c r="B2345" t="s">
        <v>1398</v>
      </c>
      <c r="C2345">
        <v>330</v>
      </c>
      <c r="D2345" s="2">
        <v>44557</v>
      </c>
      <c r="E2345" t="s">
        <v>25</v>
      </c>
      <c r="F2345">
        <v>330</v>
      </c>
      <c r="G2345">
        <v>0</v>
      </c>
    </row>
    <row r="2346" spans="1:7" x14ac:dyDescent="0.3">
      <c r="A2346" s="2">
        <v>44557</v>
      </c>
      <c r="B2346" t="s">
        <v>1398</v>
      </c>
      <c r="C2346">
        <v>495</v>
      </c>
      <c r="D2346" s="2">
        <v>44557</v>
      </c>
      <c r="E2346" t="s">
        <v>25</v>
      </c>
      <c r="F2346">
        <v>495</v>
      </c>
      <c r="G2346">
        <v>0</v>
      </c>
    </row>
    <row r="2347" spans="1:7" x14ac:dyDescent="0.3">
      <c r="A2347" s="2">
        <v>44558</v>
      </c>
      <c r="B2347" t="s">
        <v>1399</v>
      </c>
      <c r="C2347">
        <v>536.25</v>
      </c>
      <c r="D2347" s="2">
        <v>44558</v>
      </c>
      <c r="E2347" t="s">
        <v>25</v>
      </c>
      <c r="F2347">
        <v>536.25</v>
      </c>
      <c r="G2347">
        <v>0</v>
      </c>
    </row>
    <row r="2348" spans="1:7" x14ac:dyDescent="0.3">
      <c r="A2348" s="2">
        <v>44559</v>
      </c>
      <c r="B2348" t="s">
        <v>1400</v>
      </c>
      <c r="C2348">
        <v>1095</v>
      </c>
      <c r="D2348" s="2">
        <v>44559</v>
      </c>
      <c r="E2348" t="s">
        <v>25</v>
      </c>
      <c r="F2348">
        <v>1095</v>
      </c>
      <c r="G2348">
        <v>0</v>
      </c>
    </row>
    <row r="2349" spans="1:7" x14ac:dyDescent="0.3">
      <c r="A2349" s="2">
        <v>44559</v>
      </c>
      <c r="B2349" t="s">
        <v>31</v>
      </c>
      <c r="C2349">
        <v>2910</v>
      </c>
      <c r="D2349" s="2">
        <v>44559</v>
      </c>
      <c r="E2349" t="s">
        <v>25</v>
      </c>
      <c r="F2349">
        <v>2910</v>
      </c>
      <c r="G2349">
        <v>0</v>
      </c>
    </row>
    <row r="2350" spans="1:7" x14ac:dyDescent="0.3">
      <c r="A2350" s="2">
        <v>44559</v>
      </c>
      <c r="B2350" t="s">
        <v>31</v>
      </c>
      <c r="C2350">
        <v>7300</v>
      </c>
      <c r="D2350" s="2">
        <v>44559</v>
      </c>
      <c r="E2350" t="s">
        <v>25</v>
      </c>
      <c r="F2350">
        <v>7300</v>
      </c>
      <c r="G2350">
        <v>0</v>
      </c>
    </row>
    <row r="2351" spans="1:7" x14ac:dyDescent="0.3">
      <c r="A2351" s="2">
        <v>44559</v>
      </c>
      <c r="B2351" t="s">
        <v>31</v>
      </c>
      <c r="C2351">
        <v>1500</v>
      </c>
      <c r="D2351" s="2">
        <v>44559</v>
      </c>
      <c r="E2351" t="s">
        <v>25</v>
      </c>
      <c r="F2351">
        <v>1500</v>
      </c>
      <c r="G2351">
        <v>0</v>
      </c>
    </row>
    <row r="2352" spans="1:7" x14ac:dyDescent="0.3">
      <c r="A2352" s="2">
        <v>44560</v>
      </c>
      <c r="B2352" t="s">
        <v>1401</v>
      </c>
      <c r="C2352">
        <v>1361.25</v>
      </c>
      <c r="D2352" s="2">
        <v>44560</v>
      </c>
      <c r="E2352" t="s">
        <v>25</v>
      </c>
      <c r="F2352">
        <v>1361.25</v>
      </c>
      <c r="G2352">
        <v>0</v>
      </c>
    </row>
    <row r="2353" spans="1:7" x14ac:dyDescent="0.3">
      <c r="A2353" s="2">
        <v>44561</v>
      </c>
      <c r="B2353" t="s">
        <v>1402</v>
      </c>
      <c r="C2353">
        <v>1155</v>
      </c>
      <c r="D2353" s="2">
        <v>44561</v>
      </c>
      <c r="E2353" t="s">
        <v>25</v>
      </c>
      <c r="F2353">
        <v>1155</v>
      </c>
      <c r="G2353">
        <v>0</v>
      </c>
    </row>
    <row r="2354" spans="1:7" x14ac:dyDescent="0.3">
      <c r="A2354" s="2">
        <v>44564</v>
      </c>
      <c r="B2354" t="s">
        <v>1403</v>
      </c>
      <c r="C2354">
        <v>17645</v>
      </c>
      <c r="D2354" s="2">
        <v>44564</v>
      </c>
      <c r="E2354" t="s">
        <v>25</v>
      </c>
      <c r="F2354">
        <v>17645</v>
      </c>
      <c r="G2354">
        <v>0</v>
      </c>
    </row>
    <row r="2355" spans="1:7" x14ac:dyDescent="0.3">
      <c r="A2355" s="2">
        <v>44564</v>
      </c>
      <c r="B2355" t="s">
        <v>1404</v>
      </c>
      <c r="C2355">
        <v>10870</v>
      </c>
      <c r="D2355" s="2">
        <v>44564</v>
      </c>
      <c r="E2355" t="s">
        <v>25</v>
      </c>
      <c r="F2355">
        <v>10870</v>
      </c>
      <c r="G2355">
        <v>0</v>
      </c>
    </row>
    <row r="2356" spans="1:7" x14ac:dyDescent="0.3">
      <c r="A2356" s="2">
        <v>44564</v>
      </c>
      <c r="B2356" t="s">
        <v>1403</v>
      </c>
      <c r="C2356">
        <v>2445</v>
      </c>
      <c r="D2356" s="2">
        <v>44564</v>
      </c>
      <c r="E2356" t="s">
        <v>25</v>
      </c>
      <c r="F2356">
        <v>2445</v>
      </c>
      <c r="G2356">
        <v>0</v>
      </c>
    </row>
    <row r="2357" spans="1:7" x14ac:dyDescent="0.3">
      <c r="A2357" s="2">
        <v>44564</v>
      </c>
      <c r="B2357" t="s">
        <v>1404</v>
      </c>
      <c r="C2357">
        <v>-3297.8</v>
      </c>
      <c r="D2357" s="2">
        <v>44564</v>
      </c>
      <c r="E2357" t="s">
        <v>27</v>
      </c>
      <c r="F2357">
        <v>-3297.8</v>
      </c>
      <c r="G2357">
        <v>0</v>
      </c>
    </row>
    <row r="2358" spans="1:7" x14ac:dyDescent="0.3">
      <c r="A2358" s="2">
        <v>44565</v>
      </c>
      <c r="B2358" t="s">
        <v>1405</v>
      </c>
      <c r="C2358">
        <v>1155</v>
      </c>
      <c r="D2358" s="2">
        <v>44564</v>
      </c>
      <c r="E2358" t="s">
        <v>25</v>
      </c>
      <c r="F2358">
        <v>1155</v>
      </c>
      <c r="G2358">
        <v>0</v>
      </c>
    </row>
    <row r="2359" spans="1:7" x14ac:dyDescent="0.3">
      <c r="A2359" s="2">
        <v>44566</v>
      </c>
      <c r="B2359" t="s">
        <v>189</v>
      </c>
      <c r="C2359">
        <v>-25</v>
      </c>
      <c r="D2359" s="2">
        <v>44566</v>
      </c>
      <c r="E2359" t="s">
        <v>27</v>
      </c>
      <c r="F2359">
        <v>-25</v>
      </c>
      <c r="G2359">
        <v>0</v>
      </c>
    </row>
    <row r="2360" spans="1:7" x14ac:dyDescent="0.3">
      <c r="A2360" s="2">
        <v>44566</v>
      </c>
      <c r="B2360" t="s">
        <v>1406</v>
      </c>
      <c r="C2360">
        <v>3020</v>
      </c>
      <c r="D2360" s="2">
        <v>44566</v>
      </c>
      <c r="E2360" t="s">
        <v>25</v>
      </c>
      <c r="F2360">
        <v>3020</v>
      </c>
      <c r="G2360">
        <v>0</v>
      </c>
    </row>
    <row r="2361" spans="1:7" x14ac:dyDescent="0.3">
      <c r="A2361" s="2">
        <v>44567</v>
      </c>
      <c r="B2361" t="s">
        <v>1407</v>
      </c>
      <c r="C2361">
        <v>9825</v>
      </c>
      <c r="D2361" s="2">
        <v>44567</v>
      </c>
      <c r="E2361" t="s">
        <v>25</v>
      </c>
      <c r="F2361">
        <v>9825</v>
      </c>
      <c r="G2361">
        <v>0</v>
      </c>
    </row>
    <row r="2362" spans="1:7" x14ac:dyDescent="0.3">
      <c r="A2362" s="2">
        <v>44567</v>
      </c>
      <c r="B2362" t="s">
        <v>469</v>
      </c>
      <c r="C2362">
        <v>1500</v>
      </c>
      <c r="D2362" s="2">
        <v>44564</v>
      </c>
      <c r="E2362" t="s">
        <v>25</v>
      </c>
      <c r="F2362">
        <v>1500</v>
      </c>
      <c r="G2362">
        <v>0</v>
      </c>
    </row>
    <row r="2363" spans="1:7" x14ac:dyDescent="0.3">
      <c r="A2363" s="2">
        <v>44568</v>
      </c>
      <c r="B2363" t="s">
        <v>1408</v>
      </c>
      <c r="C2363">
        <v>12745</v>
      </c>
      <c r="D2363" s="2">
        <v>44568</v>
      </c>
      <c r="E2363" t="s">
        <v>25</v>
      </c>
      <c r="F2363">
        <v>12745</v>
      </c>
      <c r="G2363">
        <v>0</v>
      </c>
    </row>
    <row r="2364" spans="1:7" x14ac:dyDescent="0.3">
      <c r="A2364" s="2">
        <v>44571</v>
      </c>
      <c r="B2364" t="s">
        <v>31</v>
      </c>
      <c r="C2364">
        <v>7300</v>
      </c>
      <c r="D2364" s="2">
        <v>44571</v>
      </c>
      <c r="E2364" t="s">
        <v>25</v>
      </c>
      <c r="F2364">
        <v>7300</v>
      </c>
      <c r="G2364">
        <v>0</v>
      </c>
    </row>
    <row r="2365" spans="1:7" x14ac:dyDescent="0.3">
      <c r="A2365" s="2">
        <v>44571</v>
      </c>
      <c r="B2365" t="s">
        <v>1409</v>
      </c>
      <c r="C2365">
        <v>8050</v>
      </c>
      <c r="D2365" s="2">
        <v>44571</v>
      </c>
      <c r="E2365" t="s">
        <v>25</v>
      </c>
      <c r="F2365">
        <v>8050</v>
      </c>
      <c r="G2365">
        <v>0</v>
      </c>
    </row>
    <row r="2366" spans="1:7" x14ac:dyDescent="0.3">
      <c r="A2366" s="2">
        <v>44571</v>
      </c>
      <c r="B2366" t="s">
        <v>1410</v>
      </c>
      <c r="C2366">
        <v>-103.44</v>
      </c>
      <c r="D2366" s="2">
        <v>44571</v>
      </c>
      <c r="E2366" t="s">
        <v>27</v>
      </c>
      <c r="F2366">
        <v>-103.44</v>
      </c>
      <c r="G2366">
        <v>0</v>
      </c>
    </row>
    <row r="2367" spans="1:7" x14ac:dyDescent="0.3">
      <c r="A2367" s="2">
        <v>44571</v>
      </c>
      <c r="B2367" t="s">
        <v>1411</v>
      </c>
      <c r="C2367">
        <v>3175</v>
      </c>
      <c r="D2367" s="2">
        <v>44571</v>
      </c>
      <c r="E2367" t="s">
        <v>25</v>
      </c>
      <c r="F2367">
        <v>3175</v>
      </c>
      <c r="G2367">
        <v>0</v>
      </c>
    </row>
    <row r="2368" spans="1:7" x14ac:dyDescent="0.3">
      <c r="A2368" s="2">
        <v>44571</v>
      </c>
      <c r="B2368" t="s">
        <v>31</v>
      </c>
      <c r="C2368">
        <v>300</v>
      </c>
      <c r="D2368" s="2">
        <v>44571</v>
      </c>
      <c r="E2368" t="s">
        <v>25</v>
      </c>
      <c r="F2368">
        <v>300</v>
      </c>
      <c r="G2368">
        <v>0</v>
      </c>
    </row>
    <row r="2369" spans="1:7" x14ac:dyDescent="0.3">
      <c r="A2369" s="2">
        <v>44571</v>
      </c>
      <c r="B2369" t="s">
        <v>31</v>
      </c>
      <c r="C2369">
        <v>1200</v>
      </c>
      <c r="D2369" s="2">
        <v>44571</v>
      </c>
      <c r="E2369" t="s">
        <v>25</v>
      </c>
      <c r="F2369">
        <v>1200</v>
      </c>
      <c r="G2369">
        <v>0</v>
      </c>
    </row>
    <row r="2370" spans="1:7" x14ac:dyDescent="0.3">
      <c r="A2370" s="2">
        <v>44571</v>
      </c>
      <c r="B2370" t="s">
        <v>31</v>
      </c>
      <c r="C2370">
        <v>3000</v>
      </c>
      <c r="D2370" s="2">
        <v>44571</v>
      </c>
      <c r="E2370" t="s">
        <v>25</v>
      </c>
      <c r="F2370">
        <v>3000</v>
      </c>
      <c r="G2370">
        <v>0</v>
      </c>
    </row>
    <row r="2371" spans="1:7" x14ac:dyDescent="0.3">
      <c r="A2371" s="2">
        <v>44571</v>
      </c>
      <c r="B2371" t="s">
        <v>1411</v>
      </c>
      <c r="C2371">
        <v>8390</v>
      </c>
      <c r="D2371" s="2">
        <v>44571</v>
      </c>
      <c r="E2371" t="s">
        <v>25</v>
      </c>
      <c r="F2371">
        <v>8390</v>
      </c>
      <c r="G2371">
        <v>0</v>
      </c>
    </row>
    <row r="2372" spans="1:7" x14ac:dyDescent="0.3">
      <c r="A2372" s="2">
        <v>44572</v>
      </c>
      <c r="B2372" t="s">
        <v>1412</v>
      </c>
      <c r="C2372">
        <v>2060</v>
      </c>
      <c r="D2372" s="2">
        <v>44572</v>
      </c>
      <c r="E2372" t="s">
        <v>25</v>
      </c>
      <c r="F2372">
        <v>2060</v>
      </c>
      <c r="G2372">
        <v>0</v>
      </c>
    </row>
    <row r="2373" spans="1:7" x14ac:dyDescent="0.3">
      <c r="A2373" s="2">
        <v>44573</v>
      </c>
      <c r="B2373" t="s">
        <v>1413</v>
      </c>
      <c r="C2373">
        <v>4585</v>
      </c>
      <c r="D2373" s="2">
        <v>44573</v>
      </c>
      <c r="E2373" t="s">
        <v>25</v>
      </c>
      <c r="F2373">
        <v>4585</v>
      </c>
      <c r="G2373">
        <v>0</v>
      </c>
    </row>
    <row r="2374" spans="1:7" x14ac:dyDescent="0.3">
      <c r="A2374" s="2">
        <v>44574</v>
      </c>
      <c r="B2374" t="s">
        <v>1414</v>
      </c>
      <c r="C2374">
        <v>4175</v>
      </c>
      <c r="D2374" s="2">
        <v>44574</v>
      </c>
      <c r="E2374" t="s">
        <v>25</v>
      </c>
      <c r="F2374">
        <v>4175</v>
      </c>
      <c r="G2374">
        <v>0</v>
      </c>
    </row>
    <row r="2375" spans="1:7" x14ac:dyDescent="0.3">
      <c r="A2375" s="2">
        <v>44575</v>
      </c>
      <c r="B2375" t="s">
        <v>1415</v>
      </c>
      <c r="C2375">
        <v>1715</v>
      </c>
      <c r="D2375" s="2">
        <v>44575</v>
      </c>
      <c r="E2375" t="s">
        <v>25</v>
      </c>
      <c r="F2375">
        <v>1715</v>
      </c>
      <c r="G2375">
        <v>0</v>
      </c>
    </row>
    <row r="2376" spans="1:7" x14ac:dyDescent="0.3">
      <c r="A2376" s="2">
        <v>44579</v>
      </c>
      <c r="B2376" t="s">
        <v>1416</v>
      </c>
      <c r="C2376">
        <v>470</v>
      </c>
      <c r="D2376" s="2">
        <v>44579</v>
      </c>
      <c r="E2376" t="s">
        <v>25</v>
      </c>
      <c r="F2376">
        <v>470</v>
      </c>
      <c r="G2376">
        <v>0</v>
      </c>
    </row>
    <row r="2377" spans="1:7" x14ac:dyDescent="0.3">
      <c r="A2377" s="2">
        <v>44579</v>
      </c>
      <c r="B2377" t="s">
        <v>1417</v>
      </c>
      <c r="C2377">
        <v>612</v>
      </c>
      <c r="D2377" s="2">
        <v>44579</v>
      </c>
      <c r="E2377" t="s">
        <v>25</v>
      </c>
      <c r="F2377">
        <v>612</v>
      </c>
      <c r="G2377">
        <v>0</v>
      </c>
    </row>
    <row r="2378" spans="1:7" x14ac:dyDescent="0.3">
      <c r="A2378" s="2">
        <v>44579</v>
      </c>
      <c r="B2378" t="s">
        <v>1418</v>
      </c>
      <c r="C2378">
        <v>970</v>
      </c>
      <c r="D2378" s="2">
        <v>44579</v>
      </c>
      <c r="E2378" t="s">
        <v>25</v>
      </c>
      <c r="F2378">
        <v>970</v>
      </c>
      <c r="G2378">
        <v>0</v>
      </c>
    </row>
    <row r="2379" spans="1:7" x14ac:dyDescent="0.3">
      <c r="A2379" s="2">
        <v>44579</v>
      </c>
      <c r="B2379" t="s">
        <v>1419</v>
      </c>
      <c r="C2379">
        <v>5790</v>
      </c>
      <c r="D2379" s="2">
        <v>44579</v>
      </c>
      <c r="E2379" t="s">
        <v>25</v>
      </c>
      <c r="F2379">
        <v>5790</v>
      </c>
      <c r="G2379">
        <v>0</v>
      </c>
    </row>
    <row r="2380" spans="1:7" x14ac:dyDescent="0.3">
      <c r="A2380" s="2">
        <v>44579</v>
      </c>
      <c r="B2380" t="s">
        <v>1418</v>
      </c>
      <c r="C2380">
        <v>3760</v>
      </c>
      <c r="D2380" s="2">
        <v>44579</v>
      </c>
      <c r="E2380" t="s">
        <v>25</v>
      </c>
      <c r="F2380">
        <v>3760</v>
      </c>
      <c r="G2380">
        <v>0</v>
      </c>
    </row>
    <row r="2381" spans="1:7" x14ac:dyDescent="0.3">
      <c r="A2381" s="2">
        <v>44579</v>
      </c>
      <c r="B2381" t="s">
        <v>1420</v>
      </c>
      <c r="C2381">
        <v>-9.99</v>
      </c>
      <c r="D2381" s="2">
        <v>44579</v>
      </c>
      <c r="E2381" t="s">
        <v>27</v>
      </c>
      <c r="F2381">
        <v>-9.99</v>
      </c>
      <c r="G2381">
        <v>0</v>
      </c>
    </row>
    <row r="2382" spans="1:7" x14ac:dyDescent="0.3">
      <c r="A2382" s="2">
        <v>44579</v>
      </c>
      <c r="B2382" t="s">
        <v>1421</v>
      </c>
      <c r="C2382">
        <v>300</v>
      </c>
      <c r="D2382" s="2">
        <v>44579</v>
      </c>
      <c r="E2382" t="s">
        <v>25</v>
      </c>
      <c r="F2382">
        <v>300</v>
      </c>
      <c r="G2382">
        <v>0</v>
      </c>
    </row>
    <row r="2383" spans="1:7" x14ac:dyDescent="0.3">
      <c r="A2383" s="2">
        <v>44580</v>
      </c>
      <c r="B2383" t="s">
        <v>1422</v>
      </c>
      <c r="C2383">
        <v>2270</v>
      </c>
      <c r="D2383" s="2">
        <v>44580</v>
      </c>
      <c r="E2383" t="s">
        <v>25</v>
      </c>
      <c r="F2383">
        <v>2270</v>
      </c>
      <c r="G2383">
        <v>0</v>
      </c>
    </row>
    <row r="2384" spans="1:7" x14ac:dyDescent="0.3">
      <c r="A2384" s="2">
        <v>44580</v>
      </c>
      <c r="B2384" t="s">
        <v>1423</v>
      </c>
      <c r="C2384">
        <v>-30</v>
      </c>
      <c r="D2384" s="2">
        <v>44580</v>
      </c>
      <c r="E2384" t="s">
        <v>27</v>
      </c>
      <c r="F2384">
        <v>-30</v>
      </c>
      <c r="G2384">
        <v>0</v>
      </c>
    </row>
    <row r="2385" spans="1:7" x14ac:dyDescent="0.3">
      <c r="A2385" s="2">
        <v>44581</v>
      </c>
      <c r="B2385" t="s">
        <v>1424</v>
      </c>
      <c r="C2385">
        <v>9975</v>
      </c>
      <c r="D2385" s="2">
        <v>44581</v>
      </c>
      <c r="E2385" t="s">
        <v>25</v>
      </c>
      <c r="F2385">
        <v>9975</v>
      </c>
      <c r="G2385">
        <v>0</v>
      </c>
    </row>
    <row r="2386" spans="1:7" x14ac:dyDescent="0.3">
      <c r="A2386" s="2">
        <v>44581</v>
      </c>
      <c r="B2386" t="s">
        <v>1425</v>
      </c>
      <c r="C2386">
        <v>1575</v>
      </c>
      <c r="D2386" s="2">
        <v>44581</v>
      </c>
      <c r="E2386" t="s">
        <v>25</v>
      </c>
      <c r="F2386">
        <v>1575</v>
      </c>
      <c r="G2386">
        <v>0</v>
      </c>
    </row>
    <row r="2387" spans="1:7" x14ac:dyDescent="0.3">
      <c r="A2387" s="2">
        <v>44582</v>
      </c>
      <c r="B2387" t="s">
        <v>1426</v>
      </c>
      <c r="C2387">
        <v>-20.149999999999999</v>
      </c>
      <c r="D2387" s="2">
        <v>44582</v>
      </c>
      <c r="E2387" t="s">
        <v>27</v>
      </c>
      <c r="F2387">
        <v>-20.149999999999999</v>
      </c>
      <c r="G2387">
        <v>0</v>
      </c>
    </row>
    <row r="2388" spans="1:7" x14ac:dyDescent="0.3">
      <c r="A2388" s="2">
        <v>44582</v>
      </c>
      <c r="B2388" t="s">
        <v>1427</v>
      </c>
      <c r="C2388">
        <v>3945</v>
      </c>
      <c r="D2388" s="2">
        <v>44582</v>
      </c>
      <c r="E2388" t="s">
        <v>25</v>
      </c>
      <c r="F2388">
        <v>3945</v>
      </c>
      <c r="G2388">
        <v>0</v>
      </c>
    </row>
    <row r="2389" spans="1:7" x14ac:dyDescent="0.3">
      <c r="A2389" s="2">
        <v>44582</v>
      </c>
      <c r="B2389" t="s">
        <v>31</v>
      </c>
      <c r="C2389">
        <v>3000</v>
      </c>
      <c r="D2389" s="2">
        <v>44582</v>
      </c>
      <c r="E2389" t="s">
        <v>25</v>
      </c>
      <c r="F2389">
        <v>3000</v>
      </c>
      <c r="G2389">
        <v>0</v>
      </c>
    </row>
    <row r="2390" spans="1:7" x14ac:dyDescent="0.3">
      <c r="A2390" s="2">
        <v>44585</v>
      </c>
      <c r="B2390" t="s">
        <v>1428</v>
      </c>
      <c r="C2390">
        <v>1715</v>
      </c>
      <c r="D2390" s="2">
        <v>44582</v>
      </c>
      <c r="E2390" t="s">
        <v>25</v>
      </c>
      <c r="F2390">
        <v>1715</v>
      </c>
      <c r="G2390">
        <v>0</v>
      </c>
    </row>
    <row r="2391" spans="1:7" x14ac:dyDescent="0.3">
      <c r="A2391" s="2">
        <v>44585</v>
      </c>
      <c r="B2391" t="s">
        <v>1429</v>
      </c>
      <c r="C2391">
        <v>8125</v>
      </c>
      <c r="D2391" s="2">
        <v>44585</v>
      </c>
      <c r="E2391" t="s">
        <v>25</v>
      </c>
      <c r="F2391">
        <v>8125</v>
      </c>
      <c r="G2391">
        <v>0</v>
      </c>
    </row>
    <row r="2392" spans="1:7" x14ac:dyDescent="0.3">
      <c r="A2392" s="2">
        <v>44585</v>
      </c>
      <c r="B2392" t="s">
        <v>1429</v>
      </c>
      <c r="C2392">
        <v>3770</v>
      </c>
      <c r="D2392" s="2">
        <v>44585</v>
      </c>
      <c r="E2392" t="s">
        <v>25</v>
      </c>
      <c r="F2392">
        <v>3770</v>
      </c>
      <c r="G2392">
        <v>0</v>
      </c>
    </row>
    <row r="2393" spans="1:7" x14ac:dyDescent="0.3">
      <c r="A2393" s="2">
        <v>44586</v>
      </c>
      <c r="B2393" t="s">
        <v>1430</v>
      </c>
      <c r="C2393">
        <v>2620</v>
      </c>
      <c r="D2393" s="2">
        <v>44586</v>
      </c>
      <c r="E2393" t="s">
        <v>25</v>
      </c>
      <c r="F2393">
        <v>2620</v>
      </c>
      <c r="G2393">
        <v>0</v>
      </c>
    </row>
    <row r="2394" spans="1:7" x14ac:dyDescent="0.3">
      <c r="A2394" s="2">
        <v>44586</v>
      </c>
      <c r="B2394" t="s">
        <v>1431</v>
      </c>
      <c r="C2394">
        <v>-3750</v>
      </c>
      <c r="D2394" s="2">
        <v>44586</v>
      </c>
      <c r="E2394" t="s">
        <v>27</v>
      </c>
      <c r="F2394">
        <v>-3750</v>
      </c>
      <c r="G2394">
        <v>0</v>
      </c>
    </row>
    <row r="2395" spans="1:7" x14ac:dyDescent="0.3">
      <c r="A2395" s="2">
        <v>44586</v>
      </c>
      <c r="B2395" t="s">
        <v>1432</v>
      </c>
      <c r="C2395">
        <v>-175</v>
      </c>
      <c r="D2395" s="2">
        <v>44586</v>
      </c>
      <c r="E2395" t="s">
        <v>27</v>
      </c>
      <c r="F2395">
        <v>-175</v>
      </c>
      <c r="G2395">
        <v>0</v>
      </c>
    </row>
    <row r="2396" spans="1:7" x14ac:dyDescent="0.3">
      <c r="A2396" s="2">
        <v>44586</v>
      </c>
      <c r="B2396" t="s">
        <v>1433</v>
      </c>
      <c r="C2396">
        <v>-5221.25</v>
      </c>
      <c r="D2396" s="2">
        <v>44586</v>
      </c>
      <c r="E2396" t="s">
        <v>27</v>
      </c>
      <c r="F2396">
        <v>-5221.25</v>
      </c>
      <c r="G2396">
        <v>0</v>
      </c>
    </row>
    <row r="2397" spans="1:7" x14ac:dyDescent="0.3">
      <c r="A2397" s="2">
        <v>44587</v>
      </c>
      <c r="B2397" t="s">
        <v>1434</v>
      </c>
      <c r="C2397">
        <v>7565</v>
      </c>
      <c r="D2397" s="2">
        <v>44587</v>
      </c>
      <c r="E2397" t="s">
        <v>25</v>
      </c>
      <c r="F2397">
        <v>7565</v>
      </c>
      <c r="G2397">
        <v>0</v>
      </c>
    </row>
    <row r="2398" spans="1:7" x14ac:dyDescent="0.3">
      <c r="A2398" s="2">
        <v>44588</v>
      </c>
      <c r="B2398" t="s">
        <v>1435</v>
      </c>
      <c r="C2398">
        <v>-444.21</v>
      </c>
      <c r="D2398" s="2">
        <v>44588</v>
      </c>
      <c r="E2398" t="s">
        <v>27</v>
      </c>
      <c r="F2398">
        <v>-444.21</v>
      </c>
      <c r="G2398">
        <v>0</v>
      </c>
    </row>
    <row r="2399" spans="1:7" x14ac:dyDescent="0.3">
      <c r="A2399" s="2">
        <v>44588</v>
      </c>
      <c r="B2399" t="s">
        <v>1436</v>
      </c>
      <c r="C2399">
        <v>7935</v>
      </c>
      <c r="D2399" s="2">
        <v>44588</v>
      </c>
      <c r="E2399" t="s">
        <v>25</v>
      </c>
      <c r="F2399">
        <v>7935</v>
      </c>
      <c r="G2399">
        <v>0</v>
      </c>
    </row>
    <row r="2400" spans="1:7" x14ac:dyDescent="0.3">
      <c r="A2400" s="2">
        <v>44589</v>
      </c>
      <c r="B2400" t="s">
        <v>1437</v>
      </c>
      <c r="C2400">
        <v>15220</v>
      </c>
      <c r="D2400" s="2">
        <v>44589</v>
      </c>
      <c r="E2400" t="s">
        <v>25</v>
      </c>
      <c r="F2400">
        <v>15220</v>
      </c>
      <c r="G2400">
        <v>0</v>
      </c>
    </row>
    <row r="2401" spans="1:7" x14ac:dyDescent="0.3">
      <c r="A2401" s="2">
        <v>44589</v>
      </c>
      <c r="B2401" t="s">
        <v>1438</v>
      </c>
      <c r="C2401">
        <v>-41.66</v>
      </c>
      <c r="D2401" s="2">
        <v>44589</v>
      </c>
      <c r="E2401" t="s">
        <v>27</v>
      </c>
      <c r="F2401">
        <v>-41.66</v>
      </c>
      <c r="G2401">
        <v>0</v>
      </c>
    </row>
    <row r="2402" spans="1:7" x14ac:dyDescent="0.3">
      <c r="A2402" s="2">
        <v>44589</v>
      </c>
      <c r="B2402" t="s">
        <v>1439</v>
      </c>
      <c r="C2402">
        <v>-414.51</v>
      </c>
      <c r="D2402" s="2">
        <v>44589</v>
      </c>
      <c r="E2402" t="s">
        <v>27</v>
      </c>
      <c r="F2402">
        <v>-414.51</v>
      </c>
      <c r="G2402">
        <v>0</v>
      </c>
    </row>
    <row r="2403" spans="1:7" x14ac:dyDescent="0.3">
      <c r="A2403" s="2">
        <v>44589</v>
      </c>
      <c r="B2403" t="s">
        <v>1440</v>
      </c>
      <c r="C2403">
        <v>-22.91</v>
      </c>
      <c r="D2403" s="2">
        <v>44589</v>
      </c>
      <c r="E2403" t="s">
        <v>27</v>
      </c>
      <c r="F2403">
        <v>-22.91</v>
      </c>
      <c r="G2403">
        <v>0</v>
      </c>
    </row>
    <row r="2404" spans="1:7" x14ac:dyDescent="0.3">
      <c r="A2404" s="2">
        <v>44592</v>
      </c>
      <c r="B2404" t="s">
        <v>1441</v>
      </c>
      <c r="C2404">
        <v>6680</v>
      </c>
      <c r="D2404" s="2">
        <v>44592</v>
      </c>
      <c r="E2404" t="s">
        <v>25</v>
      </c>
      <c r="F2404">
        <v>6680</v>
      </c>
      <c r="G2404">
        <v>0</v>
      </c>
    </row>
    <row r="2405" spans="1:7" x14ac:dyDescent="0.3">
      <c r="A2405" s="2">
        <v>44592</v>
      </c>
      <c r="B2405" t="s">
        <v>1442</v>
      </c>
      <c r="C2405">
        <v>5830</v>
      </c>
      <c r="D2405" s="2">
        <v>44592</v>
      </c>
      <c r="E2405" t="s">
        <v>25</v>
      </c>
      <c r="F2405">
        <v>5830</v>
      </c>
      <c r="G2405">
        <v>0</v>
      </c>
    </row>
    <row r="2406" spans="1:7" x14ac:dyDescent="0.3">
      <c r="A2406" s="2">
        <v>44592</v>
      </c>
      <c r="B2406" t="s">
        <v>1442</v>
      </c>
      <c r="C2406">
        <v>275</v>
      </c>
      <c r="D2406" s="2">
        <v>44592</v>
      </c>
      <c r="E2406" t="s">
        <v>25</v>
      </c>
      <c r="F2406">
        <v>275</v>
      </c>
      <c r="G2406">
        <v>0</v>
      </c>
    </row>
    <row r="2407" spans="1:7" x14ac:dyDescent="0.3">
      <c r="A2407" s="2">
        <v>44593</v>
      </c>
      <c r="B2407" t="s">
        <v>1443</v>
      </c>
      <c r="C2407">
        <v>330</v>
      </c>
      <c r="D2407" s="2">
        <v>44593</v>
      </c>
      <c r="E2407" t="s">
        <v>25</v>
      </c>
      <c r="F2407">
        <v>330</v>
      </c>
      <c r="G2407">
        <v>0</v>
      </c>
    </row>
    <row r="2408" spans="1:7" x14ac:dyDescent="0.3">
      <c r="A2408" s="2">
        <v>44593</v>
      </c>
      <c r="B2408" t="s">
        <v>1444</v>
      </c>
      <c r="C2408">
        <v>7300</v>
      </c>
      <c r="D2408" s="2">
        <v>44593</v>
      </c>
      <c r="E2408" t="s">
        <v>25</v>
      </c>
      <c r="F2408">
        <v>7300</v>
      </c>
      <c r="G2408">
        <v>0</v>
      </c>
    </row>
    <row r="2409" spans="1:7" x14ac:dyDescent="0.3">
      <c r="A2409" s="2">
        <v>44594</v>
      </c>
      <c r="B2409" t="s">
        <v>1445</v>
      </c>
      <c r="C2409">
        <v>2440</v>
      </c>
      <c r="D2409" s="2">
        <v>44594</v>
      </c>
      <c r="E2409" t="s">
        <v>25</v>
      </c>
      <c r="F2409">
        <v>2440</v>
      </c>
      <c r="G2409">
        <v>0</v>
      </c>
    </row>
    <row r="2410" spans="1:7" x14ac:dyDescent="0.3">
      <c r="A2410" s="2">
        <v>44594</v>
      </c>
      <c r="B2410" t="s">
        <v>1446</v>
      </c>
      <c r="C2410">
        <v>-30</v>
      </c>
      <c r="D2410" s="2">
        <v>44594</v>
      </c>
      <c r="E2410" t="s">
        <v>27</v>
      </c>
      <c r="F2410">
        <v>-30</v>
      </c>
      <c r="G2410">
        <v>0</v>
      </c>
    </row>
    <row r="2411" spans="1:7" x14ac:dyDescent="0.3">
      <c r="A2411" s="2">
        <v>44594</v>
      </c>
      <c r="B2411" t="s">
        <v>1443</v>
      </c>
      <c r="C2411">
        <v>-6467.18</v>
      </c>
      <c r="D2411" s="2">
        <v>44594</v>
      </c>
      <c r="E2411" t="s">
        <v>27</v>
      </c>
      <c r="F2411">
        <v>-6467.18</v>
      </c>
      <c r="G2411">
        <v>0</v>
      </c>
    </row>
    <row r="2412" spans="1:7" x14ac:dyDescent="0.3">
      <c r="A2412" s="2">
        <v>44595</v>
      </c>
      <c r="B2412" t="s">
        <v>1447</v>
      </c>
      <c r="C2412">
        <v>-103.44</v>
      </c>
      <c r="D2412" s="2">
        <v>44595</v>
      </c>
      <c r="E2412" t="s">
        <v>27</v>
      </c>
      <c r="F2412">
        <v>-103.44</v>
      </c>
      <c r="G2412">
        <v>0</v>
      </c>
    </row>
    <row r="2413" spans="1:7" x14ac:dyDescent="0.3">
      <c r="A2413" s="2">
        <v>44595</v>
      </c>
      <c r="B2413" t="s">
        <v>1448</v>
      </c>
      <c r="C2413">
        <v>-92.7</v>
      </c>
      <c r="D2413" s="2">
        <v>44595</v>
      </c>
      <c r="E2413" t="s">
        <v>27</v>
      </c>
      <c r="F2413">
        <v>-92.7</v>
      </c>
      <c r="G2413">
        <v>0</v>
      </c>
    </row>
    <row r="2414" spans="1:7" x14ac:dyDescent="0.3">
      <c r="A2414" s="2">
        <v>44595</v>
      </c>
      <c r="B2414" t="s">
        <v>1449</v>
      </c>
      <c r="C2414">
        <v>5310</v>
      </c>
      <c r="D2414" s="2">
        <v>44595</v>
      </c>
      <c r="E2414" t="s">
        <v>25</v>
      </c>
      <c r="F2414">
        <v>5310</v>
      </c>
      <c r="G2414">
        <v>0</v>
      </c>
    </row>
    <row r="2415" spans="1:7" x14ac:dyDescent="0.3">
      <c r="A2415" s="2">
        <v>44596</v>
      </c>
      <c r="B2415" t="s">
        <v>1450</v>
      </c>
      <c r="C2415">
        <v>1215</v>
      </c>
      <c r="D2415" s="2">
        <v>44596</v>
      </c>
      <c r="E2415" t="s">
        <v>25</v>
      </c>
      <c r="F2415">
        <v>1215</v>
      </c>
      <c r="G2415">
        <v>0</v>
      </c>
    </row>
    <row r="2416" spans="1:7" x14ac:dyDescent="0.3">
      <c r="A2416" s="2">
        <v>44599</v>
      </c>
      <c r="B2416" t="s">
        <v>1451</v>
      </c>
      <c r="C2416">
        <v>-29.21</v>
      </c>
      <c r="D2416" s="2">
        <v>44599</v>
      </c>
      <c r="E2416" t="s">
        <v>27</v>
      </c>
      <c r="F2416">
        <v>-29.21</v>
      </c>
      <c r="G2416">
        <v>0</v>
      </c>
    </row>
    <row r="2417" spans="1:7" x14ac:dyDescent="0.3">
      <c r="A2417" s="2">
        <v>44599</v>
      </c>
      <c r="B2417" t="s">
        <v>1452</v>
      </c>
      <c r="C2417">
        <v>-180.11</v>
      </c>
      <c r="D2417" s="2">
        <v>44599</v>
      </c>
      <c r="E2417" t="s">
        <v>27</v>
      </c>
      <c r="F2417">
        <v>-180.11</v>
      </c>
      <c r="G2417">
        <v>0</v>
      </c>
    </row>
    <row r="2418" spans="1:7" x14ac:dyDescent="0.3">
      <c r="A2418" s="2">
        <v>44599</v>
      </c>
      <c r="B2418" t="s">
        <v>1453</v>
      </c>
      <c r="C2418">
        <v>-62.13</v>
      </c>
      <c r="D2418" s="2">
        <v>44599</v>
      </c>
      <c r="E2418" t="s">
        <v>27</v>
      </c>
      <c r="F2418">
        <v>-62.13</v>
      </c>
      <c r="G2418">
        <v>0</v>
      </c>
    </row>
    <row r="2419" spans="1:7" x14ac:dyDescent="0.3">
      <c r="A2419" s="2">
        <v>44599</v>
      </c>
      <c r="B2419" t="s">
        <v>1454</v>
      </c>
      <c r="C2419">
        <v>165</v>
      </c>
      <c r="D2419" s="2">
        <v>44599</v>
      </c>
      <c r="E2419" t="s">
        <v>25</v>
      </c>
      <c r="F2419">
        <v>165</v>
      </c>
      <c r="G2419">
        <v>0</v>
      </c>
    </row>
    <row r="2420" spans="1:7" x14ac:dyDescent="0.3">
      <c r="A2420" s="2">
        <v>44599</v>
      </c>
      <c r="B2420" t="s">
        <v>1455</v>
      </c>
      <c r="C2420">
        <v>-153.26</v>
      </c>
      <c r="D2420" s="2">
        <v>44599</v>
      </c>
      <c r="E2420" t="s">
        <v>27</v>
      </c>
      <c r="F2420">
        <v>-153.26</v>
      </c>
      <c r="G2420">
        <v>0</v>
      </c>
    </row>
    <row r="2421" spans="1:7" x14ac:dyDescent="0.3">
      <c r="A2421" s="2">
        <v>44599</v>
      </c>
      <c r="B2421" t="s">
        <v>1456</v>
      </c>
      <c r="C2421">
        <v>-114.2</v>
      </c>
      <c r="D2421" s="2">
        <v>44599</v>
      </c>
      <c r="E2421" t="s">
        <v>27</v>
      </c>
      <c r="F2421">
        <v>-114.2</v>
      </c>
      <c r="G2421">
        <v>0</v>
      </c>
    </row>
    <row r="2422" spans="1:7" x14ac:dyDescent="0.3">
      <c r="A2422" s="2">
        <v>44599</v>
      </c>
      <c r="B2422" t="s">
        <v>1454</v>
      </c>
      <c r="C2422">
        <v>1645</v>
      </c>
      <c r="D2422" s="2">
        <v>44599</v>
      </c>
      <c r="E2422" t="s">
        <v>25</v>
      </c>
      <c r="F2422">
        <v>1645</v>
      </c>
      <c r="G2422">
        <v>0</v>
      </c>
    </row>
    <row r="2423" spans="1:7" x14ac:dyDescent="0.3">
      <c r="A2423" s="2">
        <v>44599</v>
      </c>
      <c r="B2423" t="s">
        <v>1457</v>
      </c>
      <c r="C2423">
        <v>3925</v>
      </c>
      <c r="D2423" s="2">
        <v>44599</v>
      </c>
      <c r="E2423" t="s">
        <v>25</v>
      </c>
      <c r="F2423">
        <v>3925</v>
      </c>
      <c r="G2423">
        <v>0</v>
      </c>
    </row>
    <row r="2424" spans="1:7" x14ac:dyDescent="0.3">
      <c r="A2424" s="2">
        <v>44600</v>
      </c>
      <c r="B2424" t="s">
        <v>1458</v>
      </c>
      <c r="C2424">
        <v>-52.85</v>
      </c>
      <c r="D2424" s="2">
        <v>44600</v>
      </c>
      <c r="E2424" t="s">
        <v>27</v>
      </c>
      <c r="F2424">
        <v>-52.85</v>
      </c>
      <c r="G2424">
        <v>0</v>
      </c>
    </row>
    <row r="2425" spans="1:7" x14ac:dyDescent="0.3">
      <c r="A2425" s="2">
        <v>44600</v>
      </c>
      <c r="B2425" t="s">
        <v>1459</v>
      </c>
      <c r="C2425">
        <v>775</v>
      </c>
      <c r="D2425" s="2">
        <v>44600</v>
      </c>
      <c r="E2425" t="s">
        <v>25</v>
      </c>
      <c r="F2425">
        <v>775</v>
      </c>
      <c r="G2425">
        <v>0</v>
      </c>
    </row>
    <row r="2426" spans="1:7" x14ac:dyDescent="0.3">
      <c r="A2426" s="2">
        <v>44601</v>
      </c>
      <c r="B2426" t="s">
        <v>1460</v>
      </c>
      <c r="C2426">
        <v>-175</v>
      </c>
      <c r="D2426" s="2">
        <v>44601</v>
      </c>
      <c r="E2426" t="s">
        <v>27</v>
      </c>
      <c r="F2426">
        <v>-175</v>
      </c>
      <c r="G2426">
        <v>0</v>
      </c>
    </row>
    <row r="2427" spans="1:7" x14ac:dyDescent="0.3">
      <c r="A2427" s="2">
        <v>44601</v>
      </c>
      <c r="B2427" t="s">
        <v>1461</v>
      </c>
      <c r="C2427">
        <v>-10.7</v>
      </c>
      <c r="D2427" s="2">
        <v>44601</v>
      </c>
      <c r="E2427" t="s">
        <v>27</v>
      </c>
      <c r="F2427">
        <v>-10.7</v>
      </c>
      <c r="G2427">
        <v>0</v>
      </c>
    </row>
    <row r="2428" spans="1:7" x14ac:dyDescent="0.3">
      <c r="A2428" s="2">
        <v>44601</v>
      </c>
      <c r="B2428" t="s">
        <v>1462</v>
      </c>
      <c r="C2428">
        <v>1415</v>
      </c>
      <c r="D2428" s="2">
        <v>44601</v>
      </c>
      <c r="E2428" t="s">
        <v>25</v>
      </c>
      <c r="F2428">
        <v>1415</v>
      </c>
      <c r="G2428">
        <v>0</v>
      </c>
    </row>
    <row r="2429" spans="1:7" x14ac:dyDescent="0.3">
      <c r="A2429" s="2">
        <v>44601</v>
      </c>
      <c r="B2429" t="s">
        <v>1463</v>
      </c>
      <c r="C2429">
        <v>-76.64</v>
      </c>
      <c r="D2429" s="2">
        <v>44601</v>
      </c>
      <c r="E2429" t="s">
        <v>27</v>
      </c>
      <c r="F2429">
        <v>-76.64</v>
      </c>
      <c r="G2429">
        <v>0</v>
      </c>
    </row>
    <row r="2430" spans="1:7" x14ac:dyDescent="0.3">
      <c r="A2430" s="2">
        <v>44601</v>
      </c>
      <c r="B2430" t="s">
        <v>1464</v>
      </c>
      <c r="C2430">
        <v>-86.63</v>
      </c>
      <c r="D2430" s="2">
        <v>44601</v>
      </c>
      <c r="E2430" t="s">
        <v>27</v>
      </c>
      <c r="F2430">
        <v>-86.63</v>
      </c>
      <c r="G2430">
        <v>0</v>
      </c>
    </row>
    <row r="2431" spans="1:7" x14ac:dyDescent="0.3">
      <c r="A2431" s="2">
        <v>44601</v>
      </c>
      <c r="B2431" t="s">
        <v>1465</v>
      </c>
      <c r="C2431">
        <v>-23.06</v>
      </c>
      <c r="D2431" s="2">
        <v>44601</v>
      </c>
      <c r="E2431" t="s">
        <v>27</v>
      </c>
      <c r="F2431">
        <v>-23.06</v>
      </c>
      <c r="G2431">
        <v>0</v>
      </c>
    </row>
    <row r="2432" spans="1:7" x14ac:dyDescent="0.3">
      <c r="A2432" s="2">
        <v>44601</v>
      </c>
      <c r="B2432" t="s">
        <v>1466</v>
      </c>
      <c r="C2432">
        <v>-28.29</v>
      </c>
      <c r="D2432" s="2">
        <v>44601</v>
      </c>
      <c r="E2432" t="s">
        <v>27</v>
      </c>
      <c r="F2432">
        <v>-28.29</v>
      </c>
      <c r="G2432">
        <v>0</v>
      </c>
    </row>
    <row r="2433" spans="1:7" x14ac:dyDescent="0.3">
      <c r="A2433" s="2">
        <v>44602</v>
      </c>
      <c r="B2433" t="s">
        <v>1467</v>
      </c>
      <c r="C2433">
        <v>-10.94</v>
      </c>
      <c r="D2433" s="2">
        <v>44602</v>
      </c>
      <c r="E2433" t="s">
        <v>27</v>
      </c>
      <c r="F2433">
        <v>-10.94</v>
      </c>
      <c r="G2433">
        <v>0</v>
      </c>
    </row>
    <row r="2434" spans="1:7" x14ac:dyDescent="0.3">
      <c r="A2434" s="2">
        <v>44602</v>
      </c>
      <c r="B2434" t="s">
        <v>1468</v>
      </c>
      <c r="C2434">
        <v>-299.33999999999997</v>
      </c>
      <c r="D2434" s="2">
        <v>44602</v>
      </c>
      <c r="E2434" t="s">
        <v>27</v>
      </c>
      <c r="F2434">
        <v>-299.33999999999997</v>
      </c>
      <c r="G2434">
        <v>0</v>
      </c>
    </row>
    <row r="2435" spans="1:7" x14ac:dyDescent="0.3">
      <c r="A2435" s="2">
        <v>44602</v>
      </c>
      <c r="B2435" t="s">
        <v>1469</v>
      </c>
      <c r="C2435">
        <v>-16.41</v>
      </c>
      <c r="D2435" s="2">
        <v>44602</v>
      </c>
      <c r="E2435" t="s">
        <v>27</v>
      </c>
      <c r="F2435">
        <v>-16.41</v>
      </c>
      <c r="G2435">
        <v>0</v>
      </c>
    </row>
    <row r="2436" spans="1:7" x14ac:dyDescent="0.3">
      <c r="A2436" s="2">
        <v>44602</v>
      </c>
      <c r="B2436" t="s">
        <v>1470</v>
      </c>
      <c r="C2436">
        <v>-10.71</v>
      </c>
      <c r="D2436" s="2">
        <v>44602</v>
      </c>
      <c r="E2436" t="s">
        <v>27</v>
      </c>
      <c r="F2436">
        <v>-10.71</v>
      </c>
      <c r="G2436">
        <v>0</v>
      </c>
    </row>
    <row r="2437" spans="1:7" x14ac:dyDescent="0.3">
      <c r="A2437" s="2">
        <v>44602</v>
      </c>
      <c r="B2437" t="s">
        <v>1471</v>
      </c>
      <c r="C2437">
        <v>-75.06</v>
      </c>
      <c r="D2437" s="2">
        <v>44602</v>
      </c>
      <c r="E2437" t="s">
        <v>27</v>
      </c>
      <c r="F2437">
        <v>-75.06</v>
      </c>
      <c r="G2437">
        <v>0</v>
      </c>
    </row>
    <row r="2438" spans="1:7" x14ac:dyDescent="0.3">
      <c r="A2438" s="2">
        <v>44602</v>
      </c>
      <c r="B2438" t="s">
        <v>1472</v>
      </c>
      <c r="C2438">
        <v>-10.94</v>
      </c>
      <c r="D2438" s="2">
        <v>44602</v>
      </c>
      <c r="E2438" t="s">
        <v>27</v>
      </c>
      <c r="F2438">
        <v>-10.94</v>
      </c>
      <c r="G2438">
        <v>0</v>
      </c>
    </row>
    <row r="2439" spans="1:7" x14ac:dyDescent="0.3">
      <c r="A2439" s="2">
        <v>44602</v>
      </c>
      <c r="B2439" t="s">
        <v>1473</v>
      </c>
      <c r="C2439">
        <v>-90.89</v>
      </c>
      <c r="D2439" s="2">
        <v>44602</v>
      </c>
      <c r="E2439" t="s">
        <v>27</v>
      </c>
      <c r="F2439">
        <v>-90.89</v>
      </c>
      <c r="G2439">
        <v>0</v>
      </c>
    </row>
    <row r="2440" spans="1:7" x14ac:dyDescent="0.3">
      <c r="A2440" s="2">
        <v>44602</v>
      </c>
      <c r="B2440" t="s">
        <v>1474</v>
      </c>
      <c r="C2440">
        <v>1160</v>
      </c>
      <c r="D2440" s="2">
        <v>44602</v>
      </c>
      <c r="E2440" t="s">
        <v>25</v>
      </c>
      <c r="F2440">
        <v>1160</v>
      </c>
      <c r="G2440">
        <v>0</v>
      </c>
    </row>
    <row r="2441" spans="1:7" x14ac:dyDescent="0.3">
      <c r="A2441" s="2">
        <v>44603</v>
      </c>
      <c r="B2441" t="s">
        <v>1475</v>
      </c>
      <c r="C2441">
        <v>4645</v>
      </c>
      <c r="D2441" s="2">
        <v>44603</v>
      </c>
      <c r="E2441" t="s">
        <v>25</v>
      </c>
      <c r="F2441">
        <v>4645</v>
      </c>
      <c r="G2441">
        <v>0</v>
      </c>
    </row>
    <row r="2442" spans="1:7" x14ac:dyDescent="0.3">
      <c r="A2442" s="2">
        <v>44603</v>
      </c>
      <c r="B2442" t="s">
        <v>1476</v>
      </c>
      <c r="C2442">
        <v>-69.03</v>
      </c>
      <c r="D2442" s="2">
        <v>44603</v>
      </c>
      <c r="E2442" t="s">
        <v>27</v>
      </c>
      <c r="F2442">
        <v>-69.03</v>
      </c>
      <c r="G2442">
        <v>0</v>
      </c>
    </row>
    <row r="2443" spans="1:7" x14ac:dyDescent="0.3">
      <c r="A2443" s="2">
        <v>44603</v>
      </c>
      <c r="B2443" t="s">
        <v>1477</v>
      </c>
      <c r="C2443">
        <v>-189.21</v>
      </c>
      <c r="D2443" s="2">
        <v>44603</v>
      </c>
      <c r="E2443" t="s">
        <v>27</v>
      </c>
      <c r="F2443">
        <v>-189.21</v>
      </c>
      <c r="G2443">
        <v>0</v>
      </c>
    </row>
    <row r="2444" spans="1:7" x14ac:dyDescent="0.3">
      <c r="A2444" s="2">
        <v>44606</v>
      </c>
      <c r="B2444" t="s">
        <v>1478</v>
      </c>
      <c r="C2444">
        <v>110</v>
      </c>
      <c r="D2444" s="2">
        <v>44606</v>
      </c>
      <c r="E2444" t="s">
        <v>25</v>
      </c>
      <c r="F2444">
        <v>110</v>
      </c>
      <c r="G2444">
        <v>0</v>
      </c>
    </row>
    <row r="2445" spans="1:7" x14ac:dyDescent="0.3">
      <c r="A2445" s="2">
        <v>44606</v>
      </c>
      <c r="B2445" t="s">
        <v>1478</v>
      </c>
      <c r="C2445">
        <v>825</v>
      </c>
      <c r="D2445" s="2">
        <v>44606</v>
      </c>
      <c r="E2445" t="s">
        <v>25</v>
      </c>
      <c r="F2445">
        <v>825</v>
      </c>
      <c r="G2445">
        <v>0</v>
      </c>
    </row>
    <row r="2446" spans="1:7" x14ac:dyDescent="0.3">
      <c r="A2446" s="2">
        <v>44606</v>
      </c>
      <c r="B2446" t="s">
        <v>1479</v>
      </c>
      <c r="C2446">
        <v>1775</v>
      </c>
      <c r="D2446" s="2">
        <v>44606</v>
      </c>
      <c r="E2446" t="s">
        <v>25</v>
      </c>
      <c r="F2446">
        <v>1775</v>
      </c>
      <c r="G2446">
        <v>0</v>
      </c>
    </row>
    <row r="2447" spans="1:7" x14ac:dyDescent="0.3">
      <c r="A2447" s="2">
        <v>44607</v>
      </c>
      <c r="B2447" t="s">
        <v>1480</v>
      </c>
      <c r="C2447">
        <v>2165</v>
      </c>
      <c r="D2447" s="2">
        <v>44607</v>
      </c>
      <c r="E2447" t="s">
        <v>25</v>
      </c>
      <c r="F2447">
        <v>2165</v>
      </c>
      <c r="G2447">
        <v>0</v>
      </c>
    </row>
    <row r="2448" spans="1:7" x14ac:dyDescent="0.3">
      <c r="A2448" s="2">
        <v>44607</v>
      </c>
      <c r="B2448" t="s">
        <v>1481</v>
      </c>
      <c r="C2448">
        <v>-119.88</v>
      </c>
      <c r="D2448" s="2">
        <v>44607</v>
      </c>
      <c r="E2448" t="s">
        <v>27</v>
      </c>
      <c r="F2448">
        <v>-119.88</v>
      </c>
      <c r="G2448">
        <v>0</v>
      </c>
    </row>
    <row r="2449" spans="1:7" x14ac:dyDescent="0.3">
      <c r="A2449" s="2">
        <v>44608</v>
      </c>
      <c r="B2449" t="s">
        <v>1482</v>
      </c>
      <c r="C2449">
        <v>995</v>
      </c>
      <c r="D2449" s="2">
        <v>44608</v>
      </c>
      <c r="E2449" t="s">
        <v>25</v>
      </c>
      <c r="F2449">
        <v>995</v>
      </c>
      <c r="G2449">
        <v>0</v>
      </c>
    </row>
    <row r="2450" spans="1:7" x14ac:dyDescent="0.3">
      <c r="A2450" s="2">
        <v>44608</v>
      </c>
      <c r="B2450" t="s">
        <v>1483</v>
      </c>
      <c r="C2450">
        <v>-109</v>
      </c>
      <c r="D2450" s="2">
        <v>44608</v>
      </c>
      <c r="E2450" t="s">
        <v>27</v>
      </c>
      <c r="F2450">
        <v>-109</v>
      </c>
      <c r="G2450">
        <v>0</v>
      </c>
    </row>
    <row r="2451" spans="1:7" x14ac:dyDescent="0.3">
      <c r="A2451" s="2">
        <v>44609</v>
      </c>
      <c r="B2451" t="s">
        <v>1484</v>
      </c>
      <c r="C2451">
        <v>-9.99</v>
      </c>
      <c r="D2451" s="2">
        <v>44609</v>
      </c>
      <c r="E2451" t="s">
        <v>27</v>
      </c>
      <c r="F2451">
        <v>-9.99</v>
      </c>
      <c r="G2451">
        <v>0</v>
      </c>
    </row>
    <row r="2452" spans="1:7" x14ac:dyDescent="0.3">
      <c r="A2452" s="2">
        <v>44609</v>
      </c>
      <c r="B2452" t="s">
        <v>1485</v>
      </c>
      <c r="C2452">
        <v>1345</v>
      </c>
      <c r="D2452" s="2">
        <v>44609</v>
      </c>
      <c r="E2452" t="s">
        <v>25</v>
      </c>
      <c r="F2452">
        <v>1345</v>
      </c>
      <c r="G2452">
        <v>0</v>
      </c>
    </row>
    <row r="2453" spans="1:7" x14ac:dyDescent="0.3">
      <c r="A2453" s="2">
        <v>44610</v>
      </c>
      <c r="B2453" t="s">
        <v>1486</v>
      </c>
      <c r="C2453">
        <v>2625</v>
      </c>
      <c r="D2453" s="2">
        <v>44610</v>
      </c>
      <c r="E2453" t="s">
        <v>25</v>
      </c>
      <c r="F2453">
        <v>2625</v>
      </c>
      <c r="G2453">
        <v>0</v>
      </c>
    </row>
    <row r="2454" spans="1:7" x14ac:dyDescent="0.3">
      <c r="A2454" s="2">
        <v>44610</v>
      </c>
      <c r="B2454" t="s">
        <v>1487</v>
      </c>
      <c r="C2454">
        <v>-32.61</v>
      </c>
      <c r="D2454" s="2">
        <v>44610</v>
      </c>
      <c r="E2454" t="s">
        <v>27</v>
      </c>
      <c r="F2454">
        <v>-32.61</v>
      </c>
      <c r="G2454">
        <v>0</v>
      </c>
    </row>
    <row r="2455" spans="1:7" x14ac:dyDescent="0.3">
      <c r="A2455" s="2">
        <v>44610</v>
      </c>
      <c r="B2455" t="s">
        <v>1487</v>
      </c>
      <c r="C2455">
        <v>-293</v>
      </c>
      <c r="D2455" s="2">
        <v>44610</v>
      </c>
      <c r="E2455" t="s">
        <v>27</v>
      </c>
      <c r="F2455">
        <v>-293</v>
      </c>
      <c r="G2455">
        <v>0</v>
      </c>
    </row>
    <row r="2456" spans="1:7" x14ac:dyDescent="0.3">
      <c r="A2456" s="2">
        <v>44614</v>
      </c>
      <c r="B2456" t="s">
        <v>1488</v>
      </c>
      <c r="C2456">
        <v>-45.05</v>
      </c>
      <c r="D2456" s="2">
        <v>44614</v>
      </c>
      <c r="E2456" t="s">
        <v>27</v>
      </c>
      <c r="F2456">
        <v>-45.05</v>
      </c>
      <c r="G2456">
        <v>0</v>
      </c>
    </row>
    <row r="2457" spans="1:7" x14ac:dyDescent="0.3">
      <c r="A2457" s="2">
        <v>44614</v>
      </c>
      <c r="B2457" t="s">
        <v>1489</v>
      </c>
      <c r="C2457">
        <v>830</v>
      </c>
      <c r="D2457" s="2">
        <v>44614</v>
      </c>
      <c r="E2457" t="s">
        <v>25</v>
      </c>
      <c r="F2457">
        <v>830</v>
      </c>
      <c r="G2457">
        <v>0</v>
      </c>
    </row>
    <row r="2458" spans="1:7" x14ac:dyDescent="0.3">
      <c r="A2458" s="2">
        <v>44614</v>
      </c>
      <c r="B2458" t="s">
        <v>1490</v>
      </c>
      <c r="C2458">
        <v>1600</v>
      </c>
      <c r="D2458" s="2">
        <v>44614</v>
      </c>
      <c r="E2458" t="s">
        <v>25</v>
      </c>
      <c r="F2458">
        <v>1600</v>
      </c>
      <c r="G2458">
        <v>0</v>
      </c>
    </row>
    <row r="2459" spans="1:7" x14ac:dyDescent="0.3">
      <c r="A2459" s="2">
        <v>44614</v>
      </c>
      <c r="B2459" t="s">
        <v>1491</v>
      </c>
      <c r="C2459">
        <v>990</v>
      </c>
      <c r="D2459" s="2">
        <v>44614</v>
      </c>
      <c r="E2459" t="s">
        <v>25</v>
      </c>
      <c r="F2459">
        <v>990</v>
      </c>
      <c r="G2459">
        <v>0</v>
      </c>
    </row>
    <row r="2460" spans="1:7" x14ac:dyDescent="0.3">
      <c r="A2460" s="2">
        <v>44614</v>
      </c>
      <c r="B2460" t="s">
        <v>1489</v>
      </c>
      <c r="C2460">
        <v>550</v>
      </c>
      <c r="D2460" s="2">
        <v>44614</v>
      </c>
      <c r="E2460" t="s">
        <v>25</v>
      </c>
      <c r="F2460">
        <v>550</v>
      </c>
      <c r="G2460">
        <v>0</v>
      </c>
    </row>
    <row r="2461" spans="1:7" x14ac:dyDescent="0.3">
      <c r="A2461" s="2">
        <v>44615</v>
      </c>
      <c r="B2461" t="s">
        <v>1492</v>
      </c>
      <c r="C2461">
        <v>1640</v>
      </c>
      <c r="D2461" s="2">
        <v>44615</v>
      </c>
      <c r="E2461" t="s">
        <v>25</v>
      </c>
      <c r="F2461">
        <v>1640</v>
      </c>
      <c r="G2461">
        <v>0</v>
      </c>
    </row>
    <row r="2462" spans="1:7" x14ac:dyDescent="0.3">
      <c r="A2462" s="2">
        <v>44616</v>
      </c>
      <c r="B2462" t="s">
        <v>1493</v>
      </c>
      <c r="C2462">
        <v>-75.56</v>
      </c>
      <c r="D2462" s="2">
        <v>44616</v>
      </c>
      <c r="E2462" t="s">
        <v>27</v>
      </c>
      <c r="F2462">
        <v>-75.56</v>
      </c>
      <c r="G2462">
        <v>0</v>
      </c>
    </row>
    <row r="2463" spans="1:7" x14ac:dyDescent="0.3">
      <c r="A2463" s="2">
        <v>44616</v>
      </c>
      <c r="B2463" t="s">
        <v>1494</v>
      </c>
      <c r="C2463">
        <v>-75.12</v>
      </c>
      <c r="D2463" s="2">
        <v>44616</v>
      </c>
      <c r="E2463" t="s">
        <v>27</v>
      </c>
      <c r="F2463">
        <v>-75.12</v>
      </c>
      <c r="G2463">
        <v>0</v>
      </c>
    </row>
    <row r="2464" spans="1:7" x14ac:dyDescent="0.3">
      <c r="A2464" s="2">
        <v>44616</v>
      </c>
      <c r="B2464" t="s">
        <v>1495</v>
      </c>
      <c r="C2464">
        <v>2005</v>
      </c>
      <c r="D2464" s="2">
        <v>44616</v>
      </c>
      <c r="E2464" t="s">
        <v>25</v>
      </c>
      <c r="F2464">
        <v>2005</v>
      </c>
      <c r="G2464">
        <v>0</v>
      </c>
    </row>
    <row r="2465" spans="1:7" x14ac:dyDescent="0.3">
      <c r="A2465" s="2">
        <v>44617</v>
      </c>
      <c r="B2465" t="s">
        <v>1496</v>
      </c>
      <c r="C2465">
        <v>1955</v>
      </c>
      <c r="D2465" s="2">
        <v>44617</v>
      </c>
      <c r="E2465" t="s">
        <v>25</v>
      </c>
      <c r="F2465">
        <v>1955</v>
      </c>
      <c r="G2465">
        <v>0</v>
      </c>
    </row>
    <row r="2466" spans="1:7" x14ac:dyDescent="0.3">
      <c r="A2466" s="2">
        <v>44620</v>
      </c>
      <c r="B2466" t="s">
        <v>1497</v>
      </c>
      <c r="C2466">
        <v>540</v>
      </c>
      <c r="D2466" s="2">
        <v>44620</v>
      </c>
      <c r="E2466" t="s">
        <v>25</v>
      </c>
      <c r="F2466">
        <v>540</v>
      </c>
      <c r="G2466">
        <v>0</v>
      </c>
    </row>
    <row r="2467" spans="1:7" x14ac:dyDescent="0.3">
      <c r="A2467" s="2">
        <v>44620</v>
      </c>
      <c r="B2467" t="s">
        <v>1498</v>
      </c>
      <c r="C2467">
        <v>1820</v>
      </c>
      <c r="D2467" s="2">
        <v>44620</v>
      </c>
      <c r="E2467" t="s">
        <v>25</v>
      </c>
      <c r="F2467">
        <v>1820</v>
      </c>
      <c r="G2467">
        <v>0</v>
      </c>
    </row>
    <row r="2468" spans="1:7" x14ac:dyDescent="0.3">
      <c r="A2468" s="2">
        <v>44620</v>
      </c>
      <c r="B2468" t="s">
        <v>1497</v>
      </c>
      <c r="C2468">
        <v>2045</v>
      </c>
      <c r="D2468" s="2">
        <v>44620</v>
      </c>
      <c r="E2468" t="s">
        <v>25</v>
      </c>
      <c r="F2468">
        <v>2045</v>
      </c>
      <c r="G2468">
        <v>0</v>
      </c>
    </row>
    <row r="2469" spans="1:7" x14ac:dyDescent="0.3">
      <c r="A2469" s="2">
        <v>44620</v>
      </c>
      <c r="B2469" t="s">
        <v>1499</v>
      </c>
      <c r="C2469">
        <v>-763</v>
      </c>
      <c r="D2469" s="2">
        <v>44620</v>
      </c>
      <c r="E2469" t="s">
        <v>27</v>
      </c>
      <c r="F2469">
        <v>-763</v>
      </c>
      <c r="G2469">
        <v>0</v>
      </c>
    </row>
    <row r="2470" spans="1:7" x14ac:dyDescent="0.3">
      <c r="A2470" s="2">
        <v>44621</v>
      </c>
      <c r="B2470" t="s">
        <v>1500</v>
      </c>
      <c r="C2470">
        <v>-396.33</v>
      </c>
      <c r="D2470" s="2">
        <v>44621</v>
      </c>
      <c r="E2470" t="s">
        <v>27</v>
      </c>
      <c r="F2470">
        <v>-396.33</v>
      </c>
      <c r="G2470">
        <v>0</v>
      </c>
    </row>
    <row r="2471" spans="1:7" x14ac:dyDescent="0.3">
      <c r="A2471" s="2">
        <v>44621</v>
      </c>
      <c r="B2471" t="s">
        <v>31</v>
      </c>
      <c r="C2471">
        <v>175</v>
      </c>
      <c r="D2471" s="2">
        <v>44621</v>
      </c>
      <c r="E2471" t="s">
        <v>25</v>
      </c>
      <c r="F2471">
        <v>175</v>
      </c>
      <c r="G2471">
        <v>0</v>
      </c>
    </row>
    <row r="2472" spans="1:7" x14ac:dyDescent="0.3">
      <c r="A2472" s="2">
        <v>44621</v>
      </c>
      <c r="B2472" t="s">
        <v>1501</v>
      </c>
      <c r="C2472">
        <v>740</v>
      </c>
      <c r="D2472" s="2">
        <v>44621</v>
      </c>
      <c r="E2472" t="s">
        <v>25</v>
      </c>
      <c r="F2472">
        <v>740</v>
      </c>
      <c r="G2472">
        <v>0</v>
      </c>
    </row>
    <row r="2473" spans="1:7" x14ac:dyDescent="0.3">
      <c r="A2473" s="2">
        <v>44621</v>
      </c>
      <c r="B2473" t="s">
        <v>31</v>
      </c>
      <c r="C2473">
        <v>1210</v>
      </c>
      <c r="D2473" s="2">
        <v>44621</v>
      </c>
      <c r="E2473" t="s">
        <v>25</v>
      </c>
      <c r="F2473">
        <v>1210</v>
      </c>
      <c r="G2473">
        <v>0</v>
      </c>
    </row>
    <row r="2474" spans="1:7" x14ac:dyDescent="0.3">
      <c r="A2474" s="2">
        <v>44621</v>
      </c>
      <c r="B2474" t="s">
        <v>31</v>
      </c>
      <c r="C2474">
        <v>1500</v>
      </c>
      <c r="D2474" s="2">
        <v>44621</v>
      </c>
      <c r="E2474" t="s">
        <v>25</v>
      </c>
      <c r="F2474">
        <v>1500</v>
      </c>
      <c r="G2474">
        <v>0</v>
      </c>
    </row>
    <row r="2475" spans="1:7" x14ac:dyDescent="0.3">
      <c r="A2475" s="2">
        <v>44621</v>
      </c>
      <c r="B2475" t="s">
        <v>31</v>
      </c>
      <c r="C2475">
        <v>1800</v>
      </c>
      <c r="D2475" s="2">
        <v>44621</v>
      </c>
      <c r="E2475" t="s">
        <v>25</v>
      </c>
      <c r="F2475">
        <v>1800</v>
      </c>
      <c r="G2475">
        <v>0</v>
      </c>
    </row>
    <row r="2476" spans="1:7" x14ac:dyDescent="0.3">
      <c r="A2476" s="2">
        <v>44621</v>
      </c>
      <c r="B2476" t="s">
        <v>1502</v>
      </c>
      <c r="C2476">
        <v>-1950</v>
      </c>
      <c r="D2476" s="2">
        <v>44621</v>
      </c>
      <c r="E2476" t="s">
        <v>27</v>
      </c>
      <c r="F2476">
        <v>-1950</v>
      </c>
      <c r="G2476">
        <v>0</v>
      </c>
    </row>
    <row r="2477" spans="1:7" x14ac:dyDescent="0.3">
      <c r="A2477" s="2">
        <v>44621</v>
      </c>
      <c r="B2477" t="s">
        <v>31</v>
      </c>
      <c r="C2477">
        <v>440</v>
      </c>
      <c r="D2477" s="2">
        <v>44621</v>
      </c>
      <c r="E2477" t="s">
        <v>25</v>
      </c>
      <c r="F2477">
        <v>440</v>
      </c>
      <c r="G2477">
        <v>0</v>
      </c>
    </row>
    <row r="2478" spans="1:7" x14ac:dyDescent="0.3">
      <c r="A2478" s="2">
        <v>44622</v>
      </c>
      <c r="B2478" t="s">
        <v>1503</v>
      </c>
      <c r="C2478">
        <v>1505</v>
      </c>
      <c r="D2478" s="2">
        <v>44622</v>
      </c>
      <c r="E2478" t="s">
        <v>25</v>
      </c>
      <c r="F2478">
        <v>1505</v>
      </c>
      <c r="G2478">
        <v>0</v>
      </c>
    </row>
    <row r="2479" spans="1:7" x14ac:dyDescent="0.3">
      <c r="A2479" s="2">
        <v>44622</v>
      </c>
      <c r="B2479" t="s">
        <v>1504</v>
      </c>
      <c r="C2479">
        <v>-30</v>
      </c>
      <c r="D2479" s="2">
        <v>44622</v>
      </c>
      <c r="E2479" t="s">
        <v>27</v>
      </c>
      <c r="F2479">
        <v>-30</v>
      </c>
      <c r="G2479">
        <v>0</v>
      </c>
    </row>
    <row r="2480" spans="1:7" x14ac:dyDescent="0.3">
      <c r="A2480" s="2">
        <v>44622</v>
      </c>
      <c r="B2480" t="s">
        <v>1501</v>
      </c>
      <c r="C2480">
        <v>-1974.68</v>
      </c>
      <c r="D2480" s="2">
        <v>44622</v>
      </c>
      <c r="E2480" t="s">
        <v>27</v>
      </c>
      <c r="F2480">
        <v>-1974.68</v>
      </c>
      <c r="G2480">
        <v>0</v>
      </c>
    </row>
    <row r="2481" spans="1:7" x14ac:dyDescent="0.3">
      <c r="A2481" s="2">
        <v>44623</v>
      </c>
      <c r="B2481" t="s">
        <v>1505</v>
      </c>
      <c r="C2481">
        <v>-103.44</v>
      </c>
      <c r="D2481" s="2">
        <v>44623</v>
      </c>
      <c r="E2481" t="s">
        <v>27</v>
      </c>
      <c r="F2481">
        <v>-103.44</v>
      </c>
      <c r="G2481">
        <v>0</v>
      </c>
    </row>
    <row r="2482" spans="1:7" x14ac:dyDescent="0.3">
      <c r="A2482" s="2">
        <v>44623</v>
      </c>
      <c r="B2482" t="s">
        <v>1506</v>
      </c>
      <c r="C2482">
        <v>1760</v>
      </c>
      <c r="D2482" s="2">
        <v>44623</v>
      </c>
      <c r="E2482" t="s">
        <v>25</v>
      </c>
      <c r="F2482">
        <v>1760</v>
      </c>
      <c r="G2482">
        <v>0</v>
      </c>
    </row>
    <row r="2483" spans="1:7" x14ac:dyDescent="0.3">
      <c r="A2483" s="2">
        <v>44627</v>
      </c>
      <c r="B2483" t="s">
        <v>1507</v>
      </c>
      <c r="C2483">
        <v>250</v>
      </c>
      <c r="D2483" s="2">
        <v>44627</v>
      </c>
      <c r="E2483" t="s">
        <v>25</v>
      </c>
      <c r="F2483">
        <v>250</v>
      </c>
      <c r="G2483">
        <v>0</v>
      </c>
    </row>
    <row r="2484" spans="1:7" x14ac:dyDescent="0.3">
      <c r="A2484" s="2">
        <v>44628</v>
      </c>
      <c r="B2484" t="s">
        <v>1508</v>
      </c>
      <c r="C2484">
        <v>-21.76</v>
      </c>
      <c r="D2484" s="2">
        <v>44628</v>
      </c>
      <c r="E2484" t="s">
        <v>27</v>
      </c>
      <c r="F2484">
        <v>-21.76</v>
      </c>
      <c r="G2484">
        <v>0</v>
      </c>
    </row>
    <row r="2485" spans="1:7" x14ac:dyDescent="0.3">
      <c r="A2485" s="2">
        <v>44629</v>
      </c>
      <c r="B2485" t="s">
        <v>1509</v>
      </c>
      <c r="C2485">
        <v>165</v>
      </c>
      <c r="D2485" s="2">
        <v>44629</v>
      </c>
      <c r="E2485" t="s">
        <v>25</v>
      </c>
      <c r="F2485">
        <v>165</v>
      </c>
      <c r="G2485">
        <v>0</v>
      </c>
    </row>
    <row r="2486" spans="1:7" x14ac:dyDescent="0.3">
      <c r="A2486" s="2">
        <v>44631</v>
      </c>
      <c r="B2486" t="s">
        <v>1510</v>
      </c>
      <c r="C2486">
        <v>300</v>
      </c>
      <c r="D2486" s="2">
        <v>44631</v>
      </c>
      <c r="E2486" t="s">
        <v>25</v>
      </c>
      <c r="F2486">
        <v>300</v>
      </c>
      <c r="G2486">
        <v>0</v>
      </c>
    </row>
    <row r="2487" spans="1:7" x14ac:dyDescent="0.3">
      <c r="A2487" s="2">
        <v>44634</v>
      </c>
      <c r="B2487" t="s">
        <v>1511</v>
      </c>
      <c r="C2487">
        <v>165</v>
      </c>
      <c r="D2487" s="2">
        <v>44634</v>
      </c>
      <c r="E2487" t="s">
        <v>25</v>
      </c>
      <c r="F2487">
        <v>165</v>
      </c>
      <c r="G2487">
        <v>0</v>
      </c>
    </row>
    <row r="2488" spans="1:7" x14ac:dyDescent="0.3">
      <c r="A2488" s="2">
        <v>44634</v>
      </c>
      <c r="B2488" t="s">
        <v>1512</v>
      </c>
      <c r="C2488">
        <v>-150</v>
      </c>
      <c r="D2488" s="2">
        <v>44634</v>
      </c>
      <c r="E2488" t="s">
        <v>27</v>
      </c>
      <c r="F2488">
        <v>-150</v>
      </c>
      <c r="G2488">
        <v>0</v>
      </c>
    </row>
    <row r="2489" spans="1:7" x14ac:dyDescent="0.3">
      <c r="A2489" s="2">
        <v>44636</v>
      </c>
      <c r="B2489" t="s">
        <v>1513</v>
      </c>
      <c r="C2489">
        <v>-109</v>
      </c>
      <c r="D2489" s="2">
        <v>44636</v>
      </c>
      <c r="E2489" t="s">
        <v>27</v>
      </c>
      <c r="F2489">
        <v>-109</v>
      </c>
      <c r="G2489">
        <v>0</v>
      </c>
    </row>
    <row r="2490" spans="1:7" x14ac:dyDescent="0.3">
      <c r="A2490" s="2">
        <v>44638</v>
      </c>
      <c r="B2490" t="s">
        <v>1514</v>
      </c>
      <c r="C2490">
        <v>-9.99</v>
      </c>
      <c r="D2490" s="2">
        <v>44638</v>
      </c>
      <c r="E2490" t="s">
        <v>27</v>
      </c>
      <c r="F2490">
        <v>-9.99</v>
      </c>
      <c r="G2490">
        <v>0</v>
      </c>
    </row>
    <row r="2491" spans="1:7" x14ac:dyDescent="0.3">
      <c r="A2491" s="2">
        <v>44641</v>
      </c>
      <c r="B2491" t="s">
        <v>1515</v>
      </c>
      <c r="C2491">
        <v>390</v>
      </c>
      <c r="D2491" s="2">
        <v>44641</v>
      </c>
      <c r="E2491" t="s">
        <v>25</v>
      </c>
      <c r="F2491">
        <v>390</v>
      </c>
      <c r="G2491">
        <v>0</v>
      </c>
    </row>
    <row r="2492" spans="1:7" x14ac:dyDescent="0.3">
      <c r="A2492" s="2">
        <v>44649</v>
      </c>
      <c r="B2492" t="s">
        <v>1516</v>
      </c>
      <c r="C2492">
        <v>60</v>
      </c>
      <c r="D2492" s="2">
        <v>44649</v>
      </c>
      <c r="E2492" t="s">
        <v>25</v>
      </c>
      <c r="F2492">
        <v>60</v>
      </c>
      <c r="G2492">
        <v>0</v>
      </c>
    </row>
    <row r="2493" spans="1:7" x14ac:dyDescent="0.3">
      <c r="A2493" s="2">
        <v>44651</v>
      </c>
      <c r="B2493" t="s">
        <v>1517</v>
      </c>
      <c r="C2493">
        <v>-1547.94</v>
      </c>
      <c r="D2493" s="2">
        <v>44651</v>
      </c>
      <c r="E2493" t="s">
        <v>27</v>
      </c>
      <c r="F2493">
        <v>-1547.94</v>
      </c>
      <c r="G2493">
        <v>0</v>
      </c>
    </row>
    <row r="2494" spans="1:7" x14ac:dyDescent="0.3">
      <c r="A2494" s="2">
        <v>44651</v>
      </c>
      <c r="B2494" t="s">
        <v>1518</v>
      </c>
      <c r="C2494">
        <v>-1000</v>
      </c>
      <c r="D2494" s="2">
        <v>44651</v>
      </c>
      <c r="E2494" t="s">
        <v>27</v>
      </c>
      <c r="F2494">
        <v>-1000</v>
      </c>
      <c r="G2494">
        <v>0</v>
      </c>
    </row>
    <row r="2495" spans="1:7" x14ac:dyDescent="0.3">
      <c r="A2495" s="2">
        <v>44652</v>
      </c>
      <c r="B2495" t="s">
        <v>1519</v>
      </c>
      <c r="C2495">
        <v>-27049.24</v>
      </c>
      <c r="D2495" s="2">
        <v>44651</v>
      </c>
      <c r="E2495" t="s">
        <v>27</v>
      </c>
      <c r="F2495">
        <v>-27049.24</v>
      </c>
      <c r="G2495">
        <v>0</v>
      </c>
    </row>
    <row r="2496" spans="1:7" x14ac:dyDescent="0.3">
      <c r="A2496" s="2">
        <v>44652</v>
      </c>
      <c r="B2496" t="s">
        <v>1520</v>
      </c>
      <c r="C2496">
        <v>-2000</v>
      </c>
      <c r="D2496" s="2">
        <v>44652</v>
      </c>
      <c r="E2496" t="s">
        <v>27</v>
      </c>
      <c r="F2496">
        <v>-2000</v>
      </c>
      <c r="G2496">
        <v>0</v>
      </c>
    </row>
    <row r="2497" spans="1:7" x14ac:dyDescent="0.3">
      <c r="A2497" s="2">
        <v>44652</v>
      </c>
      <c r="B2497" t="s">
        <v>1521</v>
      </c>
      <c r="C2497">
        <v>-5000</v>
      </c>
      <c r="D2497" s="2">
        <v>44652</v>
      </c>
      <c r="E2497" t="s">
        <v>27</v>
      </c>
      <c r="F2497">
        <v>-5000</v>
      </c>
      <c r="G2497">
        <v>0</v>
      </c>
    </row>
    <row r="2498" spans="1:7" x14ac:dyDescent="0.3">
      <c r="A2498" s="2">
        <v>44652</v>
      </c>
      <c r="B2498" t="s">
        <v>1522</v>
      </c>
      <c r="C2498">
        <v>-21000</v>
      </c>
      <c r="D2498" s="2">
        <v>44651</v>
      </c>
      <c r="E2498" t="s">
        <v>27</v>
      </c>
      <c r="F2498">
        <v>-21000</v>
      </c>
      <c r="G2498">
        <v>0</v>
      </c>
    </row>
    <row r="2499" spans="1:7" x14ac:dyDescent="0.3">
      <c r="A2499" s="2">
        <v>44652</v>
      </c>
      <c r="B2499" t="s">
        <v>1523</v>
      </c>
      <c r="C2499">
        <v>-22250</v>
      </c>
      <c r="D2499" s="2">
        <v>44650</v>
      </c>
      <c r="E2499" t="s">
        <v>27</v>
      </c>
      <c r="F2499">
        <v>-22250</v>
      </c>
      <c r="G2499">
        <v>0</v>
      </c>
    </row>
    <row r="2500" spans="1:7" x14ac:dyDescent="0.3">
      <c r="A2500" s="2">
        <v>44652</v>
      </c>
      <c r="B2500" t="s">
        <v>1524</v>
      </c>
      <c r="C2500">
        <v>-7350</v>
      </c>
      <c r="D2500" s="2">
        <v>44650</v>
      </c>
      <c r="E2500" t="s">
        <v>27</v>
      </c>
      <c r="F2500">
        <v>-7350</v>
      </c>
      <c r="G2500">
        <v>0</v>
      </c>
    </row>
    <row r="2501" spans="1:7" x14ac:dyDescent="0.3">
      <c r="A2501" s="2">
        <v>44652</v>
      </c>
      <c r="B2501" t="s">
        <v>1525</v>
      </c>
      <c r="C2501">
        <v>-50000</v>
      </c>
      <c r="D2501" s="2">
        <v>44651</v>
      </c>
      <c r="E2501" t="s">
        <v>27</v>
      </c>
      <c r="F2501">
        <v>-50000</v>
      </c>
      <c r="G2501">
        <v>0</v>
      </c>
    </row>
    <row r="2502" spans="1:7" x14ac:dyDescent="0.3">
      <c r="A2502" s="2">
        <v>44652</v>
      </c>
      <c r="B2502" t="s">
        <v>1526</v>
      </c>
      <c r="C2502">
        <v>-6100</v>
      </c>
      <c r="D2502" s="2">
        <v>44652</v>
      </c>
      <c r="E2502" t="s">
        <v>27</v>
      </c>
      <c r="F2502">
        <v>-6100</v>
      </c>
      <c r="G2502">
        <v>0</v>
      </c>
    </row>
    <row r="2503" spans="1:7" x14ac:dyDescent="0.3">
      <c r="A2503" s="2">
        <v>44655</v>
      </c>
      <c r="B2503" t="s">
        <v>1527</v>
      </c>
      <c r="C2503">
        <v>123.75</v>
      </c>
      <c r="D2503" s="2">
        <v>44655</v>
      </c>
      <c r="E2503" t="s">
        <v>25</v>
      </c>
      <c r="F2503">
        <v>123.75</v>
      </c>
      <c r="G2503">
        <v>0</v>
      </c>
    </row>
    <row r="2504" spans="1:7" x14ac:dyDescent="0.3">
      <c r="A2504" s="2">
        <v>44655</v>
      </c>
      <c r="B2504" t="s">
        <v>1528</v>
      </c>
      <c r="C2504">
        <v>-136.1</v>
      </c>
      <c r="D2504" s="2">
        <v>44655</v>
      </c>
      <c r="E2504" t="s">
        <v>27</v>
      </c>
      <c r="F2504">
        <v>-136.1</v>
      </c>
      <c r="G2504">
        <v>0</v>
      </c>
    </row>
    <row r="2505" spans="1:7" x14ac:dyDescent="0.3">
      <c r="A2505" s="2">
        <v>44655</v>
      </c>
      <c r="B2505" t="s">
        <v>1527</v>
      </c>
      <c r="C2505">
        <v>495</v>
      </c>
      <c r="D2505" s="2">
        <v>44655</v>
      </c>
      <c r="E2505" t="s">
        <v>25</v>
      </c>
      <c r="F2505">
        <v>495</v>
      </c>
      <c r="G2505">
        <v>0</v>
      </c>
    </row>
    <row r="2506" spans="1:7" x14ac:dyDescent="0.3">
      <c r="A2506" s="2">
        <v>44655</v>
      </c>
      <c r="B2506" t="s">
        <v>1529</v>
      </c>
      <c r="C2506">
        <v>-301.52999999999997</v>
      </c>
      <c r="D2506" s="2">
        <v>44655</v>
      </c>
      <c r="E2506" t="s">
        <v>27</v>
      </c>
      <c r="F2506">
        <v>-301.52999999999997</v>
      </c>
      <c r="G2506">
        <v>0</v>
      </c>
    </row>
    <row r="2507" spans="1:7" x14ac:dyDescent="0.3">
      <c r="A2507" s="2">
        <v>44655</v>
      </c>
      <c r="B2507" t="s">
        <v>1530</v>
      </c>
      <c r="C2507">
        <v>-30</v>
      </c>
      <c r="D2507" s="2">
        <v>44655</v>
      </c>
      <c r="E2507" t="s">
        <v>27</v>
      </c>
      <c r="F2507">
        <v>-30</v>
      </c>
      <c r="G2507">
        <v>0</v>
      </c>
    </row>
    <row r="2508" spans="1:7" x14ac:dyDescent="0.3">
      <c r="A2508" s="2">
        <v>44656</v>
      </c>
      <c r="B2508" t="s">
        <v>1531</v>
      </c>
      <c r="C2508">
        <v>-825</v>
      </c>
      <c r="D2508" s="2">
        <v>44656</v>
      </c>
      <c r="E2508" t="s">
        <v>27</v>
      </c>
      <c r="F2508">
        <v>-825</v>
      </c>
      <c r="G2508">
        <v>0</v>
      </c>
    </row>
    <row r="2509" spans="1:7" x14ac:dyDescent="0.3">
      <c r="A2509" s="2">
        <v>44658</v>
      </c>
      <c r="B2509" t="s">
        <v>1532</v>
      </c>
      <c r="C2509">
        <v>233.75</v>
      </c>
      <c r="D2509" s="2">
        <v>44658</v>
      </c>
      <c r="E2509" t="s">
        <v>25</v>
      </c>
      <c r="F2509">
        <v>233.75</v>
      </c>
      <c r="G2509">
        <v>0</v>
      </c>
    </row>
    <row r="2510" spans="1:7" x14ac:dyDescent="0.3">
      <c r="A2510" s="2">
        <v>44659</v>
      </c>
      <c r="B2510" t="s">
        <v>1533</v>
      </c>
      <c r="C2510">
        <v>-195</v>
      </c>
      <c r="D2510" s="2">
        <v>44659</v>
      </c>
      <c r="E2510" t="s">
        <v>27</v>
      </c>
      <c r="F2510">
        <v>-195</v>
      </c>
      <c r="G2510">
        <v>0</v>
      </c>
    </row>
    <row r="2511" spans="1:7" x14ac:dyDescent="0.3">
      <c r="A2511" s="2">
        <v>44659</v>
      </c>
      <c r="B2511" t="s">
        <v>1533</v>
      </c>
      <c r="C2511">
        <v>690</v>
      </c>
      <c r="D2511" s="2">
        <v>44659</v>
      </c>
      <c r="E2511" t="s">
        <v>25</v>
      </c>
      <c r="F2511">
        <v>690</v>
      </c>
      <c r="G2511">
        <v>0</v>
      </c>
    </row>
    <row r="2512" spans="1:7" x14ac:dyDescent="0.3">
      <c r="A2512" s="2">
        <v>44662</v>
      </c>
      <c r="B2512" t="s">
        <v>1534</v>
      </c>
      <c r="C2512">
        <v>586.08000000000004</v>
      </c>
      <c r="D2512" s="2">
        <v>44662</v>
      </c>
      <c r="E2512" t="s">
        <v>25</v>
      </c>
      <c r="F2512">
        <v>586.08000000000004</v>
      </c>
      <c r="G2512">
        <v>0</v>
      </c>
    </row>
    <row r="2513" spans="1:7" x14ac:dyDescent="0.3">
      <c r="A2513" s="2">
        <v>44662</v>
      </c>
      <c r="B2513" t="s">
        <v>1535</v>
      </c>
      <c r="C2513">
        <v>330</v>
      </c>
      <c r="D2513" s="2">
        <v>44662</v>
      </c>
      <c r="E2513" t="s">
        <v>25</v>
      </c>
      <c r="F2513">
        <v>330</v>
      </c>
      <c r="G2513">
        <v>0</v>
      </c>
    </row>
    <row r="2514" spans="1:7" x14ac:dyDescent="0.3">
      <c r="A2514" s="2">
        <v>44665</v>
      </c>
      <c r="B2514" t="s">
        <v>1536</v>
      </c>
      <c r="C2514">
        <v>25</v>
      </c>
      <c r="D2514" s="2">
        <v>44665</v>
      </c>
      <c r="E2514" t="s">
        <v>25</v>
      </c>
      <c r="F2514">
        <v>25</v>
      </c>
      <c r="G2514">
        <v>0</v>
      </c>
    </row>
    <row r="2515" spans="1:7" x14ac:dyDescent="0.3">
      <c r="A2515" s="2">
        <v>44666</v>
      </c>
      <c r="B2515" t="s">
        <v>1537</v>
      </c>
      <c r="C2515">
        <v>5000</v>
      </c>
      <c r="D2515" s="2">
        <v>44666</v>
      </c>
      <c r="E2515" t="s">
        <v>25</v>
      </c>
      <c r="F2515">
        <v>5000</v>
      </c>
      <c r="G2515">
        <v>0</v>
      </c>
    </row>
    <row r="2516" spans="1:7" x14ac:dyDescent="0.3">
      <c r="A2516" s="2">
        <v>44669</v>
      </c>
      <c r="B2516" t="s">
        <v>1538</v>
      </c>
      <c r="C2516">
        <v>373.75</v>
      </c>
      <c r="D2516" s="2">
        <v>44669</v>
      </c>
      <c r="E2516" t="s">
        <v>25</v>
      </c>
      <c r="F2516">
        <v>373.75</v>
      </c>
      <c r="G2516">
        <v>0</v>
      </c>
    </row>
    <row r="2517" spans="1:7" x14ac:dyDescent="0.3">
      <c r="A2517" s="2">
        <v>44669</v>
      </c>
      <c r="B2517" t="s">
        <v>1539</v>
      </c>
      <c r="C2517">
        <v>165</v>
      </c>
      <c r="D2517" s="2">
        <v>44669</v>
      </c>
      <c r="E2517" t="s">
        <v>25</v>
      </c>
      <c r="F2517">
        <v>165</v>
      </c>
      <c r="G2517">
        <v>0</v>
      </c>
    </row>
    <row r="2518" spans="1:7" x14ac:dyDescent="0.3">
      <c r="A2518" s="2">
        <v>44669</v>
      </c>
      <c r="B2518" t="s">
        <v>1540</v>
      </c>
      <c r="C2518">
        <v>-109</v>
      </c>
      <c r="D2518" s="2">
        <v>44669</v>
      </c>
      <c r="E2518" t="s">
        <v>27</v>
      </c>
      <c r="F2518">
        <v>-109</v>
      </c>
      <c r="G2518">
        <v>0</v>
      </c>
    </row>
    <row r="2519" spans="1:7" x14ac:dyDescent="0.3">
      <c r="A2519" s="2">
        <v>44669</v>
      </c>
      <c r="B2519" t="s">
        <v>1539</v>
      </c>
      <c r="C2519">
        <v>123.75</v>
      </c>
      <c r="D2519" s="2">
        <v>44669</v>
      </c>
      <c r="E2519" t="s">
        <v>25</v>
      </c>
      <c r="F2519">
        <v>123.75</v>
      </c>
      <c r="G2519">
        <v>0</v>
      </c>
    </row>
    <row r="2520" spans="1:7" x14ac:dyDescent="0.3">
      <c r="A2520" s="2">
        <v>44669</v>
      </c>
      <c r="B2520" t="s">
        <v>1541</v>
      </c>
      <c r="C2520">
        <v>-9.99</v>
      </c>
      <c r="D2520" s="2">
        <v>44669</v>
      </c>
      <c r="E2520" t="s">
        <v>27</v>
      </c>
      <c r="F2520">
        <v>-9.99</v>
      </c>
      <c r="G2520">
        <v>0</v>
      </c>
    </row>
    <row r="2521" spans="1:7" x14ac:dyDescent="0.3">
      <c r="A2521" s="2">
        <v>44670</v>
      </c>
      <c r="B2521" t="s">
        <v>1542</v>
      </c>
      <c r="C2521">
        <v>-1004.99</v>
      </c>
      <c r="D2521" s="2">
        <v>44670</v>
      </c>
      <c r="E2521" t="s">
        <v>27</v>
      </c>
      <c r="F2521">
        <v>-1004.99</v>
      </c>
      <c r="G2521">
        <v>0</v>
      </c>
    </row>
    <row r="2522" spans="1:7" x14ac:dyDescent="0.3">
      <c r="A2522" s="2">
        <v>44673</v>
      </c>
      <c r="B2522" t="s">
        <v>1543</v>
      </c>
      <c r="C2522">
        <v>247.5</v>
      </c>
      <c r="D2522" s="2">
        <v>44673</v>
      </c>
      <c r="E2522" t="s">
        <v>25</v>
      </c>
      <c r="F2522">
        <v>247.5</v>
      </c>
      <c r="G2522">
        <v>0</v>
      </c>
    </row>
    <row r="2523" spans="1:7" x14ac:dyDescent="0.3">
      <c r="A2523" s="2">
        <v>44676</v>
      </c>
      <c r="B2523" t="s">
        <v>1544</v>
      </c>
      <c r="C2523">
        <v>123.75</v>
      </c>
      <c r="D2523" s="2">
        <v>44676</v>
      </c>
      <c r="E2523" t="s">
        <v>25</v>
      </c>
      <c r="F2523">
        <v>123.75</v>
      </c>
      <c r="G2523">
        <v>0</v>
      </c>
    </row>
    <row r="2524" spans="1:7" x14ac:dyDescent="0.3">
      <c r="A2524" s="2">
        <v>44676</v>
      </c>
      <c r="B2524" t="s">
        <v>1545</v>
      </c>
      <c r="C2524">
        <v>123.75</v>
      </c>
      <c r="D2524" s="2">
        <v>44676</v>
      </c>
      <c r="E2524" t="s">
        <v>25</v>
      </c>
      <c r="F2524">
        <v>123.75</v>
      </c>
      <c r="G2524">
        <v>0</v>
      </c>
    </row>
    <row r="2525" spans="1:7" x14ac:dyDescent="0.3">
      <c r="A2525" s="2">
        <v>44678</v>
      </c>
      <c r="B2525" t="s">
        <v>1546</v>
      </c>
      <c r="C2525">
        <v>247.5</v>
      </c>
      <c r="D2525" s="2">
        <v>44678</v>
      </c>
      <c r="E2525" t="s">
        <v>25</v>
      </c>
      <c r="F2525">
        <v>247.5</v>
      </c>
      <c r="G2525">
        <v>0</v>
      </c>
    </row>
    <row r="2526" spans="1:7" x14ac:dyDescent="0.3">
      <c r="A2526" s="2">
        <v>44678</v>
      </c>
      <c r="B2526" t="s">
        <v>31</v>
      </c>
      <c r="C2526">
        <v>110</v>
      </c>
      <c r="D2526" s="2">
        <v>44678</v>
      </c>
      <c r="E2526" t="s">
        <v>25</v>
      </c>
      <c r="F2526">
        <v>110</v>
      </c>
      <c r="G2526">
        <v>0</v>
      </c>
    </row>
    <row r="2527" spans="1:7" x14ac:dyDescent="0.3">
      <c r="A2527" s="2">
        <v>44679</v>
      </c>
      <c r="B2527" t="s">
        <v>1547</v>
      </c>
      <c r="C2527">
        <v>1747.5</v>
      </c>
      <c r="D2527" s="2">
        <v>44679</v>
      </c>
      <c r="E2527" t="s">
        <v>25</v>
      </c>
      <c r="F2527">
        <v>1747.5</v>
      </c>
      <c r="G2527">
        <v>0</v>
      </c>
    </row>
    <row r="2528" spans="1:7" x14ac:dyDescent="0.3">
      <c r="A2528" s="2">
        <v>44680</v>
      </c>
      <c r="B2528" t="s">
        <v>1548</v>
      </c>
      <c r="C2528">
        <v>123.75</v>
      </c>
      <c r="D2528" s="2">
        <v>44680</v>
      </c>
      <c r="E2528" t="s">
        <v>25</v>
      </c>
      <c r="F2528">
        <v>123.75</v>
      </c>
      <c r="G2528">
        <v>0</v>
      </c>
    </row>
    <row r="2529" spans="1:7" x14ac:dyDescent="0.3">
      <c r="A2529" s="2">
        <v>44680</v>
      </c>
      <c r="B2529" t="s">
        <v>1549</v>
      </c>
      <c r="C2529">
        <v>-936.33</v>
      </c>
      <c r="D2529" s="2">
        <v>44680</v>
      </c>
      <c r="E2529" t="s">
        <v>27</v>
      </c>
      <c r="F2529">
        <v>-936.33</v>
      </c>
      <c r="G2529">
        <v>0</v>
      </c>
    </row>
    <row r="2530" spans="1:7" x14ac:dyDescent="0.3">
      <c r="A2530" s="2">
        <v>44683</v>
      </c>
      <c r="B2530" t="s">
        <v>1550</v>
      </c>
      <c r="C2530">
        <v>-532.27</v>
      </c>
      <c r="D2530" s="2">
        <v>44683</v>
      </c>
      <c r="E2530" t="s">
        <v>27</v>
      </c>
      <c r="F2530">
        <v>-532.27</v>
      </c>
      <c r="G2530">
        <v>0</v>
      </c>
    </row>
    <row r="2531" spans="1:7" x14ac:dyDescent="0.3">
      <c r="A2531" s="2">
        <v>44683</v>
      </c>
      <c r="B2531" t="s">
        <v>1551</v>
      </c>
      <c r="C2531">
        <v>-30</v>
      </c>
      <c r="D2531" s="2">
        <v>44683</v>
      </c>
      <c r="E2531" t="s">
        <v>27</v>
      </c>
      <c r="F2531">
        <v>-30</v>
      </c>
      <c r="G2531">
        <v>0</v>
      </c>
    </row>
    <row r="2532" spans="1:7" x14ac:dyDescent="0.3">
      <c r="A2532" s="2">
        <v>44683</v>
      </c>
      <c r="B2532" t="s">
        <v>1550</v>
      </c>
      <c r="C2532">
        <v>5000</v>
      </c>
      <c r="D2532" s="2">
        <v>44681</v>
      </c>
      <c r="E2532" t="s">
        <v>25</v>
      </c>
      <c r="F2532">
        <v>5000</v>
      </c>
      <c r="G2532">
        <v>0</v>
      </c>
    </row>
    <row r="2533" spans="1:7" x14ac:dyDescent="0.3">
      <c r="A2533" s="2">
        <v>44683</v>
      </c>
      <c r="B2533" t="s">
        <v>1552</v>
      </c>
      <c r="C2533">
        <v>495</v>
      </c>
      <c r="D2533" s="2">
        <v>44683</v>
      </c>
      <c r="E2533" t="s">
        <v>25</v>
      </c>
      <c r="F2533">
        <v>495</v>
      </c>
      <c r="G2533">
        <v>0</v>
      </c>
    </row>
    <row r="2534" spans="1:7" x14ac:dyDescent="0.3">
      <c r="A2534" s="2">
        <v>44684</v>
      </c>
      <c r="B2534" t="s">
        <v>1553</v>
      </c>
      <c r="C2534">
        <v>20000</v>
      </c>
      <c r="D2534" s="2">
        <v>44681</v>
      </c>
      <c r="E2534" t="s">
        <v>25</v>
      </c>
      <c r="F2534">
        <v>20000</v>
      </c>
      <c r="G2534">
        <v>0</v>
      </c>
    </row>
    <row r="2535" spans="1:7" x14ac:dyDescent="0.3">
      <c r="A2535" s="2">
        <v>44684</v>
      </c>
      <c r="B2535" t="s">
        <v>1554</v>
      </c>
      <c r="C2535">
        <v>-136.1</v>
      </c>
      <c r="D2535" s="2">
        <v>44684</v>
      </c>
      <c r="E2535" t="s">
        <v>27</v>
      </c>
      <c r="F2535">
        <v>-136.1</v>
      </c>
      <c r="G2535">
        <v>0</v>
      </c>
    </row>
    <row r="2536" spans="1:7" x14ac:dyDescent="0.3">
      <c r="A2536" s="2">
        <v>44685</v>
      </c>
      <c r="B2536" t="s">
        <v>318</v>
      </c>
      <c r="C2536">
        <v>-75</v>
      </c>
      <c r="D2536" s="2">
        <v>44685</v>
      </c>
      <c r="E2536" t="s">
        <v>27</v>
      </c>
      <c r="F2536">
        <v>-75</v>
      </c>
      <c r="G2536">
        <v>0</v>
      </c>
    </row>
    <row r="2537" spans="1:7" x14ac:dyDescent="0.3">
      <c r="A2537" s="2">
        <v>44687</v>
      </c>
      <c r="B2537" t="s">
        <v>1555</v>
      </c>
      <c r="C2537">
        <v>275</v>
      </c>
      <c r="D2537" s="2">
        <v>44687</v>
      </c>
      <c r="E2537" t="s">
        <v>25</v>
      </c>
      <c r="F2537">
        <v>275</v>
      </c>
      <c r="G2537">
        <v>0</v>
      </c>
    </row>
    <row r="2538" spans="1:7" x14ac:dyDescent="0.3">
      <c r="A2538" s="2">
        <v>44690</v>
      </c>
      <c r="B2538" t="s">
        <v>1556</v>
      </c>
      <c r="C2538">
        <v>225</v>
      </c>
      <c r="D2538" s="2">
        <v>44690</v>
      </c>
      <c r="E2538" t="s">
        <v>25</v>
      </c>
      <c r="F2538">
        <v>225</v>
      </c>
      <c r="G2538">
        <v>0</v>
      </c>
    </row>
    <row r="2539" spans="1:7" x14ac:dyDescent="0.3">
      <c r="A2539" s="2">
        <v>44692</v>
      </c>
      <c r="B2539" t="s">
        <v>1557</v>
      </c>
      <c r="C2539">
        <v>123.75</v>
      </c>
      <c r="D2539" s="2">
        <v>44692</v>
      </c>
      <c r="E2539" t="s">
        <v>25</v>
      </c>
      <c r="F2539">
        <v>123.75</v>
      </c>
      <c r="G2539">
        <v>0</v>
      </c>
    </row>
    <row r="2540" spans="1:7" x14ac:dyDescent="0.3">
      <c r="A2540" s="2">
        <v>44693</v>
      </c>
      <c r="B2540" t="s">
        <v>1558</v>
      </c>
      <c r="C2540">
        <v>225</v>
      </c>
      <c r="D2540" s="2">
        <v>44693</v>
      </c>
      <c r="E2540" t="s">
        <v>25</v>
      </c>
      <c r="F2540">
        <v>225</v>
      </c>
      <c r="G2540">
        <v>0</v>
      </c>
    </row>
    <row r="2541" spans="1:7" x14ac:dyDescent="0.3">
      <c r="A2541" s="2">
        <v>44694</v>
      </c>
      <c r="B2541" t="s">
        <v>1559</v>
      </c>
      <c r="C2541">
        <v>-599.88</v>
      </c>
      <c r="D2541" s="2">
        <v>44694</v>
      </c>
      <c r="E2541" t="s">
        <v>27</v>
      </c>
      <c r="F2541">
        <v>-599.88</v>
      </c>
      <c r="G2541">
        <v>0</v>
      </c>
    </row>
    <row r="2542" spans="1:7" x14ac:dyDescent="0.3">
      <c r="A2542" s="2">
        <v>44694</v>
      </c>
      <c r="B2542" t="s">
        <v>1560</v>
      </c>
      <c r="C2542">
        <v>-199.39</v>
      </c>
      <c r="D2542" s="2">
        <v>44694</v>
      </c>
      <c r="E2542" t="s">
        <v>27</v>
      </c>
      <c r="F2542">
        <v>-199.39</v>
      </c>
      <c r="G2542">
        <v>0</v>
      </c>
    </row>
    <row r="2543" spans="1:7" x14ac:dyDescent="0.3">
      <c r="A2543" s="2">
        <v>44697</v>
      </c>
      <c r="B2543" t="s">
        <v>1561</v>
      </c>
      <c r="C2543">
        <v>873.75</v>
      </c>
      <c r="D2543" s="2">
        <v>44697</v>
      </c>
      <c r="E2543" t="s">
        <v>25</v>
      </c>
      <c r="F2543">
        <v>873.75</v>
      </c>
      <c r="G2543">
        <v>0</v>
      </c>
    </row>
    <row r="2544" spans="1:7" x14ac:dyDescent="0.3">
      <c r="A2544" s="2">
        <v>44697</v>
      </c>
      <c r="B2544" t="s">
        <v>1562</v>
      </c>
      <c r="C2544">
        <v>165</v>
      </c>
      <c r="D2544" s="2">
        <v>44697</v>
      </c>
      <c r="E2544" t="s">
        <v>25</v>
      </c>
      <c r="F2544">
        <v>165</v>
      </c>
      <c r="G2544">
        <v>0</v>
      </c>
    </row>
    <row r="2545" spans="1:7" x14ac:dyDescent="0.3">
      <c r="A2545" s="2">
        <v>44697</v>
      </c>
      <c r="B2545" t="s">
        <v>1563</v>
      </c>
      <c r="C2545">
        <v>-109</v>
      </c>
      <c r="D2545" s="2">
        <v>44697</v>
      </c>
      <c r="E2545" t="s">
        <v>27</v>
      </c>
      <c r="F2545">
        <v>-109</v>
      </c>
      <c r="G2545">
        <v>0</v>
      </c>
    </row>
    <row r="2546" spans="1:7" x14ac:dyDescent="0.3">
      <c r="A2546" s="2">
        <v>44697</v>
      </c>
      <c r="B2546" t="s">
        <v>1562</v>
      </c>
      <c r="C2546">
        <v>123.75</v>
      </c>
      <c r="D2546" s="2">
        <v>44697</v>
      </c>
      <c r="E2546" t="s">
        <v>25</v>
      </c>
      <c r="F2546">
        <v>123.75</v>
      </c>
      <c r="G2546">
        <v>0</v>
      </c>
    </row>
    <row r="2547" spans="1:7" x14ac:dyDescent="0.3">
      <c r="A2547" s="2">
        <v>44698</v>
      </c>
      <c r="B2547" t="s">
        <v>1564</v>
      </c>
      <c r="C2547">
        <v>123.75</v>
      </c>
      <c r="D2547" s="2">
        <v>44698</v>
      </c>
      <c r="E2547" t="s">
        <v>25</v>
      </c>
      <c r="F2547">
        <v>123.75</v>
      </c>
      <c r="G2547">
        <v>0</v>
      </c>
    </row>
    <row r="2548" spans="1:7" x14ac:dyDescent="0.3">
      <c r="A2548" s="2">
        <v>44699</v>
      </c>
      <c r="B2548" t="s">
        <v>1565</v>
      </c>
      <c r="C2548">
        <v>-9.99</v>
      </c>
      <c r="D2548" s="2">
        <v>44699</v>
      </c>
      <c r="E2548" t="s">
        <v>27</v>
      </c>
      <c r="F2548">
        <v>-9.99</v>
      </c>
      <c r="G2548">
        <v>0</v>
      </c>
    </row>
    <row r="2549" spans="1:7" x14ac:dyDescent="0.3">
      <c r="A2549" s="2">
        <v>44699</v>
      </c>
      <c r="B2549" t="s">
        <v>1566</v>
      </c>
      <c r="C2549">
        <v>-1000</v>
      </c>
      <c r="D2549" s="2">
        <v>44699</v>
      </c>
      <c r="E2549" t="s">
        <v>27</v>
      </c>
      <c r="F2549">
        <v>-1000</v>
      </c>
      <c r="G2549">
        <v>0</v>
      </c>
    </row>
    <row r="2550" spans="1:7" x14ac:dyDescent="0.3">
      <c r="A2550" s="2">
        <v>44700</v>
      </c>
      <c r="B2550" t="s">
        <v>1567</v>
      </c>
      <c r="C2550">
        <v>-13554.91</v>
      </c>
      <c r="D2550" s="2">
        <v>44700</v>
      </c>
      <c r="E2550" t="s">
        <v>27</v>
      </c>
      <c r="F2550">
        <v>-13554.91</v>
      </c>
      <c r="G2550">
        <v>0</v>
      </c>
    </row>
    <row r="2551" spans="1:7" x14ac:dyDescent="0.3">
      <c r="A2551" s="2">
        <v>44700</v>
      </c>
      <c r="B2551" t="s">
        <v>1568</v>
      </c>
      <c r="C2551">
        <v>247.5</v>
      </c>
      <c r="D2551" s="2">
        <v>44700</v>
      </c>
      <c r="E2551" t="s">
        <v>25</v>
      </c>
      <c r="F2551">
        <v>247.5</v>
      </c>
      <c r="G2551">
        <v>0</v>
      </c>
    </row>
    <row r="2552" spans="1:7" x14ac:dyDescent="0.3">
      <c r="A2552" s="2">
        <v>44700</v>
      </c>
      <c r="B2552" t="s">
        <v>1569</v>
      </c>
      <c r="C2552">
        <v>4725</v>
      </c>
      <c r="D2552" s="2">
        <v>44700</v>
      </c>
      <c r="E2552" t="s">
        <v>25</v>
      </c>
      <c r="F2552">
        <v>4725</v>
      </c>
      <c r="G2552">
        <v>0</v>
      </c>
    </row>
    <row r="2553" spans="1:7" x14ac:dyDescent="0.3">
      <c r="A2553" s="2">
        <v>44701</v>
      </c>
      <c r="B2553" t="s">
        <v>1570</v>
      </c>
      <c r="C2553">
        <v>-1000</v>
      </c>
      <c r="D2553" s="2">
        <v>44701</v>
      </c>
      <c r="E2553" t="s">
        <v>27</v>
      </c>
      <c r="F2553">
        <v>-1000</v>
      </c>
      <c r="G2553">
        <v>0</v>
      </c>
    </row>
    <row r="2554" spans="1:7" x14ac:dyDescent="0.3">
      <c r="A2554" s="2">
        <v>44701</v>
      </c>
      <c r="B2554" t="s">
        <v>1571</v>
      </c>
      <c r="C2554">
        <v>-1000</v>
      </c>
      <c r="D2554" s="2">
        <v>44701</v>
      </c>
      <c r="E2554" t="s">
        <v>27</v>
      </c>
      <c r="F2554">
        <v>-1000</v>
      </c>
      <c r="G2554">
        <v>0</v>
      </c>
    </row>
    <row r="2555" spans="1:7" x14ac:dyDescent="0.3">
      <c r="A2555" s="2">
        <v>44701</v>
      </c>
      <c r="B2555" t="s">
        <v>1572</v>
      </c>
      <c r="C2555">
        <v>25</v>
      </c>
      <c r="D2555" s="2">
        <v>44701</v>
      </c>
      <c r="E2555" t="s">
        <v>25</v>
      </c>
      <c r="F2555">
        <v>25</v>
      </c>
      <c r="G2555">
        <v>0</v>
      </c>
    </row>
    <row r="2556" spans="1:7" x14ac:dyDescent="0.3">
      <c r="A2556" s="2">
        <v>44701</v>
      </c>
      <c r="B2556" t="s">
        <v>1572</v>
      </c>
      <c r="C2556">
        <v>0.04</v>
      </c>
      <c r="D2556" s="2">
        <v>44701</v>
      </c>
      <c r="E2556" t="s">
        <v>25</v>
      </c>
      <c r="F2556">
        <v>0.04</v>
      </c>
      <c r="G2556">
        <v>0</v>
      </c>
    </row>
    <row r="2557" spans="1:7" x14ac:dyDescent="0.3">
      <c r="A2557" s="2">
        <v>44704</v>
      </c>
      <c r="B2557" t="s">
        <v>1573</v>
      </c>
      <c r="C2557">
        <v>123.75</v>
      </c>
      <c r="D2557" s="2">
        <v>44704</v>
      </c>
      <c r="E2557" t="s">
        <v>25</v>
      </c>
      <c r="F2557">
        <v>123.75</v>
      </c>
      <c r="G2557">
        <v>0</v>
      </c>
    </row>
    <row r="2558" spans="1:7" x14ac:dyDescent="0.3">
      <c r="A2558" s="2">
        <v>44706</v>
      </c>
      <c r="B2558" t="s">
        <v>1574</v>
      </c>
      <c r="C2558">
        <v>165</v>
      </c>
      <c r="D2558" s="2">
        <v>44706</v>
      </c>
      <c r="E2558" t="s">
        <v>25</v>
      </c>
      <c r="F2558">
        <v>165</v>
      </c>
      <c r="G2558">
        <v>0</v>
      </c>
    </row>
    <row r="2559" spans="1:7" x14ac:dyDescent="0.3">
      <c r="A2559" s="2">
        <v>44707</v>
      </c>
      <c r="B2559" t="s">
        <v>1575</v>
      </c>
      <c r="C2559">
        <v>-195.82</v>
      </c>
      <c r="D2559" s="2">
        <v>44707</v>
      </c>
      <c r="E2559" t="s">
        <v>27</v>
      </c>
      <c r="F2559">
        <v>-195.82</v>
      </c>
      <c r="G2559">
        <v>0</v>
      </c>
    </row>
    <row r="2560" spans="1:7" x14ac:dyDescent="0.3">
      <c r="A2560" s="2">
        <v>44708</v>
      </c>
      <c r="B2560" t="s">
        <v>1576</v>
      </c>
      <c r="C2560">
        <v>247.5</v>
      </c>
      <c r="D2560" s="2">
        <v>44708</v>
      </c>
      <c r="E2560" t="s">
        <v>25</v>
      </c>
      <c r="F2560">
        <v>247.5</v>
      </c>
      <c r="G2560">
        <v>0</v>
      </c>
    </row>
    <row r="2561" spans="1:7" x14ac:dyDescent="0.3">
      <c r="A2561" s="2">
        <v>44712</v>
      </c>
      <c r="B2561" t="s">
        <v>1577</v>
      </c>
      <c r="C2561">
        <v>123.75</v>
      </c>
      <c r="D2561" s="2">
        <v>44712</v>
      </c>
      <c r="E2561" t="s">
        <v>25</v>
      </c>
      <c r="F2561">
        <v>123.75</v>
      </c>
      <c r="G2561">
        <v>0</v>
      </c>
    </row>
    <row r="2562" spans="1:7" x14ac:dyDescent="0.3">
      <c r="A2562" s="2">
        <v>44713</v>
      </c>
      <c r="B2562" t="s">
        <v>1578</v>
      </c>
      <c r="C2562">
        <v>123.75</v>
      </c>
      <c r="D2562" s="2">
        <v>44713</v>
      </c>
      <c r="E2562" t="s">
        <v>25</v>
      </c>
      <c r="F2562">
        <v>123.75</v>
      </c>
      <c r="G2562">
        <v>0</v>
      </c>
    </row>
    <row r="2563" spans="1:7" x14ac:dyDescent="0.3">
      <c r="A2563" s="2">
        <v>44714</v>
      </c>
      <c r="B2563" t="s">
        <v>1579</v>
      </c>
      <c r="C2563">
        <v>-30</v>
      </c>
      <c r="D2563" s="2">
        <v>44714</v>
      </c>
      <c r="E2563" t="s">
        <v>27</v>
      </c>
      <c r="F2563">
        <v>-30</v>
      </c>
      <c r="G2563">
        <v>0</v>
      </c>
    </row>
    <row r="2564" spans="1:7" x14ac:dyDescent="0.3">
      <c r="A2564" s="2">
        <v>44714</v>
      </c>
      <c r="B2564" t="s">
        <v>1578</v>
      </c>
      <c r="C2564">
        <v>-201.69</v>
      </c>
      <c r="D2564" s="2">
        <v>44714</v>
      </c>
      <c r="E2564" t="s">
        <v>27</v>
      </c>
      <c r="F2564">
        <v>-201.69</v>
      </c>
      <c r="G2564">
        <v>0</v>
      </c>
    </row>
    <row r="2565" spans="1:7" x14ac:dyDescent="0.3">
      <c r="A2565" s="2">
        <v>44715</v>
      </c>
      <c r="B2565" t="s">
        <v>1580</v>
      </c>
      <c r="C2565">
        <v>123.75</v>
      </c>
      <c r="D2565" s="2">
        <v>44715</v>
      </c>
      <c r="E2565" t="s">
        <v>25</v>
      </c>
      <c r="F2565">
        <v>123.75</v>
      </c>
      <c r="G2565">
        <v>0</v>
      </c>
    </row>
    <row r="2566" spans="1:7" x14ac:dyDescent="0.3">
      <c r="A2566" s="2">
        <v>44715</v>
      </c>
      <c r="B2566" t="s">
        <v>1581</v>
      </c>
      <c r="C2566">
        <v>-136.1</v>
      </c>
      <c r="D2566" s="2">
        <v>44715</v>
      </c>
      <c r="E2566" t="s">
        <v>27</v>
      </c>
      <c r="F2566">
        <v>-136.1</v>
      </c>
      <c r="G2566">
        <v>0</v>
      </c>
    </row>
    <row r="2567" spans="1:7" x14ac:dyDescent="0.3">
      <c r="A2567" s="2">
        <v>44718</v>
      </c>
      <c r="B2567" t="s">
        <v>1582</v>
      </c>
      <c r="C2567">
        <v>288.75</v>
      </c>
      <c r="D2567" s="2">
        <v>44718</v>
      </c>
      <c r="E2567" t="s">
        <v>25</v>
      </c>
      <c r="F2567">
        <v>288.75</v>
      </c>
      <c r="G2567">
        <v>0</v>
      </c>
    </row>
    <row r="2568" spans="1:7" x14ac:dyDescent="0.3">
      <c r="A2568" s="2">
        <v>44718</v>
      </c>
      <c r="B2568" t="s">
        <v>1583</v>
      </c>
      <c r="C2568">
        <v>-50.97</v>
      </c>
      <c r="D2568" s="2">
        <v>44718</v>
      </c>
      <c r="E2568" t="s">
        <v>27</v>
      </c>
      <c r="F2568">
        <v>-50.97</v>
      </c>
      <c r="G2568">
        <v>0</v>
      </c>
    </row>
    <row r="2569" spans="1:7" x14ac:dyDescent="0.3">
      <c r="A2569" s="2">
        <v>44718</v>
      </c>
      <c r="B2569" t="s">
        <v>1584</v>
      </c>
      <c r="C2569">
        <v>-381.05</v>
      </c>
      <c r="D2569" s="2">
        <v>44718</v>
      </c>
      <c r="E2569" t="s">
        <v>27</v>
      </c>
      <c r="F2569">
        <v>-381.05</v>
      </c>
      <c r="G2569">
        <v>0</v>
      </c>
    </row>
    <row r="2570" spans="1:7" x14ac:dyDescent="0.3">
      <c r="A2570" s="2">
        <v>44719</v>
      </c>
      <c r="B2570" t="s">
        <v>1585</v>
      </c>
      <c r="C2570">
        <v>-28.4</v>
      </c>
      <c r="D2570" s="2">
        <v>44719</v>
      </c>
      <c r="E2570" t="s">
        <v>27</v>
      </c>
      <c r="F2570">
        <v>-28.4</v>
      </c>
      <c r="G2570">
        <v>0</v>
      </c>
    </row>
    <row r="2571" spans="1:7" x14ac:dyDescent="0.3">
      <c r="A2571" s="2">
        <v>44720</v>
      </c>
      <c r="B2571" t="s">
        <v>1586</v>
      </c>
      <c r="C2571">
        <v>123.75</v>
      </c>
      <c r="D2571" s="2">
        <v>44720</v>
      </c>
      <c r="E2571" t="s">
        <v>25</v>
      </c>
      <c r="F2571">
        <v>123.75</v>
      </c>
      <c r="G2571">
        <v>0</v>
      </c>
    </row>
    <row r="2572" spans="1:7" x14ac:dyDescent="0.3">
      <c r="A2572" s="2">
        <v>44721</v>
      </c>
      <c r="B2572" t="s">
        <v>1587</v>
      </c>
      <c r="C2572">
        <v>123.75</v>
      </c>
      <c r="D2572" s="2">
        <v>44721</v>
      </c>
      <c r="E2572" t="s">
        <v>25</v>
      </c>
      <c r="F2572">
        <v>123.75</v>
      </c>
      <c r="G2572">
        <v>0</v>
      </c>
    </row>
    <row r="2573" spans="1:7" x14ac:dyDescent="0.3">
      <c r="A2573" s="2">
        <v>44722</v>
      </c>
      <c r="B2573" t="s">
        <v>1588</v>
      </c>
      <c r="C2573">
        <v>1725</v>
      </c>
      <c r="D2573" s="2">
        <v>44722</v>
      </c>
      <c r="E2573" t="s">
        <v>25</v>
      </c>
      <c r="F2573">
        <v>1725</v>
      </c>
      <c r="G2573">
        <v>0</v>
      </c>
    </row>
    <row r="2574" spans="1:7" x14ac:dyDescent="0.3">
      <c r="A2574" s="2">
        <v>44725</v>
      </c>
      <c r="B2574" t="s">
        <v>1589</v>
      </c>
      <c r="C2574">
        <v>233.75</v>
      </c>
      <c r="D2574" s="2">
        <v>44725</v>
      </c>
      <c r="E2574" t="s">
        <v>25</v>
      </c>
      <c r="F2574">
        <v>233.75</v>
      </c>
      <c r="G2574">
        <v>0</v>
      </c>
    </row>
    <row r="2575" spans="1:7" x14ac:dyDescent="0.3">
      <c r="A2575" s="2">
        <v>44725</v>
      </c>
      <c r="B2575" t="s">
        <v>1590</v>
      </c>
      <c r="C2575">
        <v>420</v>
      </c>
      <c r="D2575" s="2">
        <v>44725</v>
      </c>
      <c r="E2575" t="s">
        <v>25</v>
      </c>
      <c r="F2575">
        <v>420</v>
      </c>
      <c r="G2575">
        <v>0</v>
      </c>
    </row>
    <row r="2576" spans="1:7" x14ac:dyDescent="0.3">
      <c r="A2576" s="2">
        <v>44725</v>
      </c>
      <c r="B2576" t="s">
        <v>1589</v>
      </c>
      <c r="C2576">
        <v>220</v>
      </c>
      <c r="D2576" s="2">
        <v>44725</v>
      </c>
      <c r="E2576" t="s">
        <v>25</v>
      </c>
      <c r="F2576">
        <v>220</v>
      </c>
      <c r="G2576">
        <v>0</v>
      </c>
    </row>
    <row r="2577" spans="1:7" x14ac:dyDescent="0.3">
      <c r="A2577" s="2">
        <v>44726</v>
      </c>
      <c r="B2577" t="s">
        <v>1591</v>
      </c>
      <c r="C2577">
        <v>530</v>
      </c>
      <c r="D2577" s="2">
        <v>44726</v>
      </c>
      <c r="E2577" t="s">
        <v>25</v>
      </c>
      <c r="F2577">
        <v>530</v>
      </c>
      <c r="G2577">
        <v>0</v>
      </c>
    </row>
    <row r="2578" spans="1:7" x14ac:dyDescent="0.3">
      <c r="A2578" s="2">
        <v>44727</v>
      </c>
      <c r="B2578" t="s">
        <v>1592</v>
      </c>
      <c r="C2578">
        <v>1011.25</v>
      </c>
      <c r="D2578" s="2">
        <v>44727</v>
      </c>
      <c r="E2578" t="s">
        <v>25</v>
      </c>
      <c r="F2578">
        <v>1011.25</v>
      </c>
      <c r="G2578">
        <v>0</v>
      </c>
    </row>
    <row r="2579" spans="1:7" x14ac:dyDescent="0.3">
      <c r="A2579" s="2">
        <v>44728</v>
      </c>
      <c r="B2579" t="s">
        <v>1593</v>
      </c>
      <c r="C2579">
        <v>1117.5</v>
      </c>
      <c r="D2579" s="2">
        <v>44728</v>
      </c>
      <c r="E2579" t="s">
        <v>25</v>
      </c>
      <c r="F2579">
        <v>1117.5</v>
      </c>
      <c r="G2579">
        <v>0</v>
      </c>
    </row>
    <row r="2580" spans="1:7" x14ac:dyDescent="0.3">
      <c r="A2580" s="2">
        <v>44728</v>
      </c>
      <c r="B2580" t="s">
        <v>1594</v>
      </c>
      <c r="C2580">
        <v>-109</v>
      </c>
      <c r="D2580" s="2">
        <v>44728</v>
      </c>
      <c r="E2580" t="s">
        <v>27</v>
      </c>
      <c r="F2580">
        <v>-109</v>
      </c>
      <c r="G2580">
        <v>0</v>
      </c>
    </row>
    <row r="2581" spans="1:7" x14ac:dyDescent="0.3">
      <c r="A2581" s="2">
        <v>44733</v>
      </c>
      <c r="B2581" t="s">
        <v>1595</v>
      </c>
      <c r="C2581">
        <v>330</v>
      </c>
      <c r="D2581" s="2">
        <v>44733</v>
      </c>
      <c r="E2581" t="s">
        <v>25</v>
      </c>
      <c r="F2581">
        <v>330</v>
      </c>
      <c r="G2581">
        <v>0</v>
      </c>
    </row>
    <row r="2582" spans="1:7" x14ac:dyDescent="0.3">
      <c r="A2582" s="2">
        <v>44733</v>
      </c>
      <c r="B2582" t="s">
        <v>1596</v>
      </c>
      <c r="C2582">
        <v>-10.88</v>
      </c>
      <c r="D2582" s="2">
        <v>44733</v>
      </c>
      <c r="E2582" t="s">
        <v>27</v>
      </c>
      <c r="F2582">
        <v>-10.88</v>
      </c>
      <c r="G2582">
        <v>0</v>
      </c>
    </row>
    <row r="2583" spans="1:7" x14ac:dyDescent="0.3">
      <c r="A2583" s="2">
        <v>44733</v>
      </c>
      <c r="B2583" t="s">
        <v>1597</v>
      </c>
      <c r="C2583">
        <v>653.75</v>
      </c>
      <c r="D2583" s="2">
        <v>44733</v>
      </c>
      <c r="E2583" t="s">
        <v>25</v>
      </c>
      <c r="F2583">
        <v>653.75</v>
      </c>
      <c r="G2583">
        <v>0</v>
      </c>
    </row>
    <row r="2584" spans="1:7" x14ac:dyDescent="0.3">
      <c r="A2584" s="2">
        <v>44733</v>
      </c>
      <c r="B2584" t="s">
        <v>1597</v>
      </c>
      <c r="C2584">
        <v>543.75</v>
      </c>
      <c r="D2584" s="2">
        <v>44733</v>
      </c>
      <c r="E2584" t="s">
        <v>25</v>
      </c>
      <c r="F2584">
        <v>543.75</v>
      </c>
      <c r="G2584">
        <v>0</v>
      </c>
    </row>
    <row r="2585" spans="1:7" x14ac:dyDescent="0.3">
      <c r="A2585" s="2">
        <v>44734</v>
      </c>
      <c r="B2585" t="s">
        <v>1598</v>
      </c>
      <c r="C2585">
        <v>440</v>
      </c>
      <c r="D2585" s="2">
        <v>44734</v>
      </c>
      <c r="E2585" t="s">
        <v>25</v>
      </c>
      <c r="F2585">
        <v>440</v>
      </c>
      <c r="G2585">
        <v>0</v>
      </c>
    </row>
    <row r="2586" spans="1:7" x14ac:dyDescent="0.3">
      <c r="A2586" s="2">
        <v>44735</v>
      </c>
      <c r="B2586" t="s">
        <v>1599</v>
      </c>
      <c r="C2586">
        <v>1248.75</v>
      </c>
      <c r="D2586" s="2">
        <v>44735</v>
      </c>
      <c r="E2586" t="s">
        <v>25</v>
      </c>
      <c r="F2586">
        <v>1248.75</v>
      </c>
      <c r="G2586">
        <v>0</v>
      </c>
    </row>
    <row r="2587" spans="1:7" x14ac:dyDescent="0.3">
      <c r="A2587" s="2">
        <v>44739</v>
      </c>
      <c r="B2587" t="s">
        <v>1600</v>
      </c>
      <c r="C2587">
        <v>577.5</v>
      </c>
      <c r="D2587" s="2">
        <v>44739</v>
      </c>
      <c r="E2587" t="s">
        <v>25</v>
      </c>
      <c r="F2587">
        <v>577.5</v>
      </c>
      <c r="G2587">
        <v>0</v>
      </c>
    </row>
    <row r="2588" spans="1:7" x14ac:dyDescent="0.3">
      <c r="A2588" s="2">
        <v>44739</v>
      </c>
      <c r="B2588" t="s">
        <v>1601</v>
      </c>
      <c r="C2588">
        <v>233.75</v>
      </c>
      <c r="D2588" s="2">
        <v>44739</v>
      </c>
      <c r="E2588" t="s">
        <v>25</v>
      </c>
      <c r="F2588">
        <v>233.75</v>
      </c>
      <c r="G2588">
        <v>0</v>
      </c>
    </row>
    <row r="2589" spans="1:7" x14ac:dyDescent="0.3">
      <c r="A2589" s="2">
        <v>44740</v>
      </c>
      <c r="B2589" t="s">
        <v>1602</v>
      </c>
      <c r="C2589">
        <v>110</v>
      </c>
      <c r="D2589" s="2">
        <v>44740</v>
      </c>
      <c r="E2589" t="s">
        <v>25</v>
      </c>
      <c r="F2589">
        <v>110</v>
      </c>
      <c r="G2589">
        <v>0</v>
      </c>
    </row>
    <row r="2590" spans="1:7" x14ac:dyDescent="0.3">
      <c r="A2590" s="2">
        <v>44741</v>
      </c>
      <c r="B2590" t="s">
        <v>1603</v>
      </c>
      <c r="C2590">
        <v>110</v>
      </c>
      <c r="D2590" s="2">
        <v>44741</v>
      </c>
      <c r="E2590" t="s">
        <v>25</v>
      </c>
      <c r="F2590">
        <v>110</v>
      </c>
      <c r="G2590">
        <v>0</v>
      </c>
    </row>
    <row r="2591" spans="1:7" x14ac:dyDescent="0.3">
      <c r="A2591" s="2">
        <v>44743</v>
      </c>
      <c r="B2591" t="s">
        <v>1604</v>
      </c>
      <c r="C2591">
        <v>1733.75</v>
      </c>
      <c r="D2591" s="2">
        <v>44743</v>
      </c>
      <c r="E2591" t="s">
        <v>25</v>
      </c>
      <c r="F2591">
        <v>1733.75</v>
      </c>
      <c r="G2591">
        <v>0</v>
      </c>
    </row>
    <row r="2592" spans="1:7" x14ac:dyDescent="0.3">
      <c r="A2592" s="2">
        <v>44747</v>
      </c>
      <c r="B2592" t="s">
        <v>1605</v>
      </c>
      <c r="C2592">
        <v>430</v>
      </c>
      <c r="D2592" s="2">
        <v>44747</v>
      </c>
      <c r="E2592" t="s">
        <v>25</v>
      </c>
      <c r="F2592">
        <v>430</v>
      </c>
      <c r="G2592">
        <v>0</v>
      </c>
    </row>
    <row r="2593" spans="1:7" x14ac:dyDescent="0.3">
      <c r="A2593" s="2">
        <v>44747</v>
      </c>
      <c r="B2593" t="s">
        <v>1606</v>
      </c>
      <c r="C2593">
        <v>-35.159999999999997</v>
      </c>
      <c r="D2593" s="2">
        <v>44747</v>
      </c>
      <c r="E2593" t="s">
        <v>27</v>
      </c>
      <c r="F2593">
        <v>-35.159999999999997</v>
      </c>
      <c r="G2593">
        <v>0</v>
      </c>
    </row>
    <row r="2594" spans="1:7" x14ac:dyDescent="0.3">
      <c r="A2594" s="2">
        <v>44747</v>
      </c>
      <c r="B2594" t="s">
        <v>1604</v>
      </c>
      <c r="C2594">
        <v>-545.9</v>
      </c>
      <c r="D2594" s="2">
        <v>44747</v>
      </c>
      <c r="E2594" t="s">
        <v>27</v>
      </c>
      <c r="F2594">
        <v>-545.9</v>
      </c>
      <c r="G2594">
        <v>0</v>
      </c>
    </row>
    <row r="2595" spans="1:7" x14ac:dyDescent="0.3">
      <c r="A2595" s="2">
        <v>44747</v>
      </c>
      <c r="B2595" t="s">
        <v>1607</v>
      </c>
      <c r="C2595">
        <v>-136.1</v>
      </c>
      <c r="D2595" s="2">
        <v>44747</v>
      </c>
      <c r="E2595" t="s">
        <v>27</v>
      </c>
      <c r="F2595">
        <v>-136.1</v>
      </c>
      <c r="G2595">
        <v>0</v>
      </c>
    </row>
    <row r="2596" spans="1:7" x14ac:dyDescent="0.3">
      <c r="A2596" s="2">
        <v>44747</v>
      </c>
      <c r="B2596" t="s">
        <v>1608</v>
      </c>
      <c r="C2596">
        <v>550</v>
      </c>
      <c r="D2596" s="2">
        <v>44747</v>
      </c>
      <c r="E2596" t="s">
        <v>25</v>
      </c>
      <c r="F2596">
        <v>550</v>
      </c>
      <c r="G2596">
        <v>0</v>
      </c>
    </row>
    <row r="2597" spans="1:7" x14ac:dyDescent="0.3">
      <c r="A2597" s="2">
        <v>44747</v>
      </c>
      <c r="B2597" t="s">
        <v>1609</v>
      </c>
      <c r="C2597">
        <v>3.56</v>
      </c>
      <c r="D2597" s="2">
        <v>44747</v>
      </c>
      <c r="E2597" t="s">
        <v>25</v>
      </c>
      <c r="F2597">
        <v>3.56</v>
      </c>
      <c r="G2597">
        <v>0</v>
      </c>
    </row>
    <row r="2598" spans="1:7" x14ac:dyDescent="0.3">
      <c r="A2598" s="2">
        <v>44747</v>
      </c>
      <c r="B2598" t="s">
        <v>1610</v>
      </c>
      <c r="C2598">
        <v>10.81</v>
      </c>
      <c r="D2598" s="2">
        <v>44747</v>
      </c>
      <c r="E2598" t="s">
        <v>25</v>
      </c>
      <c r="F2598">
        <v>10.81</v>
      </c>
      <c r="G2598">
        <v>0</v>
      </c>
    </row>
    <row r="2599" spans="1:7" x14ac:dyDescent="0.3">
      <c r="A2599" s="2">
        <v>44747</v>
      </c>
      <c r="B2599" t="s">
        <v>1611</v>
      </c>
      <c r="C2599">
        <v>3.71</v>
      </c>
      <c r="D2599" s="2">
        <v>44747</v>
      </c>
      <c r="E2599" t="s">
        <v>25</v>
      </c>
      <c r="F2599">
        <v>3.71</v>
      </c>
      <c r="G2599">
        <v>0</v>
      </c>
    </row>
    <row r="2600" spans="1:7" x14ac:dyDescent="0.3">
      <c r="A2600" s="2">
        <v>44747</v>
      </c>
      <c r="B2600" t="s">
        <v>1612</v>
      </c>
      <c r="C2600">
        <v>1420</v>
      </c>
      <c r="D2600" s="2">
        <v>44747</v>
      </c>
      <c r="E2600" t="s">
        <v>25</v>
      </c>
      <c r="F2600">
        <v>1420</v>
      </c>
      <c r="G2600">
        <v>0</v>
      </c>
    </row>
    <row r="2601" spans="1:7" x14ac:dyDescent="0.3">
      <c r="A2601" s="2">
        <v>44747</v>
      </c>
      <c r="B2601" t="s">
        <v>1613</v>
      </c>
      <c r="C2601">
        <v>7.21</v>
      </c>
      <c r="D2601" s="2">
        <v>44747</v>
      </c>
      <c r="E2601" t="s">
        <v>25</v>
      </c>
      <c r="F2601">
        <v>7.21</v>
      </c>
      <c r="G2601">
        <v>0</v>
      </c>
    </row>
    <row r="2602" spans="1:7" x14ac:dyDescent="0.3">
      <c r="A2602" s="2">
        <v>44747</v>
      </c>
      <c r="B2602" t="s">
        <v>1614</v>
      </c>
      <c r="C2602">
        <v>9.9</v>
      </c>
      <c r="D2602" s="2">
        <v>44747</v>
      </c>
      <c r="E2602" t="s">
        <v>25</v>
      </c>
      <c r="F2602">
        <v>9.9</v>
      </c>
      <c r="G2602">
        <v>0</v>
      </c>
    </row>
    <row r="2603" spans="1:7" x14ac:dyDescent="0.3">
      <c r="A2603" s="2">
        <v>44747</v>
      </c>
      <c r="B2603" t="s">
        <v>1615</v>
      </c>
      <c r="C2603">
        <v>25.43</v>
      </c>
      <c r="D2603" s="2">
        <v>44747</v>
      </c>
      <c r="E2603" t="s">
        <v>25</v>
      </c>
      <c r="F2603">
        <v>25.43</v>
      </c>
      <c r="G2603">
        <v>0</v>
      </c>
    </row>
    <row r="2604" spans="1:7" x14ac:dyDescent="0.3">
      <c r="A2604" s="2">
        <v>44747</v>
      </c>
      <c r="B2604" t="s">
        <v>1616</v>
      </c>
      <c r="C2604">
        <v>11.88</v>
      </c>
      <c r="D2604" s="2">
        <v>44747</v>
      </c>
      <c r="E2604" t="s">
        <v>25</v>
      </c>
      <c r="F2604">
        <v>11.88</v>
      </c>
      <c r="G2604">
        <v>0</v>
      </c>
    </row>
    <row r="2605" spans="1:7" x14ac:dyDescent="0.3">
      <c r="A2605" s="2">
        <v>44748</v>
      </c>
      <c r="B2605" t="s">
        <v>1617</v>
      </c>
      <c r="C2605">
        <v>360</v>
      </c>
      <c r="D2605" s="2">
        <v>44748</v>
      </c>
      <c r="E2605" t="s">
        <v>25</v>
      </c>
      <c r="F2605">
        <v>360</v>
      </c>
      <c r="G2605">
        <v>0</v>
      </c>
    </row>
    <row r="2606" spans="1:7" x14ac:dyDescent="0.3">
      <c r="A2606" s="2">
        <v>44749</v>
      </c>
      <c r="B2606" t="s">
        <v>1618</v>
      </c>
      <c r="C2606">
        <v>1680</v>
      </c>
      <c r="D2606" s="2">
        <v>44749</v>
      </c>
      <c r="E2606" t="s">
        <v>25</v>
      </c>
      <c r="F2606">
        <v>1680</v>
      </c>
      <c r="G2606">
        <v>0</v>
      </c>
    </row>
    <row r="2607" spans="1:7" x14ac:dyDescent="0.3">
      <c r="A2607" s="2">
        <v>44750</v>
      </c>
      <c r="B2607" t="s">
        <v>1619</v>
      </c>
      <c r="C2607">
        <v>440</v>
      </c>
      <c r="D2607" s="2">
        <v>44750</v>
      </c>
      <c r="E2607" t="s">
        <v>25</v>
      </c>
      <c r="F2607">
        <v>440</v>
      </c>
      <c r="G2607">
        <v>0</v>
      </c>
    </row>
    <row r="2608" spans="1:7" x14ac:dyDescent="0.3">
      <c r="A2608" s="2">
        <v>44753</v>
      </c>
      <c r="B2608" t="s">
        <v>1620</v>
      </c>
      <c r="C2608">
        <v>302.5</v>
      </c>
      <c r="D2608" s="2">
        <v>44753</v>
      </c>
      <c r="E2608" t="s">
        <v>25</v>
      </c>
      <c r="F2608">
        <v>302.5</v>
      </c>
      <c r="G2608">
        <v>0</v>
      </c>
    </row>
    <row r="2609" spans="1:7" x14ac:dyDescent="0.3">
      <c r="A2609" s="2">
        <v>44753</v>
      </c>
      <c r="B2609" t="s">
        <v>1621</v>
      </c>
      <c r="C2609">
        <v>440</v>
      </c>
      <c r="D2609" s="2">
        <v>44753</v>
      </c>
      <c r="E2609" t="s">
        <v>25</v>
      </c>
      <c r="F2609">
        <v>440</v>
      </c>
      <c r="G2609">
        <v>0</v>
      </c>
    </row>
    <row r="2610" spans="1:7" x14ac:dyDescent="0.3">
      <c r="A2610" s="2">
        <v>44753</v>
      </c>
      <c r="B2610" t="s">
        <v>1620</v>
      </c>
      <c r="C2610">
        <v>1042.5</v>
      </c>
      <c r="D2610" s="2">
        <v>44753</v>
      </c>
      <c r="E2610" t="s">
        <v>25</v>
      </c>
      <c r="F2610">
        <v>1042.5</v>
      </c>
      <c r="G2610">
        <v>0</v>
      </c>
    </row>
    <row r="2611" spans="1:7" x14ac:dyDescent="0.3">
      <c r="A2611" s="2">
        <v>44754</v>
      </c>
      <c r="B2611" t="s">
        <v>1622</v>
      </c>
      <c r="C2611">
        <v>750</v>
      </c>
      <c r="D2611" s="2">
        <v>44754</v>
      </c>
      <c r="E2611" t="s">
        <v>25</v>
      </c>
      <c r="F2611">
        <v>750</v>
      </c>
      <c r="G2611">
        <v>0</v>
      </c>
    </row>
    <row r="2612" spans="1:7" x14ac:dyDescent="0.3">
      <c r="A2612" s="2">
        <v>44755</v>
      </c>
      <c r="B2612" t="s">
        <v>1623</v>
      </c>
      <c r="C2612">
        <v>4760</v>
      </c>
      <c r="D2612" s="2">
        <v>44755</v>
      </c>
      <c r="E2612" t="s">
        <v>25</v>
      </c>
      <c r="F2612">
        <v>4760</v>
      </c>
      <c r="G2612">
        <v>0</v>
      </c>
    </row>
    <row r="2613" spans="1:7" x14ac:dyDescent="0.3">
      <c r="A2613" s="2">
        <v>44756</v>
      </c>
      <c r="B2613" t="s">
        <v>1624</v>
      </c>
      <c r="C2613">
        <v>5060</v>
      </c>
      <c r="D2613" s="2">
        <v>44756</v>
      </c>
      <c r="E2613" t="s">
        <v>25</v>
      </c>
      <c r="F2613">
        <v>5060</v>
      </c>
      <c r="G2613">
        <v>0</v>
      </c>
    </row>
    <row r="2614" spans="1:7" x14ac:dyDescent="0.3">
      <c r="A2614" s="2">
        <v>44756</v>
      </c>
      <c r="B2614" t="s">
        <v>1625</v>
      </c>
      <c r="C2614">
        <v>-85.98</v>
      </c>
      <c r="D2614" s="2">
        <v>44756</v>
      </c>
      <c r="E2614" t="s">
        <v>27</v>
      </c>
      <c r="F2614">
        <v>-85.98</v>
      </c>
      <c r="G2614">
        <v>0</v>
      </c>
    </row>
    <row r="2615" spans="1:7" x14ac:dyDescent="0.3">
      <c r="A2615" s="2">
        <v>44757</v>
      </c>
      <c r="B2615" t="s">
        <v>1626</v>
      </c>
      <c r="C2615">
        <v>7542.5</v>
      </c>
      <c r="D2615" s="2">
        <v>44757</v>
      </c>
      <c r="E2615" t="s">
        <v>25</v>
      </c>
      <c r="F2615">
        <v>7542.5</v>
      </c>
      <c r="G2615">
        <v>0</v>
      </c>
    </row>
    <row r="2616" spans="1:7" x14ac:dyDescent="0.3">
      <c r="A2616" s="2">
        <v>44760</v>
      </c>
      <c r="B2616" t="s">
        <v>1627</v>
      </c>
      <c r="C2616">
        <v>-109</v>
      </c>
      <c r="D2616" s="2">
        <v>44760</v>
      </c>
      <c r="E2616" t="s">
        <v>27</v>
      </c>
      <c r="F2616">
        <v>-109</v>
      </c>
      <c r="G2616">
        <v>0</v>
      </c>
    </row>
    <row r="2617" spans="1:7" x14ac:dyDescent="0.3">
      <c r="A2617" s="2">
        <v>44760</v>
      </c>
      <c r="B2617" t="s">
        <v>1628</v>
      </c>
      <c r="C2617">
        <v>275</v>
      </c>
      <c r="D2617" s="2">
        <v>44760</v>
      </c>
      <c r="E2617" t="s">
        <v>25</v>
      </c>
      <c r="F2617">
        <v>275</v>
      </c>
      <c r="G2617">
        <v>0</v>
      </c>
    </row>
    <row r="2618" spans="1:7" x14ac:dyDescent="0.3">
      <c r="A2618" s="2">
        <v>44760</v>
      </c>
      <c r="B2618" t="s">
        <v>1628</v>
      </c>
      <c r="C2618">
        <v>35782.5</v>
      </c>
      <c r="D2618" s="2">
        <v>44760</v>
      </c>
      <c r="E2618" t="s">
        <v>25</v>
      </c>
      <c r="F2618">
        <v>35782.5</v>
      </c>
      <c r="G2618">
        <v>0</v>
      </c>
    </row>
    <row r="2619" spans="1:7" x14ac:dyDescent="0.3">
      <c r="A2619" s="2">
        <v>44760</v>
      </c>
      <c r="B2619" t="s">
        <v>1629</v>
      </c>
      <c r="C2619">
        <v>-10.88</v>
      </c>
      <c r="D2619" s="2">
        <v>44760</v>
      </c>
      <c r="E2619" t="s">
        <v>27</v>
      </c>
      <c r="F2619">
        <v>-10.88</v>
      </c>
      <c r="G2619">
        <v>0</v>
      </c>
    </row>
    <row r="2620" spans="1:7" x14ac:dyDescent="0.3">
      <c r="A2620" s="2">
        <v>44760</v>
      </c>
      <c r="B2620" t="s">
        <v>1630</v>
      </c>
      <c r="C2620">
        <v>15782.5</v>
      </c>
      <c r="D2620" s="2">
        <v>44760</v>
      </c>
      <c r="E2620" t="s">
        <v>25</v>
      </c>
      <c r="F2620">
        <v>15782.5</v>
      </c>
      <c r="G2620">
        <v>0</v>
      </c>
    </row>
    <row r="2621" spans="1:7" x14ac:dyDescent="0.3">
      <c r="A2621" s="2">
        <v>44761</v>
      </c>
      <c r="B2621" t="s">
        <v>1631</v>
      </c>
      <c r="C2621">
        <v>35.159999999999997</v>
      </c>
      <c r="D2621" s="2">
        <v>44761</v>
      </c>
      <c r="E2621" t="s">
        <v>25</v>
      </c>
      <c r="F2621">
        <v>35.159999999999997</v>
      </c>
      <c r="G2621">
        <v>0</v>
      </c>
    </row>
    <row r="2622" spans="1:7" x14ac:dyDescent="0.3">
      <c r="A2622" s="2">
        <v>44761</v>
      </c>
      <c r="B2622" t="s">
        <v>1632</v>
      </c>
      <c r="C2622">
        <v>385</v>
      </c>
      <c r="D2622" s="2">
        <v>44761</v>
      </c>
      <c r="E2622" t="s">
        <v>25</v>
      </c>
      <c r="F2622">
        <v>385</v>
      </c>
      <c r="G2622">
        <v>0</v>
      </c>
    </row>
    <row r="2623" spans="1:7" x14ac:dyDescent="0.3">
      <c r="A2623" s="2">
        <v>44762</v>
      </c>
      <c r="B2623" t="s">
        <v>1633</v>
      </c>
      <c r="C2623">
        <v>687.5</v>
      </c>
      <c r="D2623" s="2">
        <v>44762</v>
      </c>
      <c r="E2623" t="s">
        <v>25</v>
      </c>
      <c r="F2623">
        <v>687.5</v>
      </c>
      <c r="G2623">
        <v>0</v>
      </c>
    </row>
    <row r="2624" spans="1:7" x14ac:dyDescent="0.3">
      <c r="A2624" s="2">
        <v>44762</v>
      </c>
      <c r="B2624" t="s">
        <v>1634</v>
      </c>
      <c r="C2624">
        <v>-39000</v>
      </c>
      <c r="D2624" s="2">
        <v>44762</v>
      </c>
      <c r="E2624" t="s">
        <v>27</v>
      </c>
      <c r="F2624">
        <v>-39000</v>
      </c>
      <c r="G2624">
        <v>0</v>
      </c>
    </row>
    <row r="2625" spans="1:7" x14ac:dyDescent="0.3">
      <c r="A2625" s="2">
        <v>44762</v>
      </c>
      <c r="B2625" t="s">
        <v>1635</v>
      </c>
      <c r="C2625">
        <v>-1000</v>
      </c>
      <c r="D2625" s="2">
        <v>44762</v>
      </c>
      <c r="E2625" t="s">
        <v>27</v>
      </c>
      <c r="F2625">
        <v>-1000</v>
      </c>
      <c r="G2625">
        <v>0</v>
      </c>
    </row>
    <row r="2626" spans="1:7" x14ac:dyDescent="0.3">
      <c r="A2626" s="2">
        <v>44763</v>
      </c>
      <c r="B2626" t="s">
        <v>1636</v>
      </c>
      <c r="C2626">
        <v>1100</v>
      </c>
      <c r="D2626" s="2">
        <v>44763</v>
      </c>
      <c r="E2626" t="s">
        <v>25</v>
      </c>
      <c r="F2626">
        <v>1100</v>
      </c>
      <c r="G2626">
        <v>0</v>
      </c>
    </row>
    <row r="2627" spans="1:7" x14ac:dyDescent="0.3">
      <c r="A2627" s="2">
        <v>44764</v>
      </c>
      <c r="B2627" t="s">
        <v>1637</v>
      </c>
      <c r="C2627">
        <v>3025</v>
      </c>
      <c r="D2627" s="2">
        <v>44764</v>
      </c>
      <c r="E2627" t="s">
        <v>25</v>
      </c>
      <c r="F2627">
        <v>3025</v>
      </c>
      <c r="G2627">
        <v>0</v>
      </c>
    </row>
    <row r="2628" spans="1:7" x14ac:dyDescent="0.3">
      <c r="A2628" s="2">
        <v>44767</v>
      </c>
      <c r="B2628" t="s">
        <v>1638</v>
      </c>
      <c r="C2628">
        <v>10430</v>
      </c>
      <c r="D2628" s="2">
        <v>44767</v>
      </c>
      <c r="E2628" t="s">
        <v>25</v>
      </c>
      <c r="F2628">
        <v>10430</v>
      </c>
      <c r="G2628">
        <v>0</v>
      </c>
    </row>
    <row r="2629" spans="1:7" x14ac:dyDescent="0.3">
      <c r="A2629" s="2">
        <v>44767</v>
      </c>
      <c r="B2629" t="s">
        <v>1638</v>
      </c>
      <c r="C2629">
        <v>82.5</v>
      </c>
      <c r="D2629" s="2">
        <v>44767</v>
      </c>
      <c r="E2629" t="s">
        <v>25</v>
      </c>
      <c r="F2629">
        <v>82.5</v>
      </c>
      <c r="G2629">
        <v>0</v>
      </c>
    </row>
    <row r="2630" spans="1:7" x14ac:dyDescent="0.3">
      <c r="A2630" s="2">
        <v>44768</v>
      </c>
      <c r="B2630" t="s">
        <v>1639</v>
      </c>
      <c r="C2630">
        <v>82.5</v>
      </c>
      <c r="D2630" s="2">
        <v>44768</v>
      </c>
      <c r="E2630" t="s">
        <v>25</v>
      </c>
      <c r="F2630">
        <v>82.5</v>
      </c>
      <c r="G2630">
        <v>0</v>
      </c>
    </row>
    <row r="2631" spans="1:7" x14ac:dyDescent="0.3">
      <c r="A2631" s="2">
        <v>44769</v>
      </c>
      <c r="B2631" t="s">
        <v>1640</v>
      </c>
      <c r="C2631">
        <v>82.5</v>
      </c>
      <c r="D2631" s="2">
        <v>44769</v>
      </c>
      <c r="E2631" t="s">
        <v>25</v>
      </c>
      <c r="F2631">
        <v>82.5</v>
      </c>
      <c r="G2631">
        <v>0</v>
      </c>
    </row>
    <row r="2632" spans="1:7" x14ac:dyDescent="0.3">
      <c r="A2632" s="2">
        <v>44770</v>
      </c>
      <c r="B2632" t="s">
        <v>1641</v>
      </c>
      <c r="C2632">
        <v>1260</v>
      </c>
      <c r="D2632" s="2">
        <v>44770</v>
      </c>
      <c r="E2632" t="s">
        <v>25</v>
      </c>
      <c r="F2632">
        <v>1260</v>
      </c>
      <c r="G2632">
        <v>0</v>
      </c>
    </row>
    <row r="2633" spans="1:7" x14ac:dyDescent="0.3">
      <c r="A2633" s="2">
        <v>44771</v>
      </c>
      <c r="B2633" t="s">
        <v>1642</v>
      </c>
      <c r="C2633">
        <v>320</v>
      </c>
      <c r="D2633" s="2">
        <v>44771</v>
      </c>
      <c r="E2633" t="s">
        <v>25</v>
      </c>
      <c r="F2633">
        <v>320</v>
      </c>
      <c r="G2633">
        <v>0</v>
      </c>
    </row>
    <row r="2634" spans="1:7" x14ac:dyDescent="0.3">
      <c r="A2634" s="2">
        <v>44774</v>
      </c>
      <c r="B2634" t="s">
        <v>1643</v>
      </c>
      <c r="C2634">
        <v>-30</v>
      </c>
      <c r="D2634" s="2">
        <v>44774</v>
      </c>
      <c r="E2634" t="s">
        <v>27</v>
      </c>
      <c r="F2634">
        <v>-30</v>
      </c>
      <c r="G2634">
        <v>0</v>
      </c>
    </row>
    <row r="2635" spans="1:7" x14ac:dyDescent="0.3">
      <c r="A2635" s="2">
        <v>44774</v>
      </c>
      <c r="B2635" t="s">
        <v>1644</v>
      </c>
      <c r="C2635">
        <v>502.5</v>
      </c>
      <c r="D2635" s="2">
        <v>44774</v>
      </c>
      <c r="E2635" t="s">
        <v>25</v>
      </c>
      <c r="F2635">
        <v>502.5</v>
      </c>
      <c r="G2635">
        <v>0</v>
      </c>
    </row>
    <row r="2636" spans="1:7" x14ac:dyDescent="0.3">
      <c r="A2636" s="2">
        <v>44774</v>
      </c>
      <c r="B2636" t="s">
        <v>1645</v>
      </c>
      <c r="C2636">
        <v>160</v>
      </c>
      <c r="D2636" s="2">
        <v>44774</v>
      </c>
      <c r="E2636" t="s">
        <v>25</v>
      </c>
      <c r="F2636">
        <v>160</v>
      </c>
      <c r="G2636">
        <v>0</v>
      </c>
    </row>
    <row r="2637" spans="1:7" x14ac:dyDescent="0.3">
      <c r="A2637" s="2">
        <v>44775</v>
      </c>
      <c r="B2637" t="s">
        <v>1645</v>
      </c>
      <c r="C2637">
        <v>-4423.01</v>
      </c>
      <c r="D2637" s="2">
        <v>44775</v>
      </c>
      <c r="E2637" t="s">
        <v>27</v>
      </c>
      <c r="F2637">
        <v>-4423.01</v>
      </c>
      <c r="G2637">
        <v>0</v>
      </c>
    </row>
    <row r="2638" spans="1:7" x14ac:dyDescent="0.3">
      <c r="A2638" s="2">
        <v>44776</v>
      </c>
      <c r="B2638" t="s">
        <v>1646</v>
      </c>
      <c r="C2638">
        <v>310</v>
      </c>
      <c r="D2638" s="2">
        <v>44774</v>
      </c>
      <c r="E2638" t="s">
        <v>25</v>
      </c>
      <c r="F2638">
        <v>310</v>
      </c>
      <c r="G2638">
        <v>0</v>
      </c>
    </row>
    <row r="2639" spans="1:7" x14ac:dyDescent="0.3">
      <c r="A2639" s="2">
        <v>44776</v>
      </c>
      <c r="B2639" t="s">
        <v>85</v>
      </c>
      <c r="C2639">
        <v>-25</v>
      </c>
      <c r="D2639" s="2">
        <v>44776</v>
      </c>
      <c r="E2639" t="s">
        <v>27</v>
      </c>
      <c r="F2639">
        <v>-25</v>
      </c>
      <c r="G2639">
        <v>0</v>
      </c>
    </row>
    <row r="2640" spans="1:7" x14ac:dyDescent="0.3">
      <c r="A2640" s="2">
        <v>44776</v>
      </c>
      <c r="B2640" t="s">
        <v>1647</v>
      </c>
      <c r="C2640">
        <v>-136.1</v>
      </c>
      <c r="D2640" s="2">
        <v>44776</v>
      </c>
      <c r="E2640" t="s">
        <v>27</v>
      </c>
      <c r="F2640">
        <v>-136.1</v>
      </c>
      <c r="G2640">
        <v>0</v>
      </c>
    </row>
    <row r="2641" spans="1:7" x14ac:dyDescent="0.3">
      <c r="A2641" s="2">
        <v>44777</v>
      </c>
      <c r="B2641" t="s">
        <v>1648</v>
      </c>
      <c r="C2641">
        <v>110</v>
      </c>
      <c r="D2641" s="2">
        <v>44775</v>
      </c>
      <c r="E2641" t="s">
        <v>25</v>
      </c>
      <c r="F2641">
        <v>110</v>
      </c>
      <c r="G2641">
        <v>0</v>
      </c>
    </row>
    <row r="2642" spans="1:7" x14ac:dyDescent="0.3">
      <c r="A2642" s="2">
        <v>44781</v>
      </c>
      <c r="B2642" t="s">
        <v>1649</v>
      </c>
      <c r="C2642">
        <v>800</v>
      </c>
      <c r="D2642" s="2">
        <v>44778</v>
      </c>
      <c r="E2642" t="s">
        <v>25</v>
      </c>
      <c r="F2642">
        <v>800</v>
      </c>
      <c r="G2642">
        <v>0</v>
      </c>
    </row>
    <row r="2643" spans="1:7" x14ac:dyDescent="0.3">
      <c r="A2643" s="2">
        <v>44781</v>
      </c>
      <c r="B2643" t="s">
        <v>31</v>
      </c>
      <c r="C2643">
        <v>8580</v>
      </c>
      <c r="D2643" s="2">
        <v>44781</v>
      </c>
      <c r="E2643" t="s">
        <v>25</v>
      </c>
      <c r="F2643">
        <v>8580</v>
      </c>
      <c r="G2643">
        <v>0</v>
      </c>
    </row>
    <row r="2644" spans="1:7" x14ac:dyDescent="0.3">
      <c r="A2644" s="2">
        <v>44782</v>
      </c>
      <c r="B2644" t="s">
        <v>1650</v>
      </c>
      <c r="C2644">
        <v>8690</v>
      </c>
      <c r="D2644" s="2">
        <v>44782</v>
      </c>
      <c r="E2644" t="s">
        <v>25</v>
      </c>
      <c r="F2644">
        <v>8690</v>
      </c>
      <c r="G2644">
        <v>0</v>
      </c>
    </row>
    <row r="2645" spans="1:7" x14ac:dyDescent="0.3">
      <c r="A2645" s="2">
        <v>44782</v>
      </c>
      <c r="B2645" t="s">
        <v>1651</v>
      </c>
      <c r="C2645">
        <v>82.5</v>
      </c>
      <c r="D2645" s="2">
        <v>44779</v>
      </c>
      <c r="E2645" t="s">
        <v>25</v>
      </c>
      <c r="F2645">
        <v>82.5</v>
      </c>
      <c r="G2645">
        <v>0</v>
      </c>
    </row>
    <row r="2646" spans="1:7" x14ac:dyDescent="0.3">
      <c r="A2646" s="2">
        <v>44784</v>
      </c>
      <c r="B2646" t="s">
        <v>1652</v>
      </c>
      <c r="C2646">
        <v>247.5</v>
      </c>
      <c r="D2646" s="2">
        <v>44784</v>
      </c>
      <c r="E2646" t="s">
        <v>25</v>
      </c>
      <c r="F2646">
        <v>247.5</v>
      </c>
      <c r="G2646">
        <v>0</v>
      </c>
    </row>
    <row r="2647" spans="1:7" x14ac:dyDescent="0.3">
      <c r="A2647" s="2">
        <v>44788</v>
      </c>
      <c r="B2647" t="s">
        <v>1653</v>
      </c>
      <c r="C2647">
        <v>247.5</v>
      </c>
      <c r="D2647" s="2">
        <v>44787</v>
      </c>
      <c r="E2647" t="s">
        <v>25</v>
      </c>
      <c r="F2647">
        <v>247.5</v>
      </c>
      <c r="G2647">
        <v>0</v>
      </c>
    </row>
    <row r="2648" spans="1:7" x14ac:dyDescent="0.3">
      <c r="A2648" s="2">
        <v>44789</v>
      </c>
      <c r="B2648" t="s">
        <v>1654</v>
      </c>
      <c r="C2648">
        <v>-109</v>
      </c>
      <c r="D2648" s="2">
        <v>44789</v>
      </c>
      <c r="E2648" t="s">
        <v>27</v>
      </c>
      <c r="F2648">
        <v>-109</v>
      </c>
      <c r="G2648">
        <v>0</v>
      </c>
    </row>
    <row r="2649" spans="1:7" x14ac:dyDescent="0.3">
      <c r="A2649" s="2">
        <v>44790</v>
      </c>
      <c r="B2649" t="s">
        <v>1655</v>
      </c>
      <c r="C2649">
        <v>-26625</v>
      </c>
      <c r="D2649" s="2">
        <v>44790</v>
      </c>
      <c r="E2649" t="s">
        <v>27</v>
      </c>
      <c r="F2649">
        <v>-26625</v>
      </c>
      <c r="G2649">
        <v>0</v>
      </c>
    </row>
    <row r="2650" spans="1:7" x14ac:dyDescent="0.3">
      <c r="A2650" s="2">
        <v>44790</v>
      </c>
      <c r="B2650" t="s">
        <v>1656</v>
      </c>
      <c r="C2650">
        <v>722.5</v>
      </c>
      <c r="D2650" s="2">
        <v>44787</v>
      </c>
      <c r="E2650" t="s">
        <v>25</v>
      </c>
      <c r="F2650">
        <v>722.5</v>
      </c>
      <c r="G2650">
        <v>0</v>
      </c>
    </row>
    <row r="2651" spans="1:7" x14ac:dyDescent="0.3">
      <c r="A2651" s="2">
        <v>44791</v>
      </c>
      <c r="B2651" t="s">
        <v>1657</v>
      </c>
      <c r="C2651">
        <v>-10.88</v>
      </c>
      <c r="D2651" s="2">
        <v>44792</v>
      </c>
      <c r="E2651" t="s">
        <v>27</v>
      </c>
      <c r="F2651">
        <v>-10.88</v>
      </c>
      <c r="G2651">
        <v>0</v>
      </c>
    </row>
    <row r="2652" spans="1:7" x14ac:dyDescent="0.3">
      <c r="A2652" s="2">
        <v>44791</v>
      </c>
      <c r="B2652" t="s">
        <v>1658</v>
      </c>
      <c r="C2652">
        <v>82.5</v>
      </c>
      <c r="D2652" s="2">
        <v>44791</v>
      </c>
      <c r="E2652" t="s">
        <v>25</v>
      </c>
      <c r="F2652">
        <v>82.5</v>
      </c>
      <c r="G2652">
        <v>0</v>
      </c>
    </row>
    <row r="2653" spans="1:7" x14ac:dyDescent="0.3">
      <c r="A2653" s="2">
        <v>44792</v>
      </c>
      <c r="B2653" t="s">
        <v>1659</v>
      </c>
      <c r="C2653">
        <v>420</v>
      </c>
      <c r="D2653" s="2">
        <v>44791</v>
      </c>
      <c r="E2653" t="s">
        <v>25</v>
      </c>
      <c r="F2653">
        <v>420</v>
      </c>
      <c r="G2653">
        <v>0</v>
      </c>
    </row>
    <row r="2654" spans="1:7" x14ac:dyDescent="0.3">
      <c r="A2654" s="2">
        <v>44795</v>
      </c>
      <c r="B2654" t="s">
        <v>1660</v>
      </c>
      <c r="C2654">
        <v>-125.28</v>
      </c>
      <c r="D2654" s="2">
        <v>44795</v>
      </c>
      <c r="E2654" t="s">
        <v>27</v>
      </c>
      <c r="F2654">
        <v>-125.28</v>
      </c>
      <c r="G2654">
        <v>0</v>
      </c>
    </row>
    <row r="2655" spans="1:7" x14ac:dyDescent="0.3">
      <c r="A2655" s="2">
        <v>44805</v>
      </c>
      <c r="B2655" t="s">
        <v>1661</v>
      </c>
      <c r="C2655">
        <v>-30</v>
      </c>
      <c r="D2655" s="2">
        <v>44805</v>
      </c>
      <c r="E2655" t="s">
        <v>27</v>
      </c>
      <c r="F2655">
        <v>-30</v>
      </c>
      <c r="G2655">
        <v>0</v>
      </c>
    </row>
    <row r="2656" spans="1:7" x14ac:dyDescent="0.3">
      <c r="A2656" s="2">
        <v>44805</v>
      </c>
      <c r="B2656" t="s">
        <v>1662</v>
      </c>
      <c r="C2656">
        <v>285</v>
      </c>
      <c r="D2656" s="2">
        <v>44805</v>
      </c>
      <c r="E2656" t="s">
        <v>25</v>
      </c>
      <c r="F2656">
        <v>285</v>
      </c>
      <c r="G2656">
        <v>0</v>
      </c>
    </row>
    <row r="2657" spans="1:7" x14ac:dyDescent="0.3">
      <c r="A2657" s="2">
        <v>44806</v>
      </c>
      <c r="B2657" t="s">
        <v>1663</v>
      </c>
      <c r="C2657">
        <v>592.5</v>
      </c>
      <c r="D2657" s="2">
        <v>44805</v>
      </c>
      <c r="E2657" t="s">
        <v>25</v>
      </c>
      <c r="F2657">
        <v>592.5</v>
      </c>
      <c r="G2657">
        <v>0</v>
      </c>
    </row>
    <row r="2658" spans="1:7" x14ac:dyDescent="0.3">
      <c r="A2658" s="2">
        <v>44806</v>
      </c>
      <c r="B2658" t="s">
        <v>1662</v>
      </c>
      <c r="C2658">
        <v>-520.70000000000005</v>
      </c>
      <c r="D2658" s="2">
        <v>44806</v>
      </c>
      <c r="E2658" t="s">
        <v>27</v>
      </c>
      <c r="F2658">
        <v>-520.70000000000005</v>
      </c>
      <c r="G2658">
        <v>0</v>
      </c>
    </row>
    <row r="2659" spans="1:7" x14ac:dyDescent="0.3">
      <c r="A2659" s="2">
        <v>44810</v>
      </c>
      <c r="B2659" t="s">
        <v>1664</v>
      </c>
      <c r="C2659">
        <v>215</v>
      </c>
      <c r="D2659" s="2">
        <v>44807</v>
      </c>
      <c r="E2659" t="s">
        <v>25</v>
      </c>
      <c r="F2659">
        <v>215</v>
      </c>
      <c r="G2659">
        <v>0</v>
      </c>
    </row>
    <row r="2660" spans="1:7" x14ac:dyDescent="0.3">
      <c r="A2660" s="2">
        <v>44810</v>
      </c>
      <c r="B2660" t="s">
        <v>1665</v>
      </c>
      <c r="C2660">
        <v>157.5</v>
      </c>
      <c r="D2660" s="2">
        <v>44807</v>
      </c>
      <c r="E2660" t="s">
        <v>25</v>
      </c>
      <c r="F2660">
        <v>157.5</v>
      </c>
      <c r="G2660">
        <v>0</v>
      </c>
    </row>
    <row r="2661" spans="1:7" x14ac:dyDescent="0.3">
      <c r="A2661" s="2">
        <v>44810</v>
      </c>
      <c r="B2661" t="s">
        <v>1666</v>
      </c>
      <c r="C2661">
        <v>-75.97</v>
      </c>
      <c r="D2661" s="2">
        <v>44810</v>
      </c>
      <c r="E2661" t="s">
        <v>27</v>
      </c>
      <c r="F2661">
        <v>-75.97</v>
      </c>
      <c r="G2661">
        <v>0</v>
      </c>
    </row>
    <row r="2662" spans="1:7" x14ac:dyDescent="0.3">
      <c r="A2662" s="2">
        <v>44810</v>
      </c>
      <c r="B2662" t="s">
        <v>1667</v>
      </c>
      <c r="C2662">
        <v>-136.1</v>
      </c>
      <c r="D2662" s="2">
        <v>44810</v>
      </c>
      <c r="E2662" t="s">
        <v>27</v>
      </c>
      <c r="F2662">
        <v>-136.1</v>
      </c>
      <c r="G2662">
        <v>0</v>
      </c>
    </row>
    <row r="2663" spans="1:7" x14ac:dyDescent="0.3">
      <c r="A2663" s="2">
        <v>44810</v>
      </c>
      <c r="B2663" t="s">
        <v>1668</v>
      </c>
      <c r="C2663">
        <v>-185.51</v>
      </c>
      <c r="D2663" s="2">
        <v>44810</v>
      </c>
      <c r="E2663" t="s">
        <v>27</v>
      </c>
      <c r="F2663">
        <v>-185.51</v>
      </c>
      <c r="G2663">
        <v>0</v>
      </c>
    </row>
    <row r="2664" spans="1:7" x14ac:dyDescent="0.3">
      <c r="A2664" s="2">
        <v>44811</v>
      </c>
      <c r="B2664" t="s">
        <v>1669</v>
      </c>
      <c r="C2664">
        <v>125</v>
      </c>
      <c r="D2664" s="2">
        <v>44809</v>
      </c>
      <c r="E2664" t="s">
        <v>25</v>
      </c>
      <c r="F2664">
        <v>125</v>
      </c>
      <c r="G2664">
        <v>0</v>
      </c>
    </row>
    <row r="2665" spans="1:7" x14ac:dyDescent="0.3">
      <c r="A2665" s="2">
        <v>44812</v>
      </c>
      <c r="B2665" t="s">
        <v>1670</v>
      </c>
      <c r="C2665">
        <v>667.5</v>
      </c>
      <c r="D2665" s="2">
        <v>44812</v>
      </c>
      <c r="E2665" t="s">
        <v>25</v>
      </c>
      <c r="F2665">
        <v>667.5</v>
      </c>
      <c r="G2665">
        <v>0</v>
      </c>
    </row>
    <row r="2666" spans="1:7" x14ac:dyDescent="0.3">
      <c r="A2666" s="2">
        <v>44813</v>
      </c>
      <c r="B2666" t="s">
        <v>1671</v>
      </c>
      <c r="C2666">
        <v>1000</v>
      </c>
      <c r="D2666" s="2">
        <v>44812</v>
      </c>
      <c r="E2666" t="s">
        <v>25</v>
      </c>
      <c r="F2666">
        <v>1000</v>
      </c>
      <c r="G2666">
        <v>0</v>
      </c>
    </row>
    <row r="2667" spans="1:7" x14ac:dyDescent="0.3">
      <c r="A2667" s="2">
        <v>44816</v>
      </c>
      <c r="B2667" t="s">
        <v>1672</v>
      </c>
      <c r="C2667">
        <v>735</v>
      </c>
      <c r="D2667" s="2">
        <v>44816</v>
      </c>
      <c r="E2667" t="s">
        <v>25</v>
      </c>
      <c r="F2667">
        <v>735</v>
      </c>
      <c r="G2667">
        <v>0</v>
      </c>
    </row>
    <row r="2668" spans="1:7" x14ac:dyDescent="0.3">
      <c r="A2668" s="2">
        <v>44816</v>
      </c>
      <c r="B2668" t="s">
        <v>1672</v>
      </c>
      <c r="C2668">
        <v>352.5</v>
      </c>
      <c r="D2668" s="2">
        <v>44816</v>
      </c>
      <c r="E2668" t="s">
        <v>25</v>
      </c>
      <c r="F2668">
        <v>352.5</v>
      </c>
      <c r="G2668">
        <v>0</v>
      </c>
    </row>
    <row r="2669" spans="1:7" x14ac:dyDescent="0.3">
      <c r="A2669" s="2">
        <v>44816</v>
      </c>
      <c r="B2669" t="s">
        <v>1673</v>
      </c>
      <c r="C2669">
        <v>435</v>
      </c>
      <c r="D2669" s="2">
        <v>44816</v>
      </c>
      <c r="E2669" t="s">
        <v>25</v>
      </c>
      <c r="F2669">
        <v>435</v>
      </c>
      <c r="G2669">
        <v>0</v>
      </c>
    </row>
    <row r="2670" spans="1:7" x14ac:dyDescent="0.3">
      <c r="A2670" s="2">
        <v>44817</v>
      </c>
      <c r="B2670" t="s">
        <v>1674</v>
      </c>
      <c r="C2670">
        <v>100</v>
      </c>
      <c r="D2670" s="2">
        <v>44817</v>
      </c>
      <c r="E2670" t="s">
        <v>25</v>
      </c>
      <c r="F2670">
        <v>100</v>
      </c>
      <c r="G2670">
        <v>0</v>
      </c>
    </row>
    <row r="2671" spans="1:7" x14ac:dyDescent="0.3">
      <c r="A2671" s="2">
        <v>44818</v>
      </c>
      <c r="B2671" t="s">
        <v>1675</v>
      </c>
      <c r="C2671">
        <v>1537.5</v>
      </c>
      <c r="D2671" s="2">
        <v>44817</v>
      </c>
      <c r="E2671" t="s">
        <v>25</v>
      </c>
      <c r="F2671">
        <v>1537.5</v>
      </c>
      <c r="G2671">
        <v>0</v>
      </c>
    </row>
    <row r="2672" spans="1:7" x14ac:dyDescent="0.3">
      <c r="A2672" s="2">
        <v>44819</v>
      </c>
      <c r="B2672" t="s">
        <v>1676</v>
      </c>
      <c r="C2672">
        <v>597.5</v>
      </c>
      <c r="D2672" s="2">
        <v>44818</v>
      </c>
      <c r="E2672" t="s">
        <v>25</v>
      </c>
      <c r="F2672">
        <v>597.5</v>
      </c>
      <c r="G2672">
        <v>0</v>
      </c>
    </row>
    <row r="2673" spans="1:7" x14ac:dyDescent="0.3">
      <c r="A2673" s="2">
        <v>44820</v>
      </c>
      <c r="B2673" t="s">
        <v>1677</v>
      </c>
      <c r="C2673">
        <v>672.5</v>
      </c>
      <c r="D2673" s="2">
        <v>44818</v>
      </c>
      <c r="E2673" t="s">
        <v>25</v>
      </c>
      <c r="F2673">
        <v>672.5</v>
      </c>
      <c r="G2673">
        <v>0</v>
      </c>
    </row>
    <row r="2674" spans="1:7" x14ac:dyDescent="0.3">
      <c r="A2674" s="2">
        <v>44823</v>
      </c>
      <c r="B2674" t="s">
        <v>1678</v>
      </c>
      <c r="C2674">
        <v>-10.88</v>
      </c>
      <c r="D2674" s="2">
        <v>44826</v>
      </c>
      <c r="E2674" t="s">
        <v>27</v>
      </c>
      <c r="F2674">
        <v>-10.88</v>
      </c>
      <c r="G2674">
        <v>0</v>
      </c>
    </row>
    <row r="2675" spans="1:7" x14ac:dyDescent="0.3">
      <c r="A2675" s="2">
        <v>44823</v>
      </c>
      <c r="B2675" t="s">
        <v>1679</v>
      </c>
      <c r="C2675">
        <v>-543.37</v>
      </c>
      <c r="D2675" s="2">
        <v>44823</v>
      </c>
      <c r="E2675" t="s">
        <v>27</v>
      </c>
      <c r="F2675">
        <v>-543.37</v>
      </c>
      <c r="G2675">
        <v>0</v>
      </c>
    </row>
    <row r="2676" spans="1:7" x14ac:dyDescent="0.3">
      <c r="A2676" s="2">
        <v>44823</v>
      </c>
      <c r="B2676" t="s">
        <v>1680</v>
      </c>
      <c r="C2676">
        <v>1160</v>
      </c>
      <c r="D2676" s="2">
        <v>44823</v>
      </c>
      <c r="E2676" t="s">
        <v>25</v>
      </c>
      <c r="F2676">
        <v>1160</v>
      </c>
      <c r="G2676">
        <v>0</v>
      </c>
    </row>
    <row r="2677" spans="1:7" x14ac:dyDescent="0.3">
      <c r="A2677" s="2">
        <v>44823</v>
      </c>
      <c r="B2677" t="s">
        <v>1680</v>
      </c>
      <c r="C2677">
        <v>755</v>
      </c>
      <c r="D2677" s="2">
        <v>44823</v>
      </c>
      <c r="E2677" t="s">
        <v>25</v>
      </c>
      <c r="F2677">
        <v>755</v>
      </c>
      <c r="G2677">
        <v>0</v>
      </c>
    </row>
    <row r="2678" spans="1:7" x14ac:dyDescent="0.3">
      <c r="A2678" s="2">
        <v>44824</v>
      </c>
      <c r="B2678" t="s">
        <v>1681</v>
      </c>
      <c r="C2678">
        <v>465</v>
      </c>
      <c r="D2678" s="2">
        <v>44823</v>
      </c>
      <c r="E2678" t="s">
        <v>25</v>
      </c>
      <c r="F2678">
        <v>465</v>
      </c>
      <c r="G2678">
        <v>0</v>
      </c>
    </row>
    <row r="2679" spans="1:7" x14ac:dyDescent="0.3">
      <c r="A2679" s="2">
        <v>44825</v>
      </c>
      <c r="B2679" t="s">
        <v>1682</v>
      </c>
      <c r="C2679">
        <v>290</v>
      </c>
      <c r="D2679" s="2">
        <v>44825</v>
      </c>
      <c r="E2679" t="s">
        <v>25</v>
      </c>
      <c r="F2679">
        <v>290</v>
      </c>
      <c r="G2679">
        <v>0</v>
      </c>
    </row>
    <row r="2680" spans="1:7" x14ac:dyDescent="0.3">
      <c r="A2680" s="2">
        <v>44825</v>
      </c>
      <c r="B2680" t="s">
        <v>31</v>
      </c>
      <c r="C2680">
        <v>8910</v>
      </c>
      <c r="D2680" s="2">
        <v>44825</v>
      </c>
      <c r="E2680" t="s">
        <v>25</v>
      </c>
      <c r="F2680">
        <v>8910</v>
      </c>
      <c r="G2680">
        <v>0</v>
      </c>
    </row>
    <row r="2681" spans="1:7" x14ac:dyDescent="0.3">
      <c r="A2681" s="2">
        <v>44826</v>
      </c>
      <c r="B2681" t="s">
        <v>1683</v>
      </c>
      <c r="C2681">
        <v>760</v>
      </c>
      <c r="D2681" s="2">
        <v>44825</v>
      </c>
      <c r="E2681" t="s">
        <v>25</v>
      </c>
      <c r="F2681">
        <v>760</v>
      </c>
      <c r="G2681">
        <v>0</v>
      </c>
    </row>
    <row r="2682" spans="1:7" x14ac:dyDescent="0.3">
      <c r="A2682" s="2">
        <v>44827</v>
      </c>
      <c r="B2682" t="s">
        <v>1684</v>
      </c>
      <c r="C2682">
        <v>937.5</v>
      </c>
      <c r="D2682" s="2">
        <v>44825</v>
      </c>
      <c r="E2682" t="s">
        <v>25</v>
      </c>
      <c r="F2682">
        <v>937.5</v>
      </c>
      <c r="G2682">
        <v>0</v>
      </c>
    </row>
    <row r="2683" spans="1:7" x14ac:dyDescent="0.3">
      <c r="A2683" s="2">
        <v>44830</v>
      </c>
      <c r="B2683" t="s">
        <v>1685</v>
      </c>
      <c r="C2683">
        <v>-33.770000000000003</v>
      </c>
      <c r="D2683" s="2">
        <v>44830</v>
      </c>
      <c r="E2683" t="s">
        <v>27</v>
      </c>
      <c r="F2683">
        <v>-33.770000000000003</v>
      </c>
      <c r="G2683">
        <v>0</v>
      </c>
    </row>
    <row r="2684" spans="1:7" x14ac:dyDescent="0.3">
      <c r="A2684" s="2">
        <v>44830</v>
      </c>
      <c r="B2684" t="s">
        <v>1686</v>
      </c>
      <c r="C2684">
        <v>-31232.99</v>
      </c>
      <c r="D2684" s="2">
        <v>44829</v>
      </c>
      <c r="E2684" t="s">
        <v>27</v>
      </c>
      <c r="F2684">
        <v>-31232.99</v>
      </c>
      <c r="G2684">
        <v>0</v>
      </c>
    </row>
    <row r="2685" spans="1:7" x14ac:dyDescent="0.3">
      <c r="A2685" s="2">
        <v>44830</v>
      </c>
      <c r="B2685" t="s">
        <v>1686</v>
      </c>
      <c r="C2685">
        <v>-730.11</v>
      </c>
      <c r="D2685" s="2">
        <v>44829</v>
      </c>
      <c r="E2685" t="s">
        <v>27</v>
      </c>
      <c r="F2685">
        <v>-730.11</v>
      </c>
      <c r="G2685">
        <v>0</v>
      </c>
    </row>
    <row r="2686" spans="1:7" x14ac:dyDescent="0.3">
      <c r="A2686" s="2">
        <v>44830</v>
      </c>
      <c r="B2686" t="s">
        <v>1687</v>
      </c>
      <c r="C2686">
        <v>-35.159999999999997</v>
      </c>
      <c r="D2686" s="2">
        <v>44829</v>
      </c>
      <c r="E2686" t="s">
        <v>27</v>
      </c>
      <c r="F2686">
        <v>-35.159999999999997</v>
      </c>
      <c r="G2686">
        <v>0</v>
      </c>
    </row>
    <row r="2687" spans="1:7" x14ac:dyDescent="0.3">
      <c r="A2687" s="2">
        <v>44830</v>
      </c>
      <c r="B2687" t="s">
        <v>1686</v>
      </c>
      <c r="C2687">
        <v>-10000</v>
      </c>
      <c r="D2687" s="2">
        <v>44829</v>
      </c>
      <c r="E2687" t="s">
        <v>27</v>
      </c>
      <c r="F2687">
        <v>-10000</v>
      </c>
      <c r="G2687">
        <v>0</v>
      </c>
    </row>
    <row r="2688" spans="1:7" x14ac:dyDescent="0.3">
      <c r="A2688" s="2">
        <v>44830</v>
      </c>
      <c r="B2688" t="s">
        <v>1688</v>
      </c>
      <c r="C2688">
        <v>-750</v>
      </c>
      <c r="D2688" s="2">
        <v>44829</v>
      </c>
      <c r="E2688" t="s">
        <v>27</v>
      </c>
      <c r="F2688">
        <v>-750</v>
      </c>
      <c r="G2688">
        <v>0</v>
      </c>
    </row>
    <row r="2689" spans="1:7" x14ac:dyDescent="0.3">
      <c r="A2689" s="2">
        <v>44830</v>
      </c>
      <c r="B2689" t="s">
        <v>1686</v>
      </c>
      <c r="C2689">
        <v>-715.4</v>
      </c>
      <c r="D2689" s="2">
        <v>44829</v>
      </c>
      <c r="E2689" t="s">
        <v>27</v>
      </c>
      <c r="F2689">
        <v>-715.4</v>
      </c>
      <c r="G2689">
        <v>0</v>
      </c>
    </row>
    <row r="2690" spans="1:7" x14ac:dyDescent="0.3">
      <c r="A2690" s="2">
        <v>44830</v>
      </c>
      <c r="B2690" t="s">
        <v>1689</v>
      </c>
      <c r="C2690">
        <v>-86</v>
      </c>
      <c r="D2690" s="2">
        <v>44830</v>
      </c>
      <c r="E2690" t="s">
        <v>27</v>
      </c>
      <c r="F2690">
        <v>-86</v>
      </c>
      <c r="G2690">
        <v>0</v>
      </c>
    </row>
    <row r="2691" spans="1:7" x14ac:dyDescent="0.3">
      <c r="A2691" s="2">
        <v>44830</v>
      </c>
      <c r="B2691" t="s">
        <v>1690</v>
      </c>
      <c r="C2691">
        <v>2275</v>
      </c>
      <c r="D2691" s="2">
        <v>44829</v>
      </c>
      <c r="E2691" t="s">
        <v>25</v>
      </c>
      <c r="F2691">
        <v>2275</v>
      </c>
      <c r="G2691">
        <v>0</v>
      </c>
    </row>
    <row r="2692" spans="1:7" x14ac:dyDescent="0.3">
      <c r="A2692" s="2">
        <v>44830</v>
      </c>
      <c r="B2692" t="s">
        <v>1691</v>
      </c>
      <c r="C2692">
        <v>82.5</v>
      </c>
      <c r="D2692" s="2">
        <v>44829</v>
      </c>
      <c r="E2692" t="s">
        <v>25</v>
      </c>
      <c r="F2692">
        <v>82.5</v>
      </c>
      <c r="G2692">
        <v>0</v>
      </c>
    </row>
    <row r="2693" spans="1:7" x14ac:dyDescent="0.3">
      <c r="A2693" s="2">
        <v>44830</v>
      </c>
      <c r="B2693" t="s">
        <v>1692</v>
      </c>
      <c r="C2693">
        <v>-276</v>
      </c>
      <c r="D2693" s="2">
        <v>44830</v>
      </c>
      <c r="E2693" t="s">
        <v>27</v>
      </c>
      <c r="F2693">
        <v>-276</v>
      </c>
      <c r="G2693">
        <v>0</v>
      </c>
    </row>
    <row r="2694" spans="1:7" x14ac:dyDescent="0.3">
      <c r="A2694" s="2">
        <v>44831</v>
      </c>
      <c r="B2694" t="s">
        <v>1693</v>
      </c>
      <c r="C2694">
        <v>192.5</v>
      </c>
      <c r="D2694" s="2">
        <v>44829</v>
      </c>
      <c r="E2694" t="s">
        <v>25</v>
      </c>
      <c r="F2694">
        <v>192.5</v>
      </c>
      <c r="G2694">
        <v>0</v>
      </c>
    </row>
    <row r="2695" spans="1:7" x14ac:dyDescent="0.3">
      <c r="A2695" s="2">
        <v>44831</v>
      </c>
      <c r="B2695" t="s">
        <v>1694</v>
      </c>
      <c r="C2695">
        <v>-281.93</v>
      </c>
      <c r="D2695" s="2">
        <v>44831</v>
      </c>
      <c r="E2695" t="s">
        <v>27</v>
      </c>
      <c r="F2695">
        <v>-281.93</v>
      </c>
      <c r="G2695">
        <v>0</v>
      </c>
    </row>
    <row r="2696" spans="1:7" x14ac:dyDescent="0.3">
      <c r="A2696" s="2">
        <v>44832</v>
      </c>
      <c r="B2696" t="s">
        <v>1695</v>
      </c>
      <c r="C2696">
        <v>3310</v>
      </c>
      <c r="D2696" s="2">
        <v>44829</v>
      </c>
      <c r="E2696" t="s">
        <v>25</v>
      </c>
      <c r="F2696">
        <v>3310</v>
      </c>
      <c r="G2696">
        <v>0</v>
      </c>
    </row>
    <row r="2697" spans="1:7" x14ac:dyDescent="0.3">
      <c r="A2697" s="2">
        <v>44833</v>
      </c>
      <c r="B2697" t="s">
        <v>31</v>
      </c>
      <c r="C2697">
        <v>8030</v>
      </c>
      <c r="D2697" s="2">
        <v>44833</v>
      </c>
      <c r="E2697" t="s">
        <v>25</v>
      </c>
      <c r="F2697">
        <v>8030</v>
      </c>
      <c r="G2697">
        <v>0</v>
      </c>
    </row>
    <row r="2698" spans="1:7" x14ac:dyDescent="0.3">
      <c r="A2698" s="2">
        <v>44833</v>
      </c>
      <c r="B2698" t="s">
        <v>31</v>
      </c>
      <c r="C2698">
        <v>3850</v>
      </c>
      <c r="D2698" s="2">
        <v>44833</v>
      </c>
      <c r="E2698" t="s">
        <v>25</v>
      </c>
      <c r="F2698">
        <v>3850</v>
      </c>
      <c r="G2698">
        <v>0</v>
      </c>
    </row>
    <row r="2699" spans="1:7" x14ac:dyDescent="0.3">
      <c r="A2699" s="2">
        <v>44837</v>
      </c>
      <c r="B2699" t="s">
        <v>1696</v>
      </c>
      <c r="C2699">
        <v>-1007.7</v>
      </c>
      <c r="D2699" s="2">
        <v>44837</v>
      </c>
      <c r="E2699" t="s">
        <v>27</v>
      </c>
      <c r="F2699">
        <v>-1007.7</v>
      </c>
      <c r="G2699">
        <v>0</v>
      </c>
    </row>
    <row r="2700" spans="1:7" x14ac:dyDescent="0.3">
      <c r="A2700" s="2">
        <v>44837</v>
      </c>
      <c r="B2700" t="s">
        <v>1696</v>
      </c>
      <c r="C2700">
        <v>82.5</v>
      </c>
      <c r="D2700" s="2">
        <v>44837</v>
      </c>
      <c r="E2700" t="s">
        <v>25</v>
      </c>
      <c r="F2700">
        <v>82.5</v>
      </c>
      <c r="G2700">
        <v>0</v>
      </c>
    </row>
    <row r="2701" spans="1:7" x14ac:dyDescent="0.3">
      <c r="A2701" s="2">
        <v>44837</v>
      </c>
      <c r="B2701" t="s">
        <v>1697</v>
      </c>
      <c r="C2701">
        <v>-136.1</v>
      </c>
      <c r="D2701" s="2">
        <v>44837</v>
      </c>
      <c r="E2701" t="s">
        <v>27</v>
      </c>
      <c r="F2701">
        <v>-136.1</v>
      </c>
      <c r="G2701">
        <v>0</v>
      </c>
    </row>
    <row r="2702" spans="1:7" x14ac:dyDescent="0.3">
      <c r="A2702" s="2">
        <v>44837</v>
      </c>
      <c r="B2702" t="s">
        <v>1698</v>
      </c>
      <c r="C2702">
        <v>4870</v>
      </c>
      <c r="D2702" s="2">
        <v>44837</v>
      </c>
      <c r="E2702" t="s">
        <v>25</v>
      </c>
      <c r="F2702">
        <v>4870</v>
      </c>
      <c r="G2702">
        <v>0</v>
      </c>
    </row>
    <row r="2703" spans="1:7" x14ac:dyDescent="0.3">
      <c r="A2703" s="2">
        <v>44837</v>
      </c>
      <c r="B2703" t="s">
        <v>1698</v>
      </c>
      <c r="C2703">
        <v>1070</v>
      </c>
      <c r="D2703" s="2">
        <v>44837</v>
      </c>
      <c r="E2703" t="s">
        <v>25</v>
      </c>
      <c r="F2703">
        <v>1070</v>
      </c>
      <c r="G2703">
        <v>0</v>
      </c>
    </row>
    <row r="2704" spans="1:7" x14ac:dyDescent="0.3">
      <c r="A2704" s="2">
        <v>44837</v>
      </c>
      <c r="B2704" t="s">
        <v>1699</v>
      </c>
      <c r="C2704">
        <v>-30</v>
      </c>
      <c r="D2704" s="2">
        <v>44837</v>
      </c>
      <c r="E2704" t="s">
        <v>27</v>
      </c>
      <c r="F2704">
        <v>-30</v>
      </c>
      <c r="G2704">
        <v>0</v>
      </c>
    </row>
    <row r="2705" spans="1:7" x14ac:dyDescent="0.3">
      <c r="A2705" s="2">
        <v>44838</v>
      </c>
      <c r="B2705" t="s">
        <v>1700</v>
      </c>
      <c r="C2705">
        <v>820</v>
      </c>
      <c r="D2705" s="2">
        <v>44838</v>
      </c>
      <c r="E2705" t="s">
        <v>25</v>
      </c>
      <c r="F2705">
        <v>820</v>
      </c>
      <c r="G2705">
        <v>0</v>
      </c>
    </row>
    <row r="2706" spans="1:7" x14ac:dyDescent="0.3">
      <c r="A2706" s="2">
        <v>44839</v>
      </c>
      <c r="B2706" t="s">
        <v>113</v>
      </c>
      <c r="C2706">
        <v>-75</v>
      </c>
      <c r="D2706" s="2">
        <v>44839</v>
      </c>
      <c r="E2706" t="s">
        <v>27</v>
      </c>
      <c r="F2706">
        <v>-75</v>
      </c>
      <c r="G2706">
        <v>0</v>
      </c>
    </row>
    <row r="2707" spans="1:7" x14ac:dyDescent="0.3">
      <c r="A2707" s="2">
        <v>44839</v>
      </c>
      <c r="B2707" t="s">
        <v>1701</v>
      </c>
      <c r="C2707">
        <v>5590</v>
      </c>
      <c r="D2707" s="2">
        <v>44839</v>
      </c>
      <c r="E2707" t="s">
        <v>25</v>
      </c>
      <c r="F2707">
        <v>5590</v>
      </c>
      <c r="G2707">
        <v>0</v>
      </c>
    </row>
    <row r="2708" spans="1:7" x14ac:dyDescent="0.3">
      <c r="A2708" s="2">
        <v>44840</v>
      </c>
      <c r="B2708" t="s">
        <v>1702</v>
      </c>
      <c r="C2708">
        <v>-21750</v>
      </c>
      <c r="D2708" s="2">
        <v>44840</v>
      </c>
      <c r="E2708" t="s">
        <v>27</v>
      </c>
      <c r="F2708">
        <v>-21750</v>
      </c>
      <c r="G2708">
        <v>0</v>
      </c>
    </row>
    <row r="2709" spans="1:7" x14ac:dyDescent="0.3">
      <c r="A2709" s="2">
        <v>44840</v>
      </c>
      <c r="B2709" t="s">
        <v>1553</v>
      </c>
      <c r="C2709">
        <v>25000</v>
      </c>
      <c r="D2709" s="2">
        <v>44840</v>
      </c>
      <c r="E2709" t="s">
        <v>25</v>
      </c>
      <c r="F2709">
        <v>25000</v>
      </c>
      <c r="G2709">
        <v>0</v>
      </c>
    </row>
    <row r="2710" spans="1:7" x14ac:dyDescent="0.3">
      <c r="A2710" s="2">
        <v>44840</v>
      </c>
      <c r="B2710" t="s">
        <v>1703</v>
      </c>
      <c r="C2710">
        <v>6001.25</v>
      </c>
      <c r="D2710" s="2">
        <v>44840</v>
      </c>
      <c r="E2710" t="s">
        <v>25</v>
      </c>
      <c r="F2710">
        <v>6001.25</v>
      </c>
      <c r="G2710">
        <v>0</v>
      </c>
    </row>
    <row r="2711" spans="1:7" x14ac:dyDescent="0.3">
      <c r="A2711" s="2">
        <v>44841</v>
      </c>
      <c r="B2711" t="s">
        <v>1704</v>
      </c>
      <c r="C2711">
        <v>4756.25</v>
      </c>
      <c r="D2711" s="2">
        <v>44841</v>
      </c>
      <c r="E2711" t="s">
        <v>25</v>
      </c>
      <c r="F2711">
        <v>4756.25</v>
      </c>
      <c r="G2711">
        <v>0</v>
      </c>
    </row>
    <row r="2712" spans="1:7" x14ac:dyDescent="0.3">
      <c r="A2712" s="2">
        <v>44845</v>
      </c>
      <c r="B2712" t="s">
        <v>1705</v>
      </c>
      <c r="C2712">
        <v>11206.25</v>
      </c>
      <c r="D2712" s="2">
        <v>44845</v>
      </c>
      <c r="E2712" t="s">
        <v>25</v>
      </c>
      <c r="F2712">
        <v>11206.25</v>
      </c>
      <c r="G2712">
        <v>0</v>
      </c>
    </row>
    <row r="2713" spans="1:7" x14ac:dyDescent="0.3">
      <c r="A2713" s="2">
        <v>44845</v>
      </c>
      <c r="B2713" t="s">
        <v>1706</v>
      </c>
      <c r="C2713">
        <v>8640</v>
      </c>
      <c r="D2713" s="2">
        <v>44845</v>
      </c>
      <c r="E2713" t="s">
        <v>25</v>
      </c>
      <c r="F2713">
        <v>8640</v>
      </c>
      <c r="G2713">
        <v>0</v>
      </c>
    </row>
    <row r="2714" spans="1:7" x14ac:dyDescent="0.3">
      <c r="A2714" s="2">
        <v>44845</v>
      </c>
      <c r="B2714" t="s">
        <v>1705</v>
      </c>
      <c r="C2714">
        <v>160</v>
      </c>
      <c r="D2714" s="2">
        <v>44845</v>
      </c>
      <c r="E2714" t="s">
        <v>25</v>
      </c>
      <c r="F2714">
        <v>160</v>
      </c>
      <c r="G2714">
        <v>0</v>
      </c>
    </row>
    <row r="2715" spans="1:7" x14ac:dyDescent="0.3">
      <c r="A2715" s="2">
        <v>44846</v>
      </c>
      <c r="B2715" t="s">
        <v>1707</v>
      </c>
      <c r="C2715">
        <v>1082.5</v>
      </c>
      <c r="D2715" s="2">
        <v>44846</v>
      </c>
      <c r="E2715" t="s">
        <v>25</v>
      </c>
      <c r="F2715">
        <v>1082.5</v>
      </c>
      <c r="G2715">
        <v>0</v>
      </c>
    </row>
    <row r="2716" spans="1:7" x14ac:dyDescent="0.3">
      <c r="A2716" s="2">
        <v>44847</v>
      </c>
      <c r="B2716" t="s">
        <v>1708</v>
      </c>
      <c r="C2716">
        <v>-5000</v>
      </c>
      <c r="D2716" s="2">
        <v>44849</v>
      </c>
      <c r="E2716" t="s">
        <v>27</v>
      </c>
      <c r="F2716">
        <v>-5000</v>
      </c>
      <c r="G2716">
        <v>0</v>
      </c>
    </row>
    <row r="2717" spans="1:7" x14ac:dyDescent="0.3">
      <c r="A2717" s="2">
        <v>44847</v>
      </c>
      <c r="B2717" t="s">
        <v>1709</v>
      </c>
      <c r="C2717">
        <v>-96225</v>
      </c>
      <c r="D2717" s="2">
        <v>44847</v>
      </c>
      <c r="E2717" t="s">
        <v>27</v>
      </c>
      <c r="F2717">
        <v>-96225</v>
      </c>
      <c r="G2717">
        <v>0</v>
      </c>
    </row>
    <row r="2718" spans="1:7" x14ac:dyDescent="0.3">
      <c r="A2718" s="2">
        <v>44847</v>
      </c>
      <c r="B2718" t="s">
        <v>1710</v>
      </c>
      <c r="C2718">
        <v>206.25</v>
      </c>
      <c r="D2718" s="2">
        <v>44847</v>
      </c>
      <c r="E2718" t="s">
        <v>25</v>
      </c>
      <c r="F2718">
        <v>206.25</v>
      </c>
      <c r="G2718">
        <v>0</v>
      </c>
    </row>
    <row r="2719" spans="1:7" x14ac:dyDescent="0.3">
      <c r="A2719" s="2">
        <v>44848</v>
      </c>
      <c r="B2719" t="s">
        <v>1711</v>
      </c>
      <c r="C2719">
        <v>4196.25</v>
      </c>
      <c r="D2719" s="2">
        <v>44848</v>
      </c>
      <c r="E2719" t="s">
        <v>25</v>
      </c>
      <c r="F2719">
        <v>4196.25</v>
      </c>
      <c r="G2719">
        <v>0</v>
      </c>
    </row>
    <row r="2720" spans="1:7" x14ac:dyDescent="0.3">
      <c r="A2720" s="2">
        <v>44851</v>
      </c>
      <c r="B2720" t="s">
        <v>1712</v>
      </c>
      <c r="C2720">
        <v>165</v>
      </c>
      <c r="D2720" s="2">
        <v>44851</v>
      </c>
      <c r="E2720" t="s">
        <v>25</v>
      </c>
      <c r="F2720">
        <v>165</v>
      </c>
      <c r="G2720">
        <v>0</v>
      </c>
    </row>
    <row r="2721" spans="1:7" x14ac:dyDescent="0.3">
      <c r="A2721" s="2">
        <v>44851</v>
      </c>
      <c r="B2721" t="s">
        <v>1713</v>
      </c>
      <c r="C2721">
        <v>206.25</v>
      </c>
      <c r="D2721" s="2">
        <v>44851</v>
      </c>
      <c r="E2721" t="s">
        <v>25</v>
      </c>
      <c r="F2721">
        <v>206.25</v>
      </c>
      <c r="G2721">
        <v>0</v>
      </c>
    </row>
    <row r="2722" spans="1:7" x14ac:dyDescent="0.3">
      <c r="A2722" s="2">
        <v>44852</v>
      </c>
      <c r="B2722" t="s">
        <v>1714</v>
      </c>
      <c r="C2722">
        <v>-10.88</v>
      </c>
      <c r="D2722" s="2">
        <v>44852</v>
      </c>
      <c r="E2722" t="s">
        <v>27</v>
      </c>
      <c r="F2722">
        <v>-10.88</v>
      </c>
      <c r="G2722">
        <v>0</v>
      </c>
    </row>
    <row r="2723" spans="1:7" x14ac:dyDescent="0.3">
      <c r="A2723" s="2">
        <v>44853</v>
      </c>
      <c r="B2723" t="s">
        <v>1715</v>
      </c>
      <c r="C2723">
        <v>206.25</v>
      </c>
      <c r="D2723" s="2">
        <v>44853</v>
      </c>
      <c r="E2723" t="s">
        <v>25</v>
      </c>
      <c r="F2723">
        <v>206.25</v>
      </c>
      <c r="G2723">
        <v>0</v>
      </c>
    </row>
    <row r="2724" spans="1:7" x14ac:dyDescent="0.3">
      <c r="A2724" s="2">
        <v>44855</v>
      </c>
      <c r="B2724" t="s">
        <v>1716</v>
      </c>
      <c r="C2724">
        <v>787.5</v>
      </c>
      <c r="D2724" s="2">
        <v>44855</v>
      </c>
      <c r="E2724" t="s">
        <v>25</v>
      </c>
      <c r="F2724">
        <v>787.5</v>
      </c>
      <c r="G2724">
        <v>0</v>
      </c>
    </row>
    <row r="2725" spans="1:7" x14ac:dyDescent="0.3">
      <c r="A2725" s="2">
        <v>44858</v>
      </c>
      <c r="B2725" t="s">
        <v>1717</v>
      </c>
      <c r="C2725">
        <v>1000</v>
      </c>
      <c r="D2725" s="2">
        <v>44858</v>
      </c>
      <c r="E2725" t="s">
        <v>25</v>
      </c>
      <c r="F2725">
        <v>1000</v>
      </c>
      <c r="G2725">
        <v>0</v>
      </c>
    </row>
    <row r="2726" spans="1:7" x14ac:dyDescent="0.3">
      <c r="A2726" s="2">
        <v>44858</v>
      </c>
      <c r="B2726" t="s">
        <v>1718</v>
      </c>
      <c r="C2726">
        <v>412.5</v>
      </c>
      <c r="D2726" s="2">
        <v>44858</v>
      </c>
      <c r="E2726" t="s">
        <v>25</v>
      </c>
      <c r="F2726">
        <v>412.5</v>
      </c>
      <c r="G2726">
        <v>0</v>
      </c>
    </row>
    <row r="2727" spans="1:7" x14ac:dyDescent="0.3">
      <c r="A2727" s="2">
        <v>44858</v>
      </c>
      <c r="B2727" t="s">
        <v>31</v>
      </c>
      <c r="C2727">
        <v>420</v>
      </c>
      <c r="D2727" s="2">
        <v>44858</v>
      </c>
      <c r="E2727" t="s">
        <v>25</v>
      </c>
      <c r="F2727">
        <v>420</v>
      </c>
      <c r="G2727">
        <v>0</v>
      </c>
    </row>
    <row r="2728" spans="1:7" x14ac:dyDescent="0.3">
      <c r="A2728" s="2">
        <v>44858</v>
      </c>
      <c r="B2728" t="s">
        <v>1718</v>
      </c>
      <c r="C2728">
        <v>165</v>
      </c>
      <c r="D2728" s="2">
        <v>44858</v>
      </c>
      <c r="E2728" t="s">
        <v>25</v>
      </c>
      <c r="F2728">
        <v>165</v>
      </c>
      <c r="G2728">
        <v>0</v>
      </c>
    </row>
    <row r="2729" spans="1:7" x14ac:dyDescent="0.3">
      <c r="A2729" s="2">
        <v>44859</v>
      </c>
      <c r="B2729" t="s">
        <v>1719</v>
      </c>
      <c r="C2729">
        <v>330</v>
      </c>
      <c r="D2729" s="2">
        <v>44859</v>
      </c>
      <c r="E2729" t="s">
        <v>25</v>
      </c>
      <c r="F2729">
        <v>330</v>
      </c>
      <c r="G2729">
        <v>0</v>
      </c>
    </row>
    <row r="2730" spans="1:7" x14ac:dyDescent="0.3">
      <c r="A2730" s="2">
        <v>44860</v>
      </c>
      <c r="B2730" t="s">
        <v>1720</v>
      </c>
      <c r="C2730">
        <v>665</v>
      </c>
      <c r="D2730" s="2">
        <v>44860</v>
      </c>
      <c r="E2730" t="s">
        <v>25</v>
      </c>
      <c r="F2730">
        <v>665</v>
      </c>
      <c r="G2730">
        <v>0</v>
      </c>
    </row>
    <row r="2731" spans="1:7" x14ac:dyDescent="0.3">
      <c r="A2731" s="2">
        <v>44865</v>
      </c>
      <c r="B2731" t="s">
        <v>1721</v>
      </c>
      <c r="C2731">
        <v>1650</v>
      </c>
      <c r="D2731" s="2">
        <v>44865</v>
      </c>
      <c r="E2731" t="s">
        <v>25</v>
      </c>
      <c r="F2731">
        <v>1650</v>
      </c>
      <c r="G2731">
        <v>0</v>
      </c>
    </row>
    <row r="2732" spans="1:7" x14ac:dyDescent="0.3">
      <c r="A2732" s="2">
        <v>44865</v>
      </c>
      <c r="B2732" t="s">
        <v>1721</v>
      </c>
      <c r="C2732">
        <v>2016.25</v>
      </c>
      <c r="D2732" s="2">
        <v>44865</v>
      </c>
      <c r="E2732" t="s">
        <v>25</v>
      </c>
      <c r="F2732">
        <v>2016.25</v>
      </c>
      <c r="G2732">
        <v>0</v>
      </c>
    </row>
    <row r="2733" spans="1:7" x14ac:dyDescent="0.3">
      <c r="A2733" s="2">
        <v>44865</v>
      </c>
      <c r="B2733" t="s">
        <v>1722</v>
      </c>
      <c r="C2733">
        <v>-42.99</v>
      </c>
      <c r="D2733" s="2">
        <v>44865</v>
      </c>
      <c r="E2733" t="s">
        <v>27</v>
      </c>
      <c r="F2733">
        <v>-42.99</v>
      </c>
      <c r="G2733">
        <v>0</v>
      </c>
    </row>
    <row r="2734" spans="1:7" x14ac:dyDescent="0.3">
      <c r="A2734" s="2">
        <v>44866</v>
      </c>
      <c r="B2734" t="s">
        <v>1723</v>
      </c>
      <c r="C2734">
        <v>3890</v>
      </c>
      <c r="D2734" s="2">
        <v>44866</v>
      </c>
      <c r="E2734" t="s">
        <v>25</v>
      </c>
      <c r="F2734">
        <v>3890</v>
      </c>
      <c r="G2734">
        <v>0</v>
      </c>
    </row>
    <row r="2735" spans="1:7" x14ac:dyDescent="0.3">
      <c r="A2735" s="2">
        <v>44866</v>
      </c>
      <c r="B2735" t="s">
        <v>1724</v>
      </c>
      <c r="C2735">
        <v>165</v>
      </c>
      <c r="D2735" s="2">
        <v>44866</v>
      </c>
      <c r="E2735" t="s">
        <v>25</v>
      </c>
      <c r="F2735">
        <v>165</v>
      </c>
      <c r="G2735">
        <v>0</v>
      </c>
    </row>
    <row r="2736" spans="1:7" x14ac:dyDescent="0.3">
      <c r="A2736" s="2">
        <v>44867</v>
      </c>
      <c r="B2736" t="s">
        <v>1725</v>
      </c>
      <c r="C2736">
        <v>165</v>
      </c>
      <c r="D2736" s="2">
        <v>44867</v>
      </c>
      <c r="E2736" t="s">
        <v>25</v>
      </c>
      <c r="F2736">
        <v>165</v>
      </c>
      <c r="G2736">
        <v>0</v>
      </c>
    </row>
    <row r="2737" spans="1:7" x14ac:dyDescent="0.3">
      <c r="A2737" s="2">
        <v>44868</v>
      </c>
      <c r="B2737" t="s">
        <v>1726</v>
      </c>
      <c r="C2737">
        <v>330</v>
      </c>
      <c r="D2737" s="2">
        <v>44868</v>
      </c>
      <c r="E2737" t="s">
        <v>25</v>
      </c>
      <c r="F2737">
        <v>330</v>
      </c>
      <c r="G2737">
        <v>0</v>
      </c>
    </row>
    <row r="2738" spans="1:7" x14ac:dyDescent="0.3">
      <c r="A2738" s="2">
        <v>44869</v>
      </c>
      <c r="B2738" t="s">
        <v>1727</v>
      </c>
      <c r="C2738">
        <v>165</v>
      </c>
      <c r="D2738" s="2">
        <v>44869</v>
      </c>
      <c r="E2738" t="s">
        <v>25</v>
      </c>
      <c r="F2738">
        <v>165</v>
      </c>
      <c r="G2738">
        <v>0</v>
      </c>
    </row>
    <row r="2739" spans="1:7" x14ac:dyDescent="0.3">
      <c r="A2739" s="2">
        <v>44872</v>
      </c>
      <c r="B2739" t="s">
        <v>1728</v>
      </c>
      <c r="C2739">
        <v>836.25</v>
      </c>
      <c r="D2739" s="2">
        <v>44872</v>
      </c>
      <c r="E2739" t="s">
        <v>25</v>
      </c>
      <c r="F2739">
        <v>836.25</v>
      </c>
      <c r="G2739">
        <v>0</v>
      </c>
    </row>
    <row r="2740" spans="1:7" x14ac:dyDescent="0.3">
      <c r="A2740" s="2">
        <v>44872</v>
      </c>
      <c r="B2740" t="s">
        <v>1729</v>
      </c>
      <c r="C2740">
        <v>581.25</v>
      </c>
      <c r="D2740" s="2">
        <v>44872</v>
      </c>
      <c r="E2740" t="s">
        <v>25</v>
      </c>
      <c r="F2740">
        <v>581.25</v>
      </c>
      <c r="G2740">
        <v>0</v>
      </c>
    </row>
    <row r="2741" spans="1:7" x14ac:dyDescent="0.3">
      <c r="A2741" s="2">
        <v>44873</v>
      </c>
      <c r="B2741" t="s">
        <v>1730</v>
      </c>
      <c r="C2741">
        <v>495</v>
      </c>
      <c r="D2741" s="2">
        <v>44873</v>
      </c>
      <c r="E2741" t="s">
        <v>25</v>
      </c>
      <c r="F2741">
        <v>495</v>
      </c>
      <c r="G2741">
        <v>0</v>
      </c>
    </row>
    <row r="2742" spans="1:7" x14ac:dyDescent="0.3">
      <c r="A2742" s="2">
        <v>44874</v>
      </c>
      <c r="B2742" t="s">
        <v>1731</v>
      </c>
      <c r="C2742">
        <v>3465</v>
      </c>
      <c r="D2742" s="2">
        <v>44874</v>
      </c>
      <c r="E2742" t="s">
        <v>25</v>
      </c>
      <c r="F2742">
        <v>3465</v>
      </c>
      <c r="G2742">
        <v>0</v>
      </c>
    </row>
    <row r="2743" spans="1:7" x14ac:dyDescent="0.3">
      <c r="A2743" s="2">
        <v>44879</v>
      </c>
      <c r="B2743" t="s">
        <v>1732</v>
      </c>
      <c r="C2743">
        <v>110</v>
      </c>
      <c r="D2743" s="2">
        <v>44879</v>
      </c>
      <c r="E2743" t="s">
        <v>25</v>
      </c>
      <c r="F2743">
        <v>110</v>
      </c>
      <c r="G2743">
        <v>0</v>
      </c>
    </row>
    <row r="2744" spans="1:7" x14ac:dyDescent="0.3">
      <c r="A2744" s="2">
        <v>44879</v>
      </c>
      <c r="B2744" t="s">
        <v>1733</v>
      </c>
      <c r="C2744">
        <v>1706.25</v>
      </c>
      <c r="D2744" s="2">
        <v>44877</v>
      </c>
      <c r="E2744" t="s">
        <v>25</v>
      </c>
      <c r="F2744">
        <v>1706.25</v>
      </c>
      <c r="G2744">
        <v>0</v>
      </c>
    </row>
    <row r="2745" spans="1:7" x14ac:dyDescent="0.3">
      <c r="A2745" s="2">
        <v>44879</v>
      </c>
      <c r="B2745" t="s">
        <v>1734</v>
      </c>
      <c r="C2745">
        <v>371.25</v>
      </c>
      <c r="D2745" s="2">
        <v>44876</v>
      </c>
      <c r="E2745" t="s">
        <v>25</v>
      </c>
      <c r="F2745">
        <v>371.25</v>
      </c>
      <c r="G2745">
        <v>0</v>
      </c>
    </row>
    <row r="2746" spans="1:7" x14ac:dyDescent="0.3">
      <c r="A2746" s="2">
        <v>44879</v>
      </c>
      <c r="B2746" t="s">
        <v>1735</v>
      </c>
      <c r="C2746">
        <v>330</v>
      </c>
      <c r="D2746" s="2">
        <v>44879</v>
      </c>
      <c r="E2746" t="s">
        <v>25</v>
      </c>
      <c r="F2746">
        <v>330</v>
      </c>
      <c r="G2746">
        <v>0</v>
      </c>
    </row>
    <row r="2747" spans="1:7" x14ac:dyDescent="0.3">
      <c r="A2747" s="2">
        <v>44879</v>
      </c>
      <c r="B2747" t="s">
        <v>1733</v>
      </c>
      <c r="C2747">
        <v>165</v>
      </c>
      <c r="D2747" s="2">
        <v>44879</v>
      </c>
      <c r="E2747" t="s">
        <v>25</v>
      </c>
      <c r="F2747">
        <v>165</v>
      </c>
      <c r="G2747">
        <v>0</v>
      </c>
    </row>
    <row r="2748" spans="1:7" x14ac:dyDescent="0.3">
      <c r="A2748" s="2">
        <v>44880</v>
      </c>
      <c r="B2748" t="s">
        <v>1736</v>
      </c>
      <c r="C2748">
        <v>581.25</v>
      </c>
      <c r="D2748" s="2">
        <v>44879</v>
      </c>
      <c r="E2748" t="s">
        <v>25</v>
      </c>
      <c r="F2748">
        <v>581.25</v>
      </c>
      <c r="G2748">
        <v>0</v>
      </c>
    </row>
    <row r="2749" spans="1:7" x14ac:dyDescent="0.3">
      <c r="A2749" s="2">
        <v>44882</v>
      </c>
      <c r="B2749" t="s">
        <v>1737</v>
      </c>
      <c r="C2749">
        <v>300</v>
      </c>
      <c r="D2749" s="2">
        <v>44879</v>
      </c>
      <c r="E2749" t="s">
        <v>25</v>
      </c>
      <c r="F2749">
        <v>300</v>
      </c>
      <c r="G2749">
        <v>0</v>
      </c>
    </row>
    <row r="2750" spans="1:7" x14ac:dyDescent="0.3">
      <c r="A2750" s="2">
        <v>44883</v>
      </c>
      <c r="B2750" t="s">
        <v>1738</v>
      </c>
      <c r="C2750">
        <v>18180</v>
      </c>
      <c r="D2750" s="2">
        <v>44881</v>
      </c>
      <c r="E2750" t="s">
        <v>25</v>
      </c>
      <c r="F2750">
        <v>18180</v>
      </c>
      <c r="G2750">
        <v>0</v>
      </c>
    </row>
    <row r="2751" spans="1:7" x14ac:dyDescent="0.3">
      <c r="A2751" s="2">
        <v>44886</v>
      </c>
      <c r="B2751" t="s">
        <v>1739</v>
      </c>
      <c r="C2751">
        <v>1155</v>
      </c>
      <c r="D2751" s="2">
        <v>44887</v>
      </c>
      <c r="E2751" t="s">
        <v>25</v>
      </c>
      <c r="F2751">
        <v>1155</v>
      </c>
      <c r="G2751">
        <v>0</v>
      </c>
    </row>
    <row r="2752" spans="1:7" x14ac:dyDescent="0.3">
      <c r="A2752" s="2">
        <v>44887</v>
      </c>
      <c r="B2752" t="s">
        <v>1740</v>
      </c>
      <c r="C2752">
        <v>1856.25</v>
      </c>
      <c r="D2752" s="2">
        <v>44884</v>
      </c>
      <c r="E2752" t="s">
        <v>25</v>
      </c>
      <c r="F2752">
        <v>1856.25</v>
      </c>
      <c r="G2752">
        <v>0</v>
      </c>
    </row>
    <row r="2753" spans="1:7" x14ac:dyDescent="0.3">
      <c r="A2753" s="2">
        <v>44887</v>
      </c>
      <c r="B2753" t="s">
        <v>1741</v>
      </c>
      <c r="C2753">
        <v>165</v>
      </c>
      <c r="D2753" s="2">
        <v>44887</v>
      </c>
      <c r="E2753" t="s">
        <v>25</v>
      </c>
      <c r="F2753">
        <v>165</v>
      </c>
      <c r="G2753">
        <v>0</v>
      </c>
    </row>
    <row r="2754" spans="1:7" x14ac:dyDescent="0.3">
      <c r="A2754" s="2">
        <v>44888</v>
      </c>
      <c r="B2754" t="s">
        <v>1742</v>
      </c>
      <c r="C2754">
        <v>3240</v>
      </c>
      <c r="D2754" s="2">
        <v>44885</v>
      </c>
      <c r="E2754" t="s">
        <v>25</v>
      </c>
      <c r="F2754">
        <v>3240</v>
      </c>
      <c r="G2754">
        <v>0</v>
      </c>
    </row>
    <row r="2755" spans="1:7" x14ac:dyDescent="0.3">
      <c r="A2755" s="2">
        <v>44890</v>
      </c>
      <c r="B2755" t="s">
        <v>1743</v>
      </c>
      <c r="C2755">
        <v>5500</v>
      </c>
      <c r="D2755" s="2">
        <v>44890</v>
      </c>
      <c r="E2755" t="s">
        <v>25</v>
      </c>
      <c r="F2755">
        <v>5500</v>
      </c>
      <c r="G2755">
        <v>0</v>
      </c>
    </row>
    <row r="2756" spans="1:7" x14ac:dyDescent="0.3">
      <c r="A2756" s="2">
        <v>44893</v>
      </c>
      <c r="B2756" t="s">
        <v>1744</v>
      </c>
      <c r="C2756">
        <v>536.25</v>
      </c>
      <c r="D2756" s="2">
        <v>44890</v>
      </c>
      <c r="E2756" t="s">
        <v>25</v>
      </c>
      <c r="F2756">
        <v>536.25</v>
      </c>
      <c r="G2756">
        <v>0</v>
      </c>
    </row>
    <row r="2757" spans="1:7" x14ac:dyDescent="0.3">
      <c r="A2757" s="2">
        <v>44894</v>
      </c>
      <c r="B2757" t="s">
        <v>1745</v>
      </c>
      <c r="C2757">
        <v>825</v>
      </c>
      <c r="D2757" s="2">
        <v>44891</v>
      </c>
      <c r="E2757" t="s">
        <v>25</v>
      </c>
      <c r="F2757">
        <v>825</v>
      </c>
      <c r="G2757">
        <v>0</v>
      </c>
    </row>
    <row r="2758" spans="1:7" x14ac:dyDescent="0.3">
      <c r="A2758" s="2">
        <v>44867</v>
      </c>
      <c r="B2758" t="s">
        <v>1724</v>
      </c>
      <c r="C2758">
        <v>-2534.09</v>
      </c>
      <c r="D2758" s="2">
        <v>44867</v>
      </c>
      <c r="E2758" t="s">
        <v>27</v>
      </c>
      <c r="F2758">
        <v>-2534.09</v>
      </c>
      <c r="G2758">
        <v>0</v>
      </c>
    </row>
    <row r="2759" spans="1:7" x14ac:dyDescent="0.3">
      <c r="A2759" s="2">
        <v>44866</v>
      </c>
      <c r="B2759" t="s">
        <v>1746</v>
      </c>
      <c r="C2759">
        <v>-30</v>
      </c>
      <c r="D2759" s="2">
        <v>44866</v>
      </c>
      <c r="E2759" t="s">
        <v>27</v>
      </c>
      <c r="F2759">
        <v>-30</v>
      </c>
      <c r="G2759">
        <v>0</v>
      </c>
    </row>
    <row r="2760" spans="1:7" x14ac:dyDescent="0.3">
      <c r="A2760" s="2">
        <v>44868</v>
      </c>
      <c r="B2760" t="s">
        <v>1747</v>
      </c>
      <c r="C2760">
        <v>-136.1</v>
      </c>
      <c r="D2760" s="2">
        <v>44868</v>
      </c>
      <c r="E2760" t="s">
        <v>27</v>
      </c>
      <c r="F2760">
        <v>-136.1</v>
      </c>
      <c r="G2760">
        <v>0</v>
      </c>
    </row>
    <row r="2761" spans="1:7" x14ac:dyDescent="0.3">
      <c r="A2761" s="2">
        <v>44882</v>
      </c>
      <c r="B2761" t="s">
        <v>1748</v>
      </c>
      <c r="C2761">
        <v>-10.88</v>
      </c>
      <c r="D2761" s="2">
        <v>44882</v>
      </c>
      <c r="E2761" t="s">
        <v>27</v>
      </c>
      <c r="F2761">
        <v>-10.88</v>
      </c>
      <c r="G2761">
        <v>0</v>
      </c>
    </row>
    <row r="2762" spans="1:7" x14ac:dyDescent="0.3">
      <c r="A2762" s="2">
        <v>44890</v>
      </c>
      <c r="B2762" t="s">
        <v>1749</v>
      </c>
      <c r="C2762">
        <v>-14.7</v>
      </c>
      <c r="D2762" s="2">
        <v>44890</v>
      </c>
      <c r="E2762" t="s">
        <v>27</v>
      </c>
      <c r="F2762">
        <v>-14.7</v>
      </c>
      <c r="G2762">
        <v>0</v>
      </c>
    </row>
    <row r="2763" spans="1:7" x14ac:dyDescent="0.3">
      <c r="A2763" s="2">
        <v>44895</v>
      </c>
      <c r="B2763" t="s">
        <v>1750</v>
      </c>
      <c r="C2763">
        <v>-93.28</v>
      </c>
      <c r="D2763" s="2">
        <v>44895</v>
      </c>
      <c r="E2763" t="s">
        <v>27</v>
      </c>
      <c r="F2763">
        <v>-93.28</v>
      </c>
      <c r="G2763">
        <v>0</v>
      </c>
    </row>
    <row r="2764" spans="1:7" x14ac:dyDescent="0.3">
      <c r="A2764" s="2">
        <v>44897</v>
      </c>
      <c r="B2764" t="s">
        <v>1751</v>
      </c>
      <c r="C2764">
        <v>1650</v>
      </c>
      <c r="D2764" s="2">
        <v>44897</v>
      </c>
      <c r="E2764" t="s">
        <v>25</v>
      </c>
      <c r="F2764">
        <v>1650</v>
      </c>
      <c r="G2764">
        <v>0</v>
      </c>
    </row>
    <row r="2765" spans="1:7" x14ac:dyDescent="0.3">
      <c r="A2765" s="2">
        <v>44900</v>
      </c>
      <c r="B2765" t="s">
        <v>1751</v>
      </c>
      <c r="C2765">
        <v>2940</v>
      </c>
      <c r="D2765" s="2">
        <v>44900</v>
      </c>
      <c r="E2765" t="s">
        <v>25</v>
      </c>
      <c r="F2765">
        <v>2940</v>
      </c>
      <c r="G2765">
        <v>0</v>
      </c>
    </row>
    <row r="2766" spans="1:7" x14ac:dyDescent="0.3">
      <c r="A2766" s="2">
        <v>44900</v>
      </c>
      <c r="B2766" t="s">
        <v>1751</v>
      </c>
      <c r="C2766">
        <v>1196.25</v>
      </c>
      <c r="D2766" s="2">
        <v>44900</v>
      </c>
      <c r="E2766" t="s">
        <v>25</v>
      </c>
      <c r="F2766">
        <v>1196.25</v>
      </c>
      <c r="G2766">
        <v>0</v>
      </c>
    </row>
    <row r="2767" spans="1:7" x14ac:dyDescent="0.3">
      <c r="A2767" s="2">
        <v>44900</v>
      </c>
      <c r="B2767" t="s">
        <v>1751</v>
      </c>
      <c r="C2767">
        <v>990</v>
      </c>
      <c r="D2767" s="2">
        <v>44900</v>
      </c>
      <c r="E2767" t="s">
        <v>25</v>
      </c>
      <c r="F2767">
        <v>990</v>
      </c>
      <c r="G2767">
        <v>0</v>
      </c>
    </row>
    <row r="2768" spans="1:7" x14ac:dyDescent="0.3">
      <c r="A2768" s="2">
        <v>44901</v>
      </c>
      <c r="B2768" t="s">
        <v>1752</v>
      </c>
      <c r="C2768">
        <v>7300</v>
      </c>
      <c r="D2768" s="2">
        <v>44901</v>
      </c>
      <c r="E2768" t="s">
        <v>25</v>
      </c>
      <c r="F2768">
        <v>7300</v>
      </c>
      <c r="G2768">
        <v>0</v>
      </c>
    </row>
    <row r="2769" spans="1:7" x14ac:dyDescent="0.3">
      <c r="A2769" s="2">
        <v>44901</v>
      </c>
      <c r="B2769" t="s">
        <v>1751</v>
      </c>
      <c r="C2769">
        <v>855</v>
      </c>
      <c r="D2769" s="2">
        <v>44901</v>
      </c>
      <c r="E2769" t="s">
        <v>25</v>
      </c>
      <c r="F2769">
        <v>855</v>
      </c>
      <c r="G2769">
        <v>0</v>
      </c>
    </row>
    <row r="2770" spans="1:7" x14ac:dyDescent="0.3">
      <c r="A2770" s="2">
        <v>44902</v>
      </c>
      <c r="B2770" t="s">
        <v>1751</v>
      </c>
      <c r="C2770">
        <v>3011.25</v>
      </c>
      <c r="D2770" s="2">
        <v>44902</v>
      </c>
      <c r="E2770" t="s">
        <v>25</v>
      </c>
      <c r="F2770">
        <v>3011.25</v>
      </c>
      <c r="G2770">
        <v>0</v>
      </c>
    </row>
    <row r="2771" spans="1:7" x14ac:dyDescent="0.3">
      <c r="A2771" s="2">
        <v>44903</v>
      </c>
      <c r="B2771" t="s">
        <v>1751</v>
      </c>
      <c r="C2771">
        <v>8391.25</v>
      </c>
      <c r="D2771" s="2">
        <v>44903</v>
      </c>
      <c r="E2771" t="s">
        <v>25</v>
      </c>
      <c r="F2771">
        <v>8391.25</v>
      </c>
      <c r="G2771">
        <v>0</v>
      </c>
    </row>
    <row r="2772" spans="1:7" x14ac:dyDescent="0.3">
      <c r="A2772" s="2">
        <v>44904</v>
      </c>
      <c r="B2772" t="s">
        <v>1751</v>
      </c>
      <c r="C2772">
        <v>11370</v>
      </c>
      <c r="D2772" s="2">
        <v>44904</v>
      </c>
      <c r="E2772" t="s">
        <v>25</v>
      </c>
      <c r="F2772">
        <v>11370</v>
      </c>
      <c r="G2772">
        <v>0</v>
      </c>
    </row>
    <row r="2773" spans="1:7" x14ac:dyDescent="0.3">
      <c r="A2773" s="2">
        <v>44907</v>
      </c>
      <c r="B2773" t="s">
        <v>1753</v>
      </c>
      <c r="C2773">
        <v>7300</v>
      </c>
      <c r="D2773" s="2">
        <v>44907</v>
      </c>
      <c r="E2773" t="s">
        <v>25</v>
      </c>
      <c r="F2773">
        <v>7300</v>
      </c>
      <c r="G2773">
        <v>0</v>
      </c>
    </row>
    <row r="2774" spans="1:7" x14ac:dyDescent="0.3">
      <c r="A2774" s="2">
        <v>44907</v>
      </c>
      <c r="B2774" t="s">
        <v>1753</v>
      </c>
      <c r="C2774">
        <v>7300</v>
      </c>
      <c r="D2774" s="2">
        <v>44907</v>
      </c>
      <c r="E2774" t="s">
        <v>25</v>
      </c>
      <c r="F2774">
        <v>7300</v>
      </c>
      <c r="G2774">
        <v>0</v>
      </c>
    </row>
    <row r="2775" spans="1:7" x14ac:dyDescent="0.3">
      <c r="A2775" s="2">
        <v>44907</v>
      </c>
      <c r="B2775" t="s">
        <v>1753</v>
      </c>
      <c r="C2775">
        <v>1650</v>
      </c>
      <c r="D2775" s="2">
        <v>44907</v>
      </c>
      <c r="E2775" t="s">
        <v>25</v>
      </c>
      <c r="F2775">
        <v>1650</v>
      </c>
      <c r="G2775">
        <v>0</v>
      </c>
    </row>
    <row r="2776" spans="1:7" x14ac:dyDescent="0.3">
      <c r="A2776" s="2">
        <v>44907</v>
      </c>
      <c r="B2776" t="s">
        <v>1751</v>
      </c>
      <c r="C2776">
        <v>8981.25</v>
      </c>
      <c r="D2776" s="2">
        <v>44907</v>
      </c>
      <c r="E2776" t="s">
        <v>25</v>
      </c>
      <c r="F2776">
        <v>8981.25</v>
      </c>
      <c r="G2776">
        <v>0</v>
      </c>
    </row>
    <row r="2777" spans="1:7" x14ac:dyDescent="0.3">
      <c r="A2777" s="2">
        <v>44907</v>
      </c>
      <c r="B2777" t="s">
        <v>1751</v>
      </c>
      <c r="C2777">
        <v>4800</v>
      </c>
      <c r="D2777" s="2">
        <v>44907</v>
      </c>
      <c r="E2777" t="s">
        <v>25</v>
      </c>
      <c r="F2777">
        <v>4800</v>
      </c>
      <c r="G2777">
        <v>0</v>
      </c>
    </row>
    <row r="2778" spans="1:7" x14ac:dyDescent="0.3">
      <c r="A2778" s="2">
        <v>44907</v>
      </c>
      <c r="B2778" t="s">
        <v>1751</v>
      </c>
      <c r="C2778">
        <v>660</v>
      </c>
      <c r="D2778" s="2">
        <v>44907</v>
      </c>
      <c r="E2778" t="s">
        <v>25</v>
      </c>
      <c r="F2778">
        <v>660</v>
      </c>
      <c r="G2778">
        <v>0</v>
      </c>
    </row>
    <row r="2779" spans="1:7" x14ac:dyDescent="0.3">
      <c r="A2779" s="2">
        <v>44908</v>
      </c>
      <c r="B2779" t="s">
        <v>1751</v>
      </c>
      <c r="C2779">
        <v>5995</v>
      </c>
      <c r="D2779" s="2">
        <v>44908</v>
      </c>
      <c r="E2779" t="s">
        <v>25</v>
      </c>
      <c r="F2779">
        <v>5995</v>
      </c>
      <c r="G2779">
        <v>0</v>
      </c>
    </row>
    <row r="2780" spans="1:7" x14ac:dyDescent="0.3">
      <c r="A2780" s="2">
        <v>44909</v>
      </c>
      <c r="B2780" t="s">
        <v>1751</v>
      </c>
      <c r="C2780">
        <v>11665</v>
      </c>
      <c r="D2780" s="2">
        <v>44909</v>
      </c>
      <c r="E2780" t="s">
        <v>25</v>
      </c>
      <c r="F2780">
        <v>11665</v>
      </c>
      <c r="G2780">
        <v>0</v>
      </c>
    </row>
    <row r="2781" spans="1:7" x14ac:dyDescent="0.3">
      <c r="A2781" s="2">
        <v>44910</v>
      </c>
      <c r="B2781" t="s">
        <v>1751</v>
      </c>
      <c r="C2781">
        <v>5385</v>
      </c>
      <c r="D2781" s="2">
        <v>44910</v>
      </c>
      <c r="E2781" t="s">
        <v>25</v>
      </c>
      <c r="F2781">
        <v>5385</v>
      </c>
      <c r="G2781">
        <v>0</v>
      </c>
    </row>
    <row r="2782" spans="1:7" x14ac:dyDescent="0.3">
      <c r="A2782" s="2">
        <v>44911</v>
      </c>
      <c r="B2782" t="s">
        <v>1753</v>
      </c>
      <c r="C2782">
        <v>165</v>
      </c>
      <c r="D2782" s="2">
        <v>44911</v>
      </c>
      <c r="E2782" t="s">
        <v>25</v>
      </c>
      <c r="F2782">
        <v>165</v>
      </c>
      <c r="G2782">
        <v>0</v>
      </c>
    </row>
    <row r="2783" spans="1:7" x14ac:dyDescent="0.3">
      <c r="A2783" s="2">
        <v>44911</v>
      </c>
      <c r="B2783" t="s">
        <v>1751</v>
      </c>
      <c r="C2783">
        <v>795</v>
      </c>
      <c r="D2783" s="2">
        <v>44911</v>
      </c>
      <c r="E2783" t="s">
        <v>25</v>
      </c>
      <c r="F2783">
        <v>795</v>
      </c>
      <c r="G2783">
        <v>0</v>
      </c>
    </row>
    <row r="2784" spans="1:7" x14ac:dyDescent="0.3">
      <c r="A2784" s="2">
        <v>44914</v>
      </c>
      <c r="B2784" t="s">
        <v>1751</v>
      </c>
      <c r="C2784">
        <v>3877.5</v>
      </c>
      <c r="D2784" s="2">
        <v>44914</v>
      </c>
      <c r="E2784" t="s">
        <v>25</v>
      </c>
      <c r="F2784">
        <v>3877.5</v>
      </c>
      <c r="G2784">
        <v>0</v>
      </c>
    </row>
    <row r="2785" spans="1:7" x14ac:dyDescent="0.3">
      <c r="A2785" s="2">
        <v>44914</v>
      </c>
      <c r="B2785" t="s">
        <v>1751</v>
      </c>
      <c r="C2785">
        <v>1590</v>
      </c>
      <c r="D2785" s="2">
        <v>44914</v>
      </c>
      <c r="E2785" t="s">
        <v>25</v>
      </c>
      <c r="F2785">
        <v>1590</v>
      </c>
      <c r="G2785">
        <v>0</v>
      </c>
    </row>
    <row r="2786" spans="1:7" x14ac:dyDescent="0.3">
      <c r="A2786" s="2">
        <v>44914</v>
      </c>
      <c r="B2786" t="s">
        <v>1751</v>
      </c>
      <c r="C2786">
        <v>371.25</v>
      </c>
      <c r="D2786" s="2">
        <v>44914</v>
      </c>
      <c r="E2786" t="s">
        <v>25</v>
      </c>
      <c r="F2786">
        <v>371.25</v>
      </c>
      <c r="G2786">
        <v>0</v>
      </c>
    </row>
    <row r="2787" spans="1:7" x14ac:dyDescent="0.3">
      <c r="A2787" s="2">
        <v>44915</v>
      </c>
      <c r="B2787" t="s">
        <v>1754</v>
      </c>
      <c r="C2787">
        <v>3300</v>
      </c>
      <c r="D2787" s="2">
        <v>44915</v>
      </c>
      <c r="E2787" t="s">
        <v>25</v>
      </c>
      <c r="F2787">
        <v>3300</v>
      </c>
      <c r="G2787">
        <v>0</v>
      </c>
    </row>
    <row r="2788" spans="1:7" x14ac:dyDescent="0.3">
      <c r="A2788" s="2">
        <v>44915</v>
      </c>
      <c r="B2788" t="s">
        <v>1751</v>
      </c>
      <c r="C2788">
        <v>660</v>
      </c>
      <c r="D2788" s="2">
        <v>44915</v>
      </c>
      <c r="E2788" t="s">
        <v>25</v>
      </c>
      <c r="F2788">
        <v>660</v>
      </c>
      <c r="G2788">
        <v>0</v>
      </c>
    </row>
    <row r="2789" spans="1:7" x14ac:dyDescent="0.3">
      <c r="A2789" s="2">
        <v>44917</v>
      </c>
      <c r="B2789" t="s">
        <v>1751</v>
      </c>
      <c r="C2789">
        <v>2115</v>
      </c>
      <c r="D2789" s="2">
        <v>44917</v>
      </c>
      <c r="E2789" t="s">
        <v>25</v>
      </c>
      <c r="F2789">
        <v>2115</v>
      </c>
      <c r="G2789">
        <v>0</v>
      </c>
    </row>
    <row r="2790" spans="1:7" x14ac:dyDescent="0.3">
      <c r="A2790" s="2">
        <v>44918</v>
      </c>
      <c r="B2790" t="s">
        <v>1752</v>
      </c>
      <c r="C2790">
        <v>1650</v>
      </c>
      <c r="D2790" s="2">
        <v>44918</v>
      </c>
      <c r="E2790" t="s">
        <v>25</v>
      </c>
      <c r="F2790">
        <v>1650</v>
      </c>
      <c r="G2790">
        <v>0</v>
      </c>
    </row>
    <row r="2791" spans="1:7" x14ac:dyDescent="0.3">
      <c r="A2791" s="2">
        <v>44918</v>
      </c>
      <c r="B2791" t="s">
        <v>1751</v>
      </c>
      <c r="C2791">
        <v>1031.25</v>
      </c>
      <c r="D2791" s="2">
        <v>44918</v>
      </c>
      <c r="E2791" t="s">
        <v>25</v>
      </c>
      <c r="F2791">
        <v>1031.25</v>
      </c>
      <c r="G2791">
        <v>0</v>
      </c>
    </row>
    <row r="2792" spans="1:7" x14ac:dyDescent="0.3">
      <c r="A2792" s="2">
        <v>44922</v>
      </c>
      <c r="B2792" t="s">
        <v>1751</v>
      </c>
      <c r="C2792">
        <v>2310</v>
      </c>
      <c r="D2792" s="2">
        <v>44922</v>
      </c>
      <c r="E2792" t="s">
        <v>25</v>
      </c>
      <c r="F2792">
        <v>2310</v>
      </c>
      <c r="G2792">
        <v>0</v>
      </c>
    </row>
    <row r="2793" spans="1:7" x14ac:dyDescent="0.3">
      <c r="A2793" s="2">
        <v>44922</v>
      </c>
      <c r="B2793" t="s">
        <v>1751</v>
      </c>
      <c r="C2793">
        <v>506.25</v>
      </c>
      <c r="D2793" s="2">
        <v>44922</v>
      </c>
      <c r="E2793" t="s">
        <v>25</v>
      </c>
      <c r="F2793">
        <v>506.25</v>
      </c>
      <c r="G2793">
        <v>0</v>
      </c>
    </row>
    <row r="2794" spans="1:7" x14ac:dyDescent="0.3">
      <c r="A2794" s="2">
        <v>44922</v>
      </c>
      <c r="B2794" t="s">
        <v>1751</v>
      </c>
      <c r="C2794">
        <v>330</v>
      </c>
      <c r="D2794" s="2">
        <v>44922</v>
      </c>
      <c r="E2794" t="s">
        <v>25</v>
      </c>
      <c r="F2794">
        <v>330</v>
      </c>
      <c r="G2794">
        <v>0</v>
      </c>
    </row>
    <row r="2795" spans="1:7" x14ac:dyDescent="0.3">
      <c r="A2795" s="2">
        <v>44922</v>
      </c>
      <c r="B2795" t="s">
        <v>1751</v>
      </c>
      <c r="C2795">
        <v>165</v>
      </c>
      <c r="D2795" s="2">
        <v>44922</v>
      </c>
      <c r="E2795" t="s">
        <v>25</v>
      </c>
      <c r="F2795">
        <v>165</v>
      </c>
      <c r="G2795">
        <v>0</v>
      </c>
    </row>
    <row r="2796" spans="1:7" x14ac:dyDescent="0.3">
      <c r="A2796" s="2">
        <v>44923</v>
      </c>
      <c r="B2796" t="s">
        <v>1751</v>
      </c>
      <c r="C2796">
        <v>750</v>
      </c>
      <c r="D2796" s="2">
        <v>44923</v>
      </c>
      <c r="E2796" t="s">
        <v>25</v>
      </c>
      <c r="F2796">
        <v>750</v>
      </c>
      <c r="G2796">
        <v>0</v>
      </c>
    </row>
    <row r="2797" spans="1:7" x14ac:dyDescent="0.3">
      <c r="A2797" s="2">
        <v>44924</v>
      </c>
      <c r="B2797" t="s">
        <v>1751</v>
      </c>
      <c r="C2797">
        <v>1155</v>
      </c>
      <c r="D2797" s="2">
        <v>44924</v>
      </c>
      <c r="E2797" t="s">
        <v>25</v>
      </c>
      <c r="F2797">
        <v>1155</v>
      </c>
      <c r="G2797">
        <v>0</v>
      </c>
    </row>
    <row r="2798" spans="1:7" x14ac:dyDescent="0.3">
      <c r="A2798" s="2">
        <v>44925</v>
      </c>
      <c r="B2798" t="s">
        <v>1751</v>
      </c>
      <c r="C2798">
        <v>1155</v>
      </c>
      <c r="D2798" s="2">
        <v>44925</v>
      </c>
      <c r="E2798" t="s">
        <v>25</v>
      </c>
      <c r="F2798">
        <v>1155</v>
      </c>
      <c r="G2798">
        <v>0</v>
      </c>
    </row>
    <row r="2799" spans="1:7" x14ac:dyDescent="0.3">
      <c r="A2799" s="2">
        <v>44896</v>
      </c>
      <c r="B2799" t="s">
        <v>1755</v>
      </c>
      <c r="C2799">
        <v>-30</v>
      </c>
      <c r="D2799" s="2">
        <v>44896</v>
      </c>
      <c r="E2799" t="s">
        <v>27</v>
      </c>
      <c r="F2799">
        <v>-30</v>
      </c>
      <c r="G2799">
        <v>0</v>
      </c>
    </row>
    <row r="2800" spans="1:7" x14ac:dyDescent="0.3">
      <c r="A2800" s="2">
        <v>44900</v>
      </c>
      <c r="B2800" t="s">
        <v>1756</v>
      </c>
      <c r="C2800">
        <v>-136.1</v>
      </c>
      <c r="D2800" s="2">
        <v>44900</v>
      </c>
      <c r="E2800" t="s">
        <v>27</v>
      </c>
      <c r="F2800">
        <v>-136.1</v>
      </c>
      <c r="G2800">
        <v>0</v>
      </c>
    </row>
    <row r="2801" spans="1:7" x14ac:dyDescent="0.3">
      <c r="A2801" s="2">
        <v>44902</v>
      </c>
      <c r="B2801" t="s">
        <v>1757</v>
      </c>
      <c r="C2801">
        <v>-24.8</v>
      </c>
      <c r="D2801" s="2">
        <v>44902</v>
      </c>
      <c r="E2801" t="s">
        <v>27</v>
      </c>
      <c r="F2801">
        <v>-24.8</v>
      </c>
      <c r="G2801">
        <v>0</v>
      </c>
    </row>
    <row r="2802" spans="1:7" x14ac:dyDescent="0.3">
      <c r="A2802" s="2">
        <v>44911</v>
      </c>
      <c r="B2802" t="s">
        <v>1758</v>
      </c>
      <c r="C2802">
        <v>-109</v>
      </c>
      <c r="D2802" s="2">
        <v>44911</v>
      </c>
      <c r="E2802" t="s">
        <v>27</v>
      </c>
      <c r="F2802">
        <v>-109</v>
      </c>
      <c r="G2802">
        <v>0</v>
      </c>
    </row>
    <row r="2803" spans="1:7" x14ac:dyDescent="0.3">
      <c r="A2803" s="2">
        <v>44914</v>
      </c>
      <c r="B2803" t="s">
        <v>1759</v>
      </c>
      <c r="C2803">
        <v>-10.88</v>
      </c>
      <c r="D2803" s="2">
        <v>44914</v>
      </c>
      <c r="E2803" t="s">
        <v>27</v>
      </c>
      <c r="F2803">
        <v>-10.88</v>
      </c>
      <c r="G2803">
        <v>0</v>
      </c>
    </row>
    <row r="2804" spans="1:7" x14ac:dyDescent="0.3">
      <c r="A2804" s="2">
        <v>44922</v>
      </c>
      <c r="B2804" t="s">
        <v>1757</v>
      </c>
      <c r="C2804">
        <v>-79.489999999999995</v>
      </c>
      <c r="D2804" s="2">
        <v>44922</v>
      </c>
      <c r="E2804" t="s">
        <v>27</v>
      </c>
      <c r="F2804">
        <v>-79.489999999999995</v>
      </c>
      <c r="G2804">
        <v>0</v>
      </c>
    </row>
    <row r="2805" spans="1:7" x14ac:dyDescent="0.3">
      <c r="A2805" s="2">
        <v>44897</v>
      </c>
      <c r="B2805" t="s">
        <v>1760</v>
      </c>
      <c r="C2805">
        <v>-3726.67</v>
      </c>
      <c r="D2805" s="2">
        <v>44897</v>
      </c>
      <c r="E2805" t="s">
        <v>27</v>
      </c>
      <c r="F2805">
        <v>-3726.67</v>
      </c>
      <c r="G2805">
        <v>0</v>
      </c>
    </row>
    <row r="2806" spans="1:7" x14ac:dyDescent="0.3">
      <c r="A2806" s="2">
        <v>44900</v>
      </c>
      <c r="B2806" t="s">
        <v>1761</v>
      </c>
      <c r="C2806">
        <v>-8331.15</v>
      </c>
      <c r="D2806" s="2">
        <v>44900</v>
      </c>
      <c r="E2806" t="s">
        <v>27</v>
      </c>
      <c r="F2806">
        <v>-8331.15</v>
      </c>
      <c r="G2806">
        <v>0</v>
      </c>
    </row>
    <row r="2807" spans="1:7" x14ac:dyDescent="0.3">
      <c r="A2807" s="2">
        <v>44908</v>
      </c>
      <c r="B2807" t="s">
        <v>1762</v>
      </c>
      <c r="C2807">
        <v>-532</v>
      </c>
      <c r="D2807" s="2">
        <v>44908</v>
      </c>
      <c r="E2807" t="s">
        <v>27</v>
      </c>
      <c r="F2807">
        <v>-532</v>
      </c>
      <c r="G2807">
        <v>0</v>
      </c>
    </row>
    <row r="2808" spans="1:7" x14ac:dyDescent="0.3">
      <c r="A2808" s="2">
        <v>44922</v>
      </c>
      <c r="B2808" t="s">
        <v>1763</v>
      </c>
      <c r="C2808">
        <v>-1340.5</v>
      </c>
      <c r="D2808" s="2">
        <v>44922</v>
      </c>
      <c r="E2808" t="s">
        <v>27</v>
      </c>
      <c r="F2808">
        <v>-1340.5</v>
      </c>
      <c r="G2808">
        <v>0</v>
      </c>
    </row>
    <row r="2809" spans="1:7" x14ac:dyDescent="0.3">
      <c r="A2809" s="2">
        <v>44924</v>
      </c>
      <c r="B2809" t="s">
        <v>1763</v>
      </c>
      <c r="C2809">
        <v>-5790.83</v>
      </c>
      <c r="D2809" s="2">
        <v>44924</v>
      </c>
      <c r="E2809" t="s">
        <v>27</v>
      </c>
      <c r="F2809">
        <v>-5790.83</v>
      </c>
      <c r="G2809">
        <v>0</v>
      </c>
    </row>
    <row r="2810" spans="1:7" x14ac:dyDescent="0.3">
      <c r="A2810" s="2">
        <v>44924</v>
      </c>
      <c r="B2810" t="s">
        <v>1764</v>
      </c>
      <c r="C2810">
        <v>-8750</v>
      </c>
      <c r="D2810" s="2">
        <v>44924</v>
      </c>
      <c r="E2810" t="s">
        <v>27</v>
      </c>
      <c r="F2810">
        <v>-8750</v>
      </c>
      <c r="G2810">
        <v>0</v>
      </c>
    </row>
    <row r="2811" spans="1:7" x14ac:dyDescent="0.3">
      <c r="A2811" s="2">
        <v>44925</v>
      </c>
      <c r="B2811" t="s">
        <v>1763</v>
      </c>
      <c r="C2811">
        <v>-361.84</v>
      </c>
      <c r="D2811" s="2">
        <v>44924</v>
      </c>
      <c r="E2811" t="s">
        <v>27</v>
      </c>
      <c r="F2811">
        <v>-361.84</v>
      </c>
      <c r="G2811">
        <v>0</v>
      </c>
    </row>
    <row r="2812" spans="1:7" x14ac:dyDescent="0.3">
      <c r="A2812" s="2">
        <v>44929</v>
      </c>
      <c r="B2812" t="s">
        <v>1765</v>
      </c>
      <c r="C2812">
        <v>17010</v>
      </c>
      <c r="D2812" s="2">
        <v>44929</v>
      </c>
      <c r="E2812" t="s">
        <v>25</v>
      </c>
      <c r="F2812">
        <v>17010</v>
      </c>
      <c r="G2812">
        <v>0</v>
      </c>
    </row>
    <row r="2813" spans="1:7" x14ac:dyDescent="0.3">
      <c r="A2813" s="2">
        <v>44929</v>
      </c>
      <c r="B2813" t="s">
        <v>1765</v>
      </c>
      <c r="C2813">
        <v>12785</v>
      </c>
      <c r="D2813" s="2">
        <v>44929</v>
      </c>
      <c r="E2813" t="s">
        <v>25</v>
      </c>
      <c r="F2813">
        <v>12785</v>
      </c>
      <c r="G2813">
        <v>0</v>
      </c>
    </row>
    <row r="2814" spans="1:7" x14ac:dyDescent="0.3">
      <c r="A2814" s="2">
        <v>44929</v>
      </c>
      <c r="B2814" t="s">
        <v>1766</v>
      </c>
      <c r="C2814">
        <v>11741.25</v>
      </c>
      <c r="D2814" s="2">
        <v>44929</v>
      </c>
      <c r="E2814" t="s">
        <v>25</v>
      </c>
      <c r="F2814">
        <v>11741.25</v>
      </c>
      <c r="G2814">
        <v>0</v>
      </c>
    </row>
    <row r="2815" spans="1:7" x14ac:dyDescent="0.3">
      <c r="A2815" s="2">
        <v>44929</v>
      </c>
      <c r="B2815" t="s">
        <v>1767</v>
      </c>
      <c r="C2815">
        <v>1647.5</v>
      </c>
      <c r="D2815" s="2">
        <v>44929</v>
      </c>
      <c r="E2815" t="s">
        <v>25</v>
      </c>
      <c r="F2815">
        <v>1647.5</v>
      </c>
      <c r="G2815">
        <v>0</v>
      </c>
    </row>
    <row r="2816" spans="1:7" x14ac:dyDescent="0.3">
      <c r="A2816" s="2">
        <v>44929</v>
      </c>
      <c r="B2816" t="s">
        <v>1768</v>
      </c>
      <c r="C2816">
        <v>510</v>
      </c>
      <c r="D2816" s="2">
        <v>44929</v>
      </c>
      <c r="E2816" t="s">
        <v>25</v>
      </c>
      <c r="F2816">
        <v>510</v>
      </c>
      <c r="G2816">
        <v>0</v>
      </c>
    </row>
    <row r="2817" spans="1:7" x14ac:dyDescent="0.3">
      <c r="A2817" s="2">
        <v>44930</v>
      </c>
      <c r="B2817" t="s">
        <v>1769</v>
      </c>
      <c r="C2817">
        <v>28375</v>
      </c>
      <c r="D2817" s="2">
        <v>44929</v>
      </c>
      <c r="E2817" t="s">
        <v>25</v>
      </c>
      <c r="F2817">
        <v>28375</v>
      </c>
      <c r="G2817">
        <v>0</v>
      </c>
    </row>
    <row r="2818" spans="1:7" x14ac:dyDescent="0.3">
      <c r="A2818" s="2">
        <v>44931</v>
      </c>
      <c r="B2818" t="s">
        <v>1770</v>
      </c>
      <c r="C2818">
        <v>35895</v>
      </c>
      <c r="D2818" s="2">
        <v>44929</v>
      </c>
      <c r="E2818" t="s">
        <v>25</v>
      </c>
      <c r="F2818">
        <v>35895</v>
      </c>
      <c r="G2818">
        <v>0</v>
      </c>
    </row>
    <row r="2819" spans="1:7" x14ac:dyDescent="0.3">
      <c r="A2819" s="2">
        <v>44932</v>
      </c>
      <c r="B2819" t="s">
        <v>1771</v>
      </c>
      <c r="C2819">
        <v>24355</v>
      </c>
      <c r="D2819" s="2">
        <v>44929</v>
      </c>
      <c r="E2819" t="s">
        <v>25</v>
      </c>
      <c r="F2819">
        <v>24355</v>
      </c>
      <c r="G2819">
        <v>0</v>
      </c>
    </row>
    <row r="2820" spans="1:7" x14ac:dyDescent="0.3">
      <c r="A2820" s="2">
        <v>44943</v>
      </c>
      <c r="B2820" t="s">
        <v>1772</v>
      </c>
      <c r="C2820">
        <v>5715</v>
      </c>
      <c r="D2820" s="2">
        <v>44943</v>
      </c>
      <c r="E2820" t="s">
        <v>25</v>
      </c>
      <c r="F2820">
        <v>5715</v>
      </c>
      <c r="G2820">
        <v>0</v>
      </c>
    </row>
    <row r="2821" spans="1:7" x14ac:dyDescent="0.3">
      <c r="A2821" s="2">
        <v>44943</v>
      </c>
      <c r="B2821" t="s">
        <v>1773</v>
      </c>
      <c r="C2821">
        <v>5620</v>
      </c>
      <c r="D2821" s="2">
        <v>44944</v>
      </c>
      <c r="E2821" t="s">
        <v>25</v>
      </c>
      <c r="F2821">
        <v>5620</v>
      </c>
      <c r="G2821">
        <v>0</v>
      </c>
    </row>
    <row r="2822" spans="1:7" x14ac:dyDescent="0.3">
      <c r="A2822" s="2">
        <v>44943</v>
      </c>
      <c r="B2822" t="s">
        <v>1772</v>
      </c>
      <c r="C2822">
        <v>2745</v>
      </c>
      <c r="D2822" s="2">
        <v>44943</v>
      </c>
      <c r="E2822" t="s">
        <v>25</v>
      </c>
      <c r="F2822">
        <v>2745</v>
      </c>
      <c r="G2822">
        <v>0</v>
      </c>
    </row>
    <row r="2823" spans="1:7" x14ac:dyDescent="0.3">
      <c r="A2823" s="2">
        <v>44944</v>
      </c>
      <c r="B2823" t="s">
        <v>1774</v>
      </c>
      <c r="C2823">
        <v>4255</v>
      </c>
      <c r="D2823" s="2">
        <v>44944</v>
      </c>
      <c r="E2823" t="s">
        <v>25</v>
      </c>
      <c r="F2823">
        <v>4255</v>
      </c>
      <c r="G2823">
        <v>0</v>
      </c>
    </row>
    <row r="2824" spans="1:7" x14ac:dyDescent="0.3">
      <c r="A2824" s="2">
        <v>44945</v>
      </c>
      <c r="B2824" t="s">
        <v>1775</v>
      </c>
      <c r="C2824">
        <v>4485</v>
      </c>
      <c r="D2824" s="2">
        <v>44944</v>
      </c>
      <c r="E2824" t="s">
        <v>25</v>
      </c>
      <c r="F2824">
        <v>4485</v>
      </c>
      <c r="G2824">
        <v>0</v>
      </c>
    </row>
    <row r="2825" spans="1:7" x14ac:dyDescent="0.3">
      <c r="A2825" s="2">
        <v>44946</v>
      </c>
      <c r="B2825" t="s">
        <v>1776</v>
      </c>
      <c r="C2825">
        <v>6485</v>
      </c>
      <c r="D2825" s="2">
        <v>44943</v>
      </c>
      <c r="E2825" t="s">
        <v>25</v>
      </c>
      <c r="F2825">
        <v>6485</v>
      </c>
      <c r="G2825">
        <v>0</v>
      </c>
    </row>
    <row r="2826" spans="1:7" x14ac:dyDescent="0.3">
      <c r="A2826" s="2">
        <v>44946</v>
      </c>
      <c r="B2826" t="s">
        <v>1743</v>
      </c>
      <c r="C2826">
        <v>300</v>
      </c>
      <c r="D2826" s="2">
        <v>44943</v>
      </c>
      <c r="E2826" t="s">
        <v>25</v>
      </c>
      <c r="F2826">
        <v>300</v>
      </c>
      <c r="G2826">
        <v>0</v>
      </c>
    </row>
    <row r="2827" spans="1:7" x14ac:dyDescent="0.3">
      <c r="A2827" s="2">
        <v>44949</v>
      </c>
      <c r="B2827" t="s">
        <v>1777</v>
      </c>
      <c r="C2827">
        <v>10585</v>
      </c>
      <c r="D2827" s="2">
        <v>44949</v>
      </c>
      <c r="E2827" t="s">
        <v>25</v>
      </c>
      <c r="F2827">
        <v>10585</v>
      </c>
      <c r="G2827">
        <v>0</v>
      </c>
    </row>
    <row r="2828" spans="1:7" x14ac:dyDescent="0.3">
      <c r="A2828" s="2">
        <v>44949</v>
      </c>
      <c r="B2828" t="s">
        <v>1778</v>
      </c>
      <c r="C2828">
        <v>5340</v>
      </c>
      <c r="D2828" s="2">
        <v>44949</v>
      </c>
      <c r="E2828" t="s">
        <v>25</v>
      </c>
      <c r="F2828">
        <v>5340</v>
      </c>
      <c r="G2828">
        <v>0</v>
      </c>
    </row>
    <row r="2829" spans="1:7" x14ac:dyDescent="0.3">
      <c r="A2829" s="2">
        <v>44949</v>
      </c>
      <c r="B2829" t="s">
        <v>1777</v>
      </c>
      <c r="C2829">
        <v>2800</v>
      </c>
      <c r="D2829" s="2">
        <v>44949</v>
      </c>
      <c r="E2829" t="s">
        <v>25</v>
      </c>
      <c r="F2829">
        <v>2800</v>
      </c>
      <c r="G2829">
        <v>0</v>
      </c>
    </row>
    <row r="2830" spans="1:7" x14ac:dyDescent="0.3">
      <c r="A2830" s="2">
        <v>44950</v>
      </c>
      <c r="B2830" t="s">
        <v>1779</v>
      </c>
      <c r="C2830">
        <v>765</v>
      </c>
      <c r="D2830" s="2">
        <v>44951</v>
      </c>
      <c r="E2830" t="s">
        <v>25</v>
      </c>
      <c r="F2830">
        <v>765</v>
      </c>
      <c r="G2830">
        <v>0</v>
      </c>
    </row>
    <row r="2831" spans="1:7" x14ac:dyDescent="0.3">
      <c r="A2831" s="2">
        <v>44951</v>
      </c>
      <c r="B2831" t="s">
        <v>1780</v>
      </c>
      <c r="C2831">
        <v>5115</v>
      </c>
      <c r="D2831" s="2">
        <v>44951</v>
      </c>
      <c r="E2831" t="s">
        <v>25</v>
      </c>
      <c r="F2831">
        <v>5115</v>
      </c>
      <c r="G2831">
        <v>0</v>
      </c>
    </row>
    <row r="2832" spans="1:7" x14ac:dyDescent="0.3">
      <c r="A2832" s="2">
        <v>44953</v>
      </c>
      <c r="B2832" t="s">
        <v>1781</v>
      </c>
      <c r="C2832">
        <v>7145</v>
      </c>
      <c r="D2832" s="2">
        <v>44953</v>
      </c>
      <c r="E2832" t="s">
        <v>25</v>
      </c>
      <c r="F2832">
        <v>7145</v>
      </c>
      <c r="G2832">
        <v>0</v>
      </c>
    </row>
    <row r="2833" spans="1:7" x14ac:dyDescent="0.3">
      <c r="A2833" s="2">
        <v>44956</v>
      </c>
      <c r="B2833" t="s">
        <v>1782</v>
      </c>
      <c r="C2833">
        <v>14015</v>
      </c>
      <c r="D2833" s="2">
        <v>44956</v>
      </c>
      <c r="E2833" t="s">
        <v>25</v>
      </c>
      <c r="F2833">
        <v>14015</v>
      </c>
      <c r="G2833">
        <v>0</v>
      </c>
    </row>
    <row r="2834" spans="1:7" x14ac:dyDescent="0.3">
      <c r="A2834" s="2">
        <v>44956</v>
      </c>
      <c r="B2834" t="s">
        <v>1783</v>
      </c>
      <c r="C2834">
        <v>5140</v>
      </c>
      <c r="D2834" s="2">
        <v>44956</v>
      </c>
      <c r="E2834" t="s">
        <v>25</v>
      </c>
      <c r="F2834">
        <v>5140</v>
      </c>
      <c r="G2834">
        <v>0</v>
      </c>
    </row>
    <row r="2835" spans="1:7" x14ac:dyDescent="0.3">
      <c r="A2835" s="2">
        <v>44956</v>
      </c>
      <c r="B2835" t="s">
        <v>1783</v>
      </c>
      <c r="C2835">
        <v>2545</v>
      </c>
      <c r="D2835" s="2">
        <v>44956</v>
      </c>
      <c r="E2835" t="s">
        <v>25</v>
      </c>
      <c r="F2835">
        <v>2545</v>
      </c>
      <c r="G2835">
        <v>0</v>
      </c>
    </row>
    <row r="2836" spans="1:7" x14ac:dyDescent="0.3">
      <c r="A2836" s="2">
        <v>44957</v>
      </c>
      <c r="B2836" t="s">
        <v>1784</v>
      </c>
      <c r="C2836">
        <v>3005</v>
      </c>
      <c r="D2836" s="2">
        <v>44956</v>
      </c>
      <c r="E2836" t="s">
        <v>25</v>
      </c>
      <c r="F2836">
        <v>3005</v>
      </c>
      <c r="G2836">
        <v>0</v>
      </c>
    </row>
    <row r="2837" spans="1:7" x14ac:dyDescent="0.3">
      <c r="A2837" s="2">
        <v>44929</v>
      </c>
      <c r="B2837" t="s">
        <v>1785</v>
      </c>
      <c r="C2837">
        <v>-30</v>
      </c>
      <c r="D2837" s="2">
        <v>44929</v>
      </c>
      <c r="E2837" t="s">
        <v>27</v>
      </c>
      <c r="F2837">
        <v>-30</v>
      </c>
      <c r="G2837">
        <v>0</v>
      </c>
    </row>
    <row r="2838" spans="1:7" x14ac:dyDescent="0.3">
      <c r="A2838" s="2">
        <v>44929</v>
      </c>
      <c r="B2838" t="s">
        <v>1786</v>
      </c>
      <c r="C2838">
        <v>-13.48</v>
      </c>
      <c r="D2838" s="2">
        <v>44929</v>
      </c>
      <c r="E2838" t="s">
        <v>27</v>
      </c>
      <c r="F2838">
        <v>-13.48</v>
      </c>
      <c r="G2838">
        <v>0</v>
      </c>
    </row>
    <row r="2839" spans="1:7" x14ac:dyDescent="0.3">
      <c r="A2839" s="2">
        <v>44929</v>
      </c>
      <c r="B2839" t="s">
        <v>1787</v>
      </c>
      <c r="C2839">
        <v>-136.1</v>
      </c>
      <c r="D2839" s="2">
        <v>44929</v>
      </c>
      <c r="E2839" t="s">
        <v>27</v>
      </c>
      <c r="F2839">
        <v>-136.1</v>
      </c>
      <c r="G2839">
        <v>0</v>
      </c>
    </row>
    <row r="2840" spans="1:7" x14ac:dyDescent="0.3">
      <c r="A2840" s="2">
        <v>44931</v>
      </c>
      <c r="B2840" t="s">
        <v>1770</v>
      </c>
      <c r="C2840">
        <v>-165</v>
      </c>
      <c r="D2840" s="2">
        <v>44931</v>
      </c>
      <c r="E2840" t="s">
        <v>27</v>
      </c>
      <c r="F2840">
        <v>-165</v>
      </c>
      <c r="G2840">
        <v>0</v>
      </c>
    </row>
    <row r="2841" spans="1:7" x14ac:dyDescent="0.3">
      <c r="A2841" s="2">
        <v>44943</v>
      </c>
      <c r="B2841" t="s">
        <v>1788</v>
      </c>
      <c r="C2841">
        <v>-8200</v>
      </c>
      <c r="D2841" s="2">
        <v>44943</v>
      </c>
      <c r="E2841" t="s">
        <v>27</v>
      </c>
      <c r="F2841">
        <v>-8200</v>
      </c>
      <c r="G2841">
        <v>0</v>
      </c>
    </row>
    <row r="2842" spans="1:7" x14ac:dyDescent="0.3">
      <c r="A2842" s="2">
        <v>44943</v>
      </c>
      <c r="B2842" t="s">
        <v>1789</v>
      </c>
      <c r="C2842">
        <v>-25000</v>
      </c>
      <c r="D2842" s="2">
        <v>44941</v>
      </c>
      <c r="E2842" t="s">
        <v>27</v>
      </c>
      <c r="F2842">
        <v>-25000</v>
      </c>
      <c r="G2842">
        <v>0</v>
      </c>
    </row>
    <row r="2843" spans="1:7" x14ac:dyDescent="0.3">
      <c r="A2843" s="2">
        <v>44958</v>
      </c>
      <c r="B2843" t="s">
        <v>1790</v>
      </c>
      <c r="C2843">
        <v>3250</v>
      </c>
      <c r="D2843" s="2">
        <v>44958</v>
      </c>
      <c r="E2843" t="s">
        <v>25</v>
      </c>
      <c r="F2843">
        <v>3250</v>
      </c>
      <c r="G2843">
        <v>0</v>
      </c>
    </row>
    <row r="2844" spans="1:7" x14ac:dyDescent="0.3">
      <c r="A2844" s="2">
        <v>44959</v>
      </c>
      <c r="B2844" t="s">
        <v>1791</v>
      </c>
      <c r="C2844">
        <v>7730</v>
      </c>
      <c r="D2844" s="2">
        <v>44958</v>
      </c>
      <c r="E2844" t="s">
        <v>25</v>
      </c>
      <c r="F2844">
        <v>7730</v>
      </c>
      <c r="G2844">
        <v>0</v>
      </c>
    </row>
    <row r="2845" spans="1:7" x14ac:dyDescent="0.3">
      <c r="A2845" s="2">
        <v>44967</v>
      </c>
      <c r="B2845" t="s">
        <v>1792</v>
      </c>
      <c r="C2845">
        <v>13630</v>
      </c>
      <c r="D2845" s="2">
        <v>44966</v>
      </c>
      <c r="E2845" t="s">
        <v>25</v>
      </c>
      <c r="F2845">
        <v>13630</v>
      </c>
      <c r="G2845">
        <v>0</v>
      </c>
    </row>
    <row r="2846" spans="1:7" x14ac:dyDescent="0.3">
      <c r="A2846" s="2">
        <v>44970</v>
      </c>
      <c r="B2846" t="s">
        <v>1793</v>
      </c>
      <c r="C2846">
        <v>7520</v>
      </c>
      <c r="D2846" s="2">
        <v>44967</v>
      </c>
      <c r="E2846" t="s">
        <v>25</v>
      </c>
      <c r="F2846">
        <v>7520</v>
      </c>
      <c r="G2846">
        <v>0</v>
      </c>
    </row>
    <row r="2847" spans="1:7" x14ac:dyDescent="0.3">
      <c r="A2847" s="2">
        <v>44970</v>
      </c>
      <c r="B2847" t="s">
        <v>1793</v>
      </c>
      <c r="C2847">
        <v>1850</v>
      </c>
      <c r="D2847" s="2">
        <v>44968</v>
      </c>
      <c r="E2847" t="s">
        <v>25</v>
      </c>
      <c r="F2847">
        <v>1850</v>
      </c>
      <c r="G2847">
        <v>0</v>
      </c>
    </row>
    <row r="2848" spans="1:7" x14ac:dyDescent="0.3">
      <c r="A2848" s="2">
        <v>44971</v>
      </c>
      <c r="B2848" t="s">
        <v>1794</v>
      </c>
      <c r="C2848">
        <v>965</v>
      </c>
      <c r="D2848" s="2">
        <v>44968</v>
      </c>
      <c r="E2848" t="s">
        <v>25</v>
      </c>
      <c r="F2848">
        <v>965</v>
      </c>
      <c r="G2848">
        <v>0</v>
      </c>
    </row>
    <row r="2849" spans="1:7" x14ac:dyDescent="0.3">
      <c r="A2849" s="2">
        <v>44973</v>
      </c>
      <c r="B2849" t="s">
        <v>1795</v>
      </c>
      <c r="C2849">
        <v>1745</v>
      </c>
      <c r="D2849" s="2">
        <v>44970</v>
      </c>
      <c r="E2849" t="s">
        <v>25</v>
      </c>
      <c r="F2849">
        <v>1745</v>
      </c>
      <c r="G2849">
        <v>0</v>
      </c>
    </row>
    <row r="2850" spans="1:7" x14ac:dyDescent="0.3">
      <c r="A2850" s="2">
        <v>44978</v>
      </c>
      <c r="B2850" t="s">
        <v>1796</v>
      </c>
      <c r="C2850">
        <v>1960</v>
      </c>
      <c r="D2850" s="2">
        <v>44975</v>
      </c>
      <c r="E2850" t="s">
        <v>25</v>
      </c>
      <c r="F2850">
        <v>1960</v>
      </c>
      <c r="G2850">
        <v>0</v>
      </c>
    </row>
    <row r="2851" spans="1:7" x14ac:dyDescent="0.3">
      <c r="A2851" s="2">
        <v>44978</v>
      </c>
      <c r="B2851" t="s">
        <v>1797</v>
      </c>
      <c r="C2851">
        <v>1700</v>
      </c>
      <c r="D2851" s="2">
        <v>44975</v>
      </c>
      <c r="E2851" t="s">
        <v>25</v>
      </c>
      <c r="F2851">
        <v>1700</v>
      </c>
      <c r="G2851">
        <v>0</v>
      </c>
    </row>
    <row r="2852" spans="1:7" x14ac:dyDescent="0.3">
      <c r="A2852" s="2">
        <v>44985</v>
      </c>
      <c r="B2852" t="s">
        <v>1798</v>
      </c>
      <c r="C2852">
        <v>2060</v>
      </c>
      <c r="D2852" s="2">
        <v>44986</v>
      </c>
      <c r="E2852" t="s">
        <v>25</v>
      </c>
      <c r="F2852">
        <v>2060</v>
      </c>
      <c r="G2852">
        <v>0</v>
      </c>
    </row>
    <row r="2853" spans="1:7" x14ac:dyDescent="0.3">
      <c r="A2853" s="2">
        <v>44958</v>
      </c>
      <c r="B2853" t="s">
        <v>1799</v>
      </c>
      <c r="C2853">
        <v>-30</v>
      </c>
      <c r="D2853" s="2">
        <v>44958</v>
      </c>
      <c r="E2853" t="s">
        <v>27</v>
      </c>
      <c r="F2853">
        <v>-30</v>
      </c>
      <c r="G2853">
        <v>0</v>
      </c>
    </row>
    <row r="2854" spans="1:7" x14ac:dyDescent="0.3">
      <c r="A2854" s="2">
        <v>44958</v>
      </c>
      <c r="B2854" t="s">
        <v>1800</v>
      </c>
      <c r="C2854">
        <v>-52.26</v>
      </c>
      <c r="D2854" s="2">
        <v>44958</v>
      </c>
      <c r="E2854" t="s">
        <v>27</v>
      </c>
      <c r="F2854">
        <v>-52.26</v>
      </c>
      <c r="G2854">
        <v>0</v>
      </c>
    </row>
    <row r="2855" spans="1:7" x14ac:dyDescent="0.3">
      <c r="A2855" s="2">
        <v>44960</v>
      </c>
      <c r="B2855" t="s">
        <v>1447</v>
      </c>
      <c r="C2855">
        <v>-136.1</v>
      </c>
      <c r="D2855" s="2">
        <v>44960</v>
      </c>
      <c r="E2855" t="s">
        <v>27</v>
      </c>
      <c r="F2855">
        <v>-136.1</v>
      </c>
      <c r="G2855">
        <v>0</v>
      </c>
    </row>
    <row r="2856" spans="1:7" x14ac:dyDescent="0.3">
      <c r="A2856" s="2">
        <v>44971</v>
      </c>
      <c r="B2856" t="s">
        <v>1801</v>
      </c>
      <c r="C2856">
        <v>-119.88</v>
      </c>
      <c r="D2856" s="2">
        <v>44971</v>
      </c>
      <c r="E2856" t="s">
        <v>27</v>
      </c>
      <c r="F2856">
        <v>-119.88</v>
      </c>
      <c r="G2856">
        <v>0</v>
      </c>
    </row>
    <row r="2857" spans="1:7" x14ac:dyDescent="0.3">
      <c r="A2857" s="2">
        <v>44973</v>
      </c>
      <c r="B2857" t="s">
        <v>1802</v>
      </c>
      <c r="C2857">
        <v>-17.600000000000001</v>
      </c>
      <c r="D2857" s="2">
        <v>44973</v>
      </c>
      <c r="E2857" t="s">
        <v>27</v>
      </c>
      <c r="F2857">
        <v>-17.600000000000001</v>
      </c>
      <c r="G2857">
        <v>0</v>
      </c>
    </row>
    <row r="2858" spans="1:7" x14ac:dyDescent="0.3">
      <c r="A2858" s="2">
        <v>44974</v>
      </c>
      <c r="B2858" t="s">
        <v>1803</v>
      </c>
      <c r="C2858">
        <v>-10.88</v>
      </c>
      <c r="D2858" s="2">
        <v>44974</v>
      </c>
      <c r="E2858" t="s">
        <v>27</v>
      </c>
      <c r="F2858">
        <v>-10.88</v>
      </c>
      <c r="G2858">
        <v>0</v>
      </c>
    </row>
    <row r="2859" spans="1:7" x14ac:dyDescent="0.3">
      <c r="A2859" s="2">
        <v>44985</v>
      </c>
      <c r="B2859" t="s">
        <v>1804</v>
      </c>
      <c r="C2859">
        <v>-434.42</v>
      </c>
      <c r="D2859" s="2">
        <v>44985</v>
      </c>
      <c r="E2859" t="s">
        <v>27</v>
      </c>
      <c r="F2859">
        <v>-434.42</v>
      </c>
      <c r="G2859">
        <v>0</v>
      </c>
    </row>
    <row r="2860" spans="1:7" x14ac:dyDescent="0.3">
      <c r="A2860" s="2">
        <v>44959</v>
      </c>
      <c r="B2860" t="s">
        <v>1790</v>
      </c>
      <c r="C2860">
        <v>-14001.03</v>
      </c>
      <c r="D2860" s="2">
        <v>44959</v>
      </c>
      <c r="E2860" t="s">
        <v>27</v>
      </c>
      <c r="F2860">
        <v>-14001.03</v>
      </c>
      <c r="G2860">
        <v>0</v>
      </c>
    </row>
    <row r="2861" spans="1:7" x14ac:dyDescent="0.3">
      <c r="A2861" s="2">
        <v>44965</v>
      </c>
      <c r="B2861" t="s">
        <v>1805</v>
      </c>
      <c r="C2861">
        <v>-64.5</v>
      </c>
      <c r="D2861" s="2">
        <v>44965</v>
      </c>
      <c r="E2861" t="s">
        <v>27</v>
      </c>
      <c r="F2861">
        <v>-64.5</v>
      </c>
      <c r="G2861">
        <v>0</v>
      </c>
    </row>
    <row r="2862" spans="1:7" x14ac:dyDescent="0.3">
      <c r="A2862" s="2">
        <v>44960</v>
      </c>
      <c r="C2862">
        <v>-100</v>
      </c>
      <c r="D2862" s="2">
        <v>44960</v>
      </c>
      <c r="E2862" t="s">
        <v>27</v>
      </c>
      <c r="F2862">
        <v>-100</v>
      </c>
      <c r="G2862">
        <v>0</v>
      </c>
    </row>
    <row r="2863" spans="1:7" x14ac:dyDescent="0.3">
      <c r="A2863" s="2">
        <v>44987</v>
      </c>
      <c r="B2863" t="s">
        <v>1806</v>
      </c>
      <c r="C2863">
        <v>28715</v>
      </c>
      <c r="D2863" s="2">
        <v>44986</v>
      </c>
      <c r="E2863" t="s">
        <v>25</v>
      </c>
      <c r="F2863">
        <v>28715</v>
      </c>
      <c r="G2863">
        <v>0</v>
      </c>
    </row>
    <row r="2864" spans="1:7" x14ac:dyDescent="0.3">
      <c r="A2864" s="2">
        <v>44988</v>
      </c>
      <c r="B2864" t="s">
        <v>1807</v>
      </c>
      <c r="C2864">
        <v>1610</v>
      </c>
      <c r="D2864" s="2">
        <v>44987</v>
      </c>
      <c r="E2864" t="s">
        <v>25</v>
      </c>
      <c r="F2864">
        <v>1610</v>
      </c>
      <c r="G2864">
        <v>0</v>
      </c>
    </row>
    <row r="2865" spans="1:7" x14ac:dyDescent="0.3">
      <c r="A2865" s="2">
        <v>44991</v>
      </c>
      <c r="B2865" t="s">
        <v>1808</v>
      </c>
      <c r="C2865">
        <v>12015</v>
      </c>
      <c r="D2865" s="2">
        <v>44993</v>
      </c>
      <c r="E2865" t="s">
        <v>25</v>
      </c>
      <c r="F2865">
        <v>12015</v>
      </c>
      <c r="G2865">
        <v>0</v>
      </c>
    </row>
    <row r="2866" spans="1:7" x14ac:dyDescent="0.3">
      <c r="A2866" s="2">
        <v>44991</v>
      </c>
      <c r="B2866" t="s">
        <v>1808</v>
      </c>
      <c r="C2866">
        <v>315</v>
      </c>
      <c r="D2866" s="2">
        <v>44993</v>
      </c>
      <c r="E2866" t="s">
        <v>25</v>
      </c>
      <c r="F2866">
        <v>315</v>
      </c>
      <c r="G2866">
        <v>0</v>
      </c>
    </row>
    <row r="2867" spans="1:7" x14ac:dyDescent="0.3">
      <c r="A2867" s="2">
        <v>44992</v>
      </c>
      <c r="B2867" t="s">
        <v>1809</v>
      </c>
      <c r="C2867">
        <v>415</v>
      </c>
      <c r="D2867" s="2">
        <v>44994</v>
      </c>
      <c r="E2867" t="s">
        <v>25</v>
      </c>
      <c r="F2867">
        <v>415</v>
      </c>
      <c r="G2867">
        <v>0</v>
      </c>
    </row>
    <row r="2868" spans="1:7" x14ac:dyDescent="0.3">
      <c r="A2868" s="2">
        <v>44993</v>
      </c>
      <c r="B2868" t="s">
        <v>1810</v>
      </c>
      <c r="C2868">
        <v>25</v>
      </c>
      <c r="D2868" s="2">
        <v>44993</v>
      </c>
      <c r="E2868" t="s">
        <v>25</v>
      </c>
      <c r="F2868">
        <v>25</v>
      </c>
      <c r="G2868">
        <v>0</v>
      </c>
    </row>
    <row r="2869" spans="1:7" x14ac:dyDescent="0.3">
      <c r="A2869" s="2">
        <v>44994</v>
      </c>
      <c r="B2869" t="s">
        <v>1811</v>
      </c>
      <c r="C2869">
        <v>1210</v>
      </c>
      <c r="D2869" s="2">
        <v>44995</v>
      </c>
      <c r="E2869" t="s">
        <v>25</v>
      </c>
      <c r="F2869">
        <v>1210</v>
      </c>
      <c r="G2869">
        <v>0</v>
      </c>
    </row>
    <row r="2870" spans="1:7" x14ac:dyDescent="0.3">
      <c r="A2870" s="2">
        <v>44995</v>
      </c>
      <c r="B2870" t="s">
        <v>1812</v>
      </c>
      <c r="C2870">
        <v>175</v>
      </c>
      <c r="D2870" s="2">
        <v>44995</v>
      </c>
      <c r="E2870" t="s">
        <v>25</v>
      </c>
      <c r="F2870">
        <v>175</v>
      </c>
      <c r="G2870">
        <v>0</v>
      </c>
    </row>
    <row r="2871" spans="1:7" x14ac:dyDescent="0.3">
      <c r="A2871" s="2">
        <v>44998</v>
      </c>
      <c r="B2871" t="s">
        <v>1732</v>
      </c>
      <c r="C2871">
        <v>6000</v>
      </c>
      <c r="D2871" s="2">
        <v>44996</v>
      </c>
      <c r="E2871" t="s">
        <v>25</v>
      </c>
      <c r="F2871">
        <v>6000</v>
      </c>
      <c r="G2871">
        <v>0</v>
      </c>
    </row>
    <row r="2872" spans="1:7" x14ac:dyDescent="0.3">
      <c r="A2872" s="2">
        <v>44998</v>
      </c>
      <c r="B2872" t="s">
        <v>1732</v>
      </c>
      <c r="C2872">
        <v>3300</v>
      </c>
      <c r="D2872" s="2">
        <v>44996</v>
      </c>
      <c r="E2872" t="s">
        <v>25</v>
      </c>
      <c r="F2872">
        <v>3300</v>
      </c>
      <c r="G2872">
        <v>0</v>
      </c>
    </row>
    <row r="2873" spans="1:7" x14ac:dyDescent="0.3">
      <c r="A2873" s="2">
        <v>44998</v>
      </c>
      <c r="B2873" t="s">
        <v>1732</v>
      </c>
      <c r="C2873">
        <v>3000</v>
      </c>
      <c r="D2873" s="2">
        <v>44996</v>
      </c>
      <c r="E2873" t="s">
        <v>25</v>
      </c>
      <c r="F2873">
        <v>3000</v>
      </c>
      <c r="G2873">
        <v>0</v>
      </c>
    </row>
    <row r="2874" spans="1:7" x14ac:dyDescent="0.3">
      <c r="A2874" s="2">
        <v>44998</v>
      </c>
      <c r="B2874" t="s">
        <v>1732</v>
      </c>
      <c r="C2874">
        <v>1650</v>
      </c>
      <c r="D2874" s="2">
        <v>44996</v>
      </c>
      <c r="E2874" t="s">
        <v>25</v>
      </c>
      <c r="F2874">
        <v>1650</v>
      </c>
      <c r="G2874">
        <v>0</v>
      </c>
    </row>
    <row r="2875" spans="1:7" x14ac:dyDescent="0.3">
      <c r="A2875" s="2">
        <v>44998</v>
      </c>
      <c r="B2875" t="s">
        <v>1813</v>
      </c>
      <c r="C2875">
        <v>5105</v>
      </c>
      <c r="D2875" s="2">
        <v>44996</v>
      </c>
      <c r="E2875" t="s">
        <v>25</v>
      </c>
      <c r="F2875">
        <v>5105</v>
      </c>
      <c r="G2875">
        <v>0</v>
      </c>
    </row>
    <row r="2876" spans="1:7" x14ac:dyDescent="0.3">
      <c r="A2876" s="2">
        <v>44998</v>
      </c>
      <c r="B2876" t="s">
        <v>1814</v>
      </c>
      <c r="C2876">
        <v>4275</v>
      </c>
      <c r="D2876" s="2">
        <v>44998</v>
      </c>
      <c r="E2876" t="s">
        <v>25</v>
      </c>
      <c r="F2876">
        <v>4275</v>
      </c>
      <c r="G2876">
        <v>0</v>
      </c>
    </row>
    <row r="2877" spans="1:7" x14ac:dyDescent="0.3">
      <c r="A2877" s="2">
        <v>44998</v>
      </c>
      <c r="B2877" t="s">
        <v>1813</v>
      </c>
      <c r="C2877">
        <v>2110</v>
      </c>
      <c r="D2877" s="2">
        <v>44998</v>
      </c>
      <c r="E2877" t="s">
        <v>25</v>
      </c>
      <c r="F2877">
        <v>2110</v>
      </c>
      <c r="G2877">
        <v>0</v>
      </c>
    </row>
    <row r="2878" spans="1:7" x14ac:dyDescent="0.3">
      <c r="A2878" s="2">
        <v>44999</v>
      </c>
      <c r="B2878" t="s">
        <v>1815</v>
      </c>
      <c r="C2878">
        <v>720</v>
      </c>
      <c r="D2878" s="2">
        <v>44999</v>
      </c>
      <c r="E2878" t="s">
        <v>25</v>
      </c>
      <c r="F2878">
        <v>720</v>
      </c>
      <c r="G2878">
        <v>0</v>
      </c>
    </row>
    <row r="2879" spans="1:7" x14ac:dyDescent="0.3">
      <c r="A2879" s="2">
        <v>45000</v>
      </c>
      <c r="B2879" t="s">
        <v>1816</v>
      </c>
      <c r="C2879">
        <v>1910</v>
      </c>
      <c r="D2879" s="2">
        <v>44999</v>
      </c>
      <c r="E2879" t="s">
        <v>25</v>
      </c>
      <c r="F2879">
        <v>1910</v>
      </c>
      <c r="G2879">
        <v>0</v>
      </c>
    </row>
    <row r="2880" spans="1:7" x14ac:dyDescent="0.3">
      <c r="A2880" s="2">
        <v>45001</v>
      </c>
      <c r="B2880" t="s">
        <v>1817</v>
      </c>
      <c r="C2880">
        <v>7310</v>
      </c>
      <c r="D2880" s="2">
        <v>44999</v>
      </c>
      <c r="E2880" t="s">
        <v>25</v>
      </c>
      <c r="F2880">
        <v>7310</v>
      </c>
      <c r="G2880">
        <v>0</v>
      </c>
    </row>
    <row r="2881" spans="1:7" x14ac:dyDescent="0.3">
      <c r="A2881" s="2">
        <v>45002</v>
      </c>
      <c r="B2881" t="s">
        <v>1818</v>
      </c>
      <c r="C2881">
        <v>2285</v>
      </c>
      <c r="D2881" s="2">
        <v>45002</v>
      </c>
      <c r="E2881" t="s">
        <v>25</v>
      </c>
      <c r="F2881">
        <v>2285</v>
      </c>
      <c r="G2881">
        <v>0</v>
      </c>
    </row>
    <row r="2882" spans="1:7" x14ac:dyDescent="0.3">
      <c r="A2882" s="2">
        <v>45005</v>
      </c>
      <c r="B2882" t="s">
        <v>1819</v>
      </c>
      <c r="C2882">
        <v>3035</v>
      </c>
      <c r="D2882" s="2">
        <v>45002</v>
      </c>
      <c r="E2882" t="s">
        <v>25</v>
      </c>
      <c r="F2882">
        <v>3035</v>
      </c>
      <c r="G2882">
        <v>0</v>
      </c>
    </row>
    <row r="2883" spans="1:7" x14ac:dyDescent="0.3">
      <c r="A2883" s="2">
        <v>45005</v>
      </c>
      <c r="B2883" t="s">
        <v>1820</v>
      </c>
      <c r="C2883">
        <v>2795</v>
      </c>
      <c r="D2883" s="2">
        <v>45005</v>
      </c>
      <c r="E2883" t="s">
        <v>25</v>
      </c>
      <c r="F2883">
        <v>2795</v>
      </c>
      <c r="G2883">
        <v>0</v>
      </c>
    </row>
    <row r="2884" spans="1:7" x14ac:dyDescent="0.3">
      <c r="A2884" s="2">
        <v>45005</v>
      </c>
      <c r="B2884" t="s">
        <v>1820</v>
      </c>
      <c r="C2884">
        <v>195</v>
      </c>
      <c r="D2884" s="2">
        <v>45005</v>
      </c>
      <c r="E2884" t="s">
        <v>25</v>
      </c>
      <c r="F2884">
        <v>195</v>
      </c>
      <c r="G2884">
        <v>0</v>
      </c>
    </row>
    <row r="2885" spans="1:7" x14ac:dyDescent="0.3">
      <c r="A2885" s="2">
        <v>45006</v>
      </c>
      <c r="B2885" t="s">
        <v>1821</v>
      </c>
      <c r="C2885">
        <v>11000</v>
      </c>
      <c r="D2885" s="2">
        <v>45006</v>
      </c>
      <c r="E2885" t="s">
        <v>25</v>
      </c>
      <c r="F2885">
        <v>11000</v>
      </c>
      <c r="G2885">
        <v>0</v>
      </c>
    </row>
    <row r="2886" spans="1:7" x14ac:dyDescent="0.3">
      <c r="A2886" s="2">
        <v>45006</v>
      </c>
      <c r="B2886" t="s">
        <v>1822</v>
      </c>
      <c r="C2886">
        <v>2920</v>
      </c>
      <c r="D2886" s="2">
        <v>45005</v>
      </c>
      <c r="E2886" t="s">
        <v>25</v>
      </c>
      <c r="F2886">
        <v>2920</v>
      </c>
      <c r="G2886">
        <v>0</v>
      </c>
    </row>
    <row r="2887" spans="1:7" x14ac:dyDescent="0.3">
      <c r="A2887" s="2">
        <v>45007</v>
      </c>
      <c r="B2887" t="s">
        <v>1823</v>
      </c>
      <c r="C2887">
        <v>3415</v>
      </c>
      <c r="D2887" s="2">
        <v>45005</v>
      </c>
      <c r="E2887" t="s">
        <v>25</v>
      </c>
      <c r="F2887">
        <v>3415</v>
      </c>
      <c r="G2887">
        <v>0</v>
      </c>
    </row>
    <row r="2888" spans="1:7" x14ac:dyDescent="0.3">
      <c r="A2888" s="2">
        <v>45008</v>
      </c>
      <c r="B2888" t="s">
        <v>1824</v>
      </c>
      <c r="C2888">
        <v>2615</v>
      </c>
      <c r="D2888" s="2">
        <v>45008</v>
      </c>
      <c r="E2888" t="s">
        <v>25</v>
      </c>
      <c r="F2888">
        <v>2615</v>
      </c>
      <c r="G2888">
        <v>0</v>
      </c>
    </row>
    <row r="2889" spans="1:7" x14ac:dyDescent="0.3">
      <c r="A2889" s="2">
        <v>45009</v>
      </c>
      <c r="B2889" t="s">
        <v>1825</v>
      </c>
      <c r="C2889">
        <v>2820</v>
      </c>
      <c r="D2889" s="2">
        <v>45008</v>
      </c>
      <c r="E2889" t="s">
        <v>25</v>
      </c>
      <c r="F2889">
        <v>2820</v>
      </c>
      <c r="G2889">
        <v>0</v>
      </c>
    </row>
    <row r="2890" spans="1:7" x14ac:dyDescent="0.3">
      <c r="A2890" s="2">
        <v>45012</v>
      </c>
      <c r="B2890" t="s">
        <v>1826</v>
      </c>
      <c r="C2890">
        <v>3535</v>
      </c>
      <c r="D2890" s="2">
        <v>45012</v>
      </c>
      <c r="E2890" t="s">
        <v>25</v>
      </c>
      <c r="F2890">
        <v>3535</v>
      </c>
      <c r="G2890">
        <v>0</v>
      </c>
    </row>
    <row r="2891" spans="1:7" x14ac:dyDescent="0.3">
      <c r="A2891" s="2">
        <v>45012</v>
      </c>
      <c r="B2891" t="s">
        <v>1827</v>
      </c>
      <c r="C2891">
        <v>3090</v>
      </c>
      <c r="D2891" s="2">
        <v>45012</v>
      </c>
      <c r="E2891" t="s">
        <v>25</v>
      </c>
      <c r="F2891">
        <v>3090</v>
      </c>
      <c r="G2891">
        <v>0</v>
      </c>
    </row>
    <row r="2892" spans="1:7" x14ac:dyDescent="0.3">
      <c r="A2892" s="2">
        <v>45012</v>
      </c>
      <c r="B2892" t="s">
        <v>1827</v>
      </c>
      <c r="C2892">
        <v>590</v>
      </c>
      <c r="D2892" s="2">
        <v>45012</v>
      </c>
      <c r="E2892" t="s">
        <v>25</v>
      </c>
      <c r="F2892">
        <v>590</v>
      </c>
      <c r="G2892">
        <v>0</v>
      </c>
    </row>
    <row r="2893" spans="1:7" x14ac:dyDescent="0.3">
      <c r="A2893" s="2">
        <v>45013</v>
      </c>
      <c r="B2893" t="s">
        <v>1828</v>
      </c>
      <c r="C2893">
        <v>2045</v>
      </c>
      <c r="D2893" s="2">
        <v>45012</v>
      </c>
      <c r="E2893" t="s">
        <v>25</v>
      </c>
      <c r="F2893">
        <v>2045</v>
      </c>
      <c r="G2893">
        <v>0</v>
      </c>
    </row>
    <row r="2894" spans="1:7" x14ac:dyDescent="0.3">
      <c r="A2894" s="2">
        <v>45014</v>
      </c>
      <c r="B2894" t="s">
        <v>1829</v>
      </c>
      <c r="C2894">
        <v>1180</v>
      </c>
      <c r="D2894" s="2">
        <v>45012</v>
      </c>
      <c r="E2894" t="s">
        <v>25</v>
      </c>
      <c r="F2894">
        <v>1180</v>
      </c>
      <c r="G2894">
        <v>0</v>
      </c>
    </row>
    <row r="2895" spans="1:7" x14ac:dyDescent="0.3">
      <c r="A2895" s="2">
        <v>45015</v>
      </c>
      <c r="B2895" t="s">
        <v>1830</v>
      </c>
      <c r="C2895">
        <v>1255</v>
      </c>
      <c r="D2895" s="2">
        <v>45012</v>
      </c>
      <c r="E2895" t="s">
        <v>25</v>
      </c>
      <c r="F2895">
        <v>1255</v>
      </c>
      <c r="G2895">
        <v>0</v>
      </c>
    </row>
    <row r="2896" spans="1:7" x14ac:dyDescent="0.3">
      <c r="A2896" s="2">
        <v>45016</v>
      </c>
      <c r="B2896" t="s">
        <v>1831</v>
      </c>
      <c r="C2896">
        <v>280</v>
      </c>
      <c r="D2896" s="2">
        <v>45016</v>
      </c>
      <c r="E2896" t="s">
        <v>25</v>
      </c>
      <c r="F2896">
        <v>280</v>
      </c>
      <c r="G2896">
        <v>0</v>
      </c>
    </row>
    <row r="2897" spans="1:7" x14ac:dyDescent="0.3">
      <c r="A2897" s="2">
        <v>44986</v>
      </c>
      <c r="B2897" t="s">
        <v>1832</v>
      </c>
      <c r="C2897">
        <v>-52.26</v>
      </c>
      <c r="D2897" s="2">
        <v>44986</v>
      </c>
      <c r="E2897" t="s">
        <v>27</v>
      </c>
      <c r="F2897">
        <v>-52.26</v>
      </c>
      <c r="G2897">
        <v>0</v>
      </c>
    </row>
    <row r="2898" spans="1:7" x14ac:dyDescent="0.3">
      <c r="A2898" s="2">
        <v>44986</v>
      </c>
      <c r="B2898" t="s">
        <v>1833</v>
      </c>
      <c r="C2898">
        <v>-30</v>
      </c>
      <c r="D2898" s="2">
        <v>44986</v>
      </c>
      <c r="E2898" t="s">
        <v>27</v>
      </c>
      <c r="F2898">
        <v>-30</v>
      </c>
      <c r="G2898">
        <v>0</v>
      </c>
    </row>
    <row r="2899" spans="1:7" x14ac:dyDescent="0.3">
      <c r="A2899" s="2">
        <v>44988</v>
      </c>
      <c r="B2899" t="s">
        <v>1505</v>
      </c>
      <c r="C2899">
        <v>-136.1</v>
      </c>
      <c r="D2899" s="2">
        <v>44988</v>
      </c>
      <c r="E2899" t="s">
        <v>27</v>
      </c>
      <c r="F2899">
        <v>-136.1</v>
      </c>
      <c r="G2899">
        <v>0</v>
      </c>
    </row>
    <row r="2900" spans="1:7" x14ac:dyDescent="0.3">
      <c r="A2900" s="2">
        <v>44991</v>
      </c>
      <c r="B2900" t="s">
        <v>1834</v>
      </c>
      <c r="C2900">
        <v>-52.02</v>
      </c>
      <c r="D2900" s="2">
        <v>44991</v>
      </c>
      <c r="E2900" t="s">
        <v>27</v>
      </c>
      <c r="F2900">
        <v>-52.02</v>
      </c>
      <c r="G2900">
        <v>0</v>
      </c>
    </row>
    <row r="2901" spans="1:7" x14ac:dyDescent="0.3">
      <c r="A2901" s="2">
        <v>44991</v>
      </c>
      <c r="B2901" t="s">
        <v>1835</v>
      </c>
      <c r="C2901">
        <v>-32.19</v>
      </c>
      <c r="D2901" s="2">
        <v>44991</v>
      </c>
      <c r="E2901" t="s">
        <v>27</v>
      </c>
      <c r="F2901">
        <v>-32.19</v>
      </c>
      <c r="G2901">
        <v>0</v>
      </c>
    </row>
    <row r="2902" spans="1:7" x14ac:dyDescent="0.3">
      <c r="A2902" s="2">
        <v>44991</v>
      </c>
      <c r="B2902" t="s">
        <v>1836</v>
      </c>
      <c r="C2902">
        <v>-51.79</v>
      </c>
      <c r="D2902" s="2">
        <v>44991</v>
      </c>
      <c r="E2902" t="s">
        <v>27</v>
      </c>
      <c r="F2902">
        <v>-51.79</v>
      </c>
      <c r="G2902">
        <v>0</v>
      </c>
    </row>
    <row r="2903" spans="1:7" x14ac:dyDescent="0.3">
      <c r="A2903" s="2">
        <v>44991</v>
      </c>
      <c r="B2903" t="s">
        <v>1837</v>
      </c>
      <c r="C2903">
        <v>-2681.57</v>
      </c>
      <c r="D2903" s="2">
        <v>44991</v>
      </c>
      <c r="E2903" t="s">
        <v>27</v>
      </c>
      <c r="F2903">
        <v>-2681.57</v>
      </c>
      <c r="G2903">
        <v>0</v>
      </c>
    </row>
    <row r="2904" spans="1:7" x14ac:dyDescent="0.3">
      <c r="A2904" s="2">
        <v>44991</v>
      </c>
      <c r="C2904">
        <v>-6.58</v>
      </c>
      <c r="D2904" s="2">
        <v>44991</v>
      </c>
      <c r="E2904" t="s">
        <v>27</v>
      </c>
      <c r="F2904">
        <v>-6.58</v>
      </c>
      <c r="G2904">
        <v>0</v>
      </c>
    </row>
    <row r="2905" spans="1:7" x14ac:dyDescent="0.3">
      <c r="A2905" s="2">
        <v>44998</v>
      </c>
      <c r="B2905" t="s">
        <v>1838</v>
      </c>
      <c r="C2905">
        <v>-45.7</v>
      </c>
      <c r="D2905" s="2">
        <v>44998</v>
      </c>
      <c r="E2905" t="s">
        <v>27</v>
      </c>
      <c r="F2905">
        <v>-45.7</v>
      </c>
      <c r="G2905">
        <v>0</v>
      </c>
    </row>
    <row r="2906" spans="1:7" x14ac:dyDescent="0.3">
      <c r="A2906" s="2">
        <v>45001</v>
      </c>
      <c r="B2906" t="s">
        <v>1839</v>
      </c>
      <c r="C2906">
        <v>-25</v>
      </c>
      <c r="D2906" s="2">
        <v>45001</v>
      </c>
      <c r="E2906" t="s">
        <v>27</v>
      </c>
      <c r="F2906">
        <v>-25</v>
      </c>
      <c r="G2906">
        <v>0</v>
      </c>
    </row>
    <row r="2907" spans="1:7" x14ac:dyDescent="0.3">
      <c r="A2907" s="2">
        <v>45001</v>
      </c>
      <c r="B2907" t="s">
        <v>1840</v>
      </c>
      <c r="C2907">
        <v>-671.29</v>
      </c>
      <c r="D2907" s="2">
        <v>45001</v>
      </c>
      <c r="E2907" t="s">
        <v>27</v>
      </c>
      <c r="F2907">
        <v>-671.29</v>
      </c>
      <c r="G2907">
        <v>0</v>
      </c>
    </row>
    <row r="2908" spans="1:7" x14ac:dyDescent="0.3">
      <c r="A2908" s="2">
        <v>45002</v>
      </c>
      <c r="B2908" t="s">
        <v>1841</v>
      </c>
      <c r="C2908">
        <v>-705.75</v>
      </c>
      <c r="D2908" s="2">
        <v>45002</v>
      </c>
      <c r="E2908" t="s">
        <v>27</v>
      </c>
      <c r="F2908">
        <v>-705.75</v>
      </c>
      <c r="G2908">
        <v>0</v>
      </c>
    </row>
    <row r="2909" spans="1:7" x14ac:dyDescent="0.3">
      <c r="A2909" s="2">
        <v>45002</v>
      </c>
      <c r="B2909" t="s">
        <v>1842</v>
      </c>
      <c r="C2909">
        <v>-589.38</v>
      </c>
      <c r="D2909" s="2">
        <v>45002</v>
      </c>
      <c r="E2909" t="s">
        <v>27</v>
      </c>
      <c r="F2909">
        <v>-589.38</v>
      </c>
      <c r="G2909">
        <v>0</v>
      </c>
    </row>
    <row r="2910" spans="1:7" x14ac:dyDescent="0.3">
      <c r="A2910" s="2">
        <v>45005</v>
      </c>
      <c r="B2910" t="s">
        <v>1514</v>
      </c>
      <c r="C2910">
        <v>-10.88</v>
      </c>
      <c r="D2910" s="2">
        <v>45005</v>
      </c>
      <c r="E2910" t="s">
        <v>27</v>
      </c>
      <c r="F2910">
        <v>-10.88</v>
      </c>
      <c r="G2910">
        <v>0</v>
      </c>
    </row>
    <row r="2911" spans="1:7" x14ac:dyDescent="0.3">
      <c r="A2911" s="2">
        <v>45005</v>
      </c>
      <c r="B2911" t="s">
        <v>1843</v>
      </c>
      <c r="C2911">
        <v>-110.94</v>
      </c>
      <c r="D2911" s="2">
        <v>45005</v>
      </c>
      <c r="E2911" t="s">
        <v>27</v>
      </c>
      <c r="F2911">
        <v>-110.94</v>
      </c>
      <c r="G2911">
        <v>0</v>
      </c>
    </row>
    <row r="2912" spans="1:7" x14ac:dyDescent="0.3">
      <c r="A2912" s="2">
        <v>45005</v>
      </c>
      <c r="B2912" t="s">
        <v>1844</v>
      </c>
      <c r="C2912">
        <v>-19.899999999999999</v>
      </c>
      <c r="D2912" s="2">
        <v>45005</v>
      </c>
      <c r="E2912" t="s">
        <v>27</v>
      </c>
      <c r="F2912">
        <v>-19.899999999999999</v>
      </c>
      <c r="G2912">
        <v>0</v>
      </c>
    </row>
    <row r="2913" spans="1:7" x14ac:dyDescent="0.3">
      <c r="A2913" s="2">
        <v>45005</v>
      </c>
      <c r="B2913" t="s">
        <v>1845</v>
      </c>
      <c r="C2913">
        <v>-507.53</v>
      </c>
      <c r="D2913" s="2">
        <v>45005</v>
      </c>
      <c r="E2913" t="s">
        <v>27</v>
      </c>
      <c r="F2913">
        <v>-507.53</v>
      </c>
      <c r="G2913">
        <v>0</v>
      </c>
    </row>
    <row r="2914" spans="1:7" x14ac:dyDescent="0.3">
      <c r="A2914" s="2">
        <v>45005</v>
      </c>
      <c r="B2914" t="s">
        <v>1846</v>
      </c>
      <c r="C2914">
        <v>-24.99</v>
      </c>
      <c r="D2914" s="2">
        <v>45005</v>
      </c>
      <c r="E2914" t="s">
        <v>27</v>
      </c>
      <c r="F2914">
        <v>-24.99</v>
      </c>
      <c r="G2914">
        <v>0</v>
      </c>
    </row>
    <row r="2915" spans="1:7" x14ac:dyDescent="0.3">
      <c r="A2915" s="2">
        <v>45006</v>
      </c>
      <c r="B2915" t="s">
        <v>1847</v>
      </c>
      <c r="C2915">
        <v>-28.28</v>
      </c>
      <c r="D2915" s="2">
        <v>45006</v>
      </c>
      <c r="E2915" t="s">
        <v>27</v>
      </c>
      <c r="F2915">
        <v>-28.28</v>
      </c>
      <c r="G2915">
        <v>0</v>
      </c>
    </row>
    <row r="2916" spans="1:7" x14ac:dyDescent="0.3">
      <c r="A2916" s="2">
        <v>45006</v>
      </c>
      <c r="B2916" t="s">
        <v>1848</v>
      </c>
      <c r="C2916">
        <v>-756</v>
      </c>
      <c r="D2916" s="2">
        <v>45006</v>
      </c>
      <c r="E2916" t="s">
        <v>27</v>
      </c>
      <c r="F2916">
        <v>-756</v>
      </c>
      <c r="G2916">
        <v>0</v>
      </c>
    </row>
    <row r="2917" spans="1:7" x14ac:dyDescent="0.3">
      <c r="A2917" s="2">
        <v>45006</v>
      </c>
      <c r="B2917" t="s">
        <v>1848</v>
      </c>
      <c r="C2917">
        <v>-756</v>
      </c>
      <c r="D2917" s="2">
        <v>45006</v>
      </c>
      <c r="E2917" t="s">
        <v>27</v>
      </c>
      <c r="F2917">
        <v>-756</v>
      </c>
      <c r="G2917">
        <v>0</v>
      </c>
    </row>
    <row r="2918" spans="1:7" x14ac:dyDescent="0.3">
      <c r="A2918" s="2">
        <v>45006</v>
      </c>
      <c r="B2918" t="s">
        <v>1848</v>
      </c>
      <c r="C2918">
        <v>-236.75</v>
      </c>
      <c r="D2918" s="2">
        <v>45006</v>
      </c>
      <c r="E2918" t="s">
        <v>27</v>
      </c>
      <c r="F2918">
        <v>-236.75</v>
      </c>
      <c r="G2918">
        <v>0</v>
      </c>
    </row>
    <row r="2919" spans="1:7" x14ac:dyDescent="0.3">
      <c r="A2919" s="2">
        <v>45006</v>
      </c>
      <c r="B2919" t="s">
        <v>1848</v>
      </c>
      <c r="C2919">
        <v>-234</v>
      </c>
      <c r="D2919" s="2">
        <v>45006</v>
      </c>
      <c r="E2919" t="s">
        <v>27</v>
      </c>
      <c r="F2919">
        <v>-234</v>
      </c>
      <c r="G2919">
        <v>0</v>
      </c>
    </row>
    <row r="2920" spans="1:7" x14ac:dyDescent="0.3">
      <c r="A2920" s="2">
        <v>45006</v>
      </c>
      <c r="B2920" t="s">
        <v>1848</v>
      </c>
      <c r="C2920">
        <v>-234</v>
      </c>
      <c r="D2920" s="2">
        <v>45006</v>
      </c>
      <c r="E2920" t="s">
        <v>27</v>
      </c>
      <c r="F2920">
        <v>-234</v>
      </c>
      <c r="G2920">
        <v>0</v>
      </c>
    </row>
    <row r="2921" spans="1:7" x14ac:dyDescent="0.3">
      <c r="A2921" s="2">
        <v>45006</v>
      </c>
      <c r="B2921" t="s">
        <v>1848</v>
      </c>
      <c r="C2921">
        <v>-236.75</v>
      </c>
      <c r="D2921" s="2">
        <v>45006</v>
      </c>
      <c r="E2921" t="s">
        <v>27</v>
      </c>
      <c r="F2921">
        <v>-236.75</v>
      </c>
      <c r="G2921">
        <v>0</v>
      </c>
    </row>
    <row r="2922" spans="1:7" x14ac:dyDescent="0.3">
      <c r="A2922" s="2">
        <v>45006</v>
      </c>
      <c r="B2922" t="s">
        <v>1848</v>
      </c>
      <c r="C2922">
        <v>-2.75</v>
      </c>
      <c r="D2922" s="2">
        <v>45006</v>
      </c>
      <c r="E2922" t="s">
        <v>27</v>
      </c>
      <c r="F2922">
        <v>-2.75</v>
      </c>
      <c r="G2922">
        <v>0</v>
      </c>
    </row>
    <row r="2923" spans="1:7" x14ac:dyDescent="0.3">
      <c r="A2923" s="2">
        <v>45006</v>
      </c>
      <c r="B2923" t="s">
        <v>1848</v>
      </c>
      <c r="C2923">
        <v>-2.75</v>
      </c>
      <c r="D2923" s="2">
        <v>45006</v>
      </c>
      <c r="E2923" t="s">
        <v>27</v>
      </c>
      <c r="F2923">
        <v>-2.75</v>
      </c>
      <c r="G2923">
        <v>0</v>
      </c>
    </row>
    <row r="2924" spans="1:7" x14ac:dyDescent="0.3">
      <c r="A2924" s="2">
        <v>45007</v>
      </c>
      <c r="C2924">
        <v>-1304.8699999999999</v>
      </c>
      <c r="D2924" s="2">
        <v>45007</v>
      </c>
      <c r="E2924" t="s">
        <v>27</v>
      </c>
      <c r="F2924">
        <v>-1304.8699999999999</v>
      </c>
      <c r="G2924">
        <v>0</v>
      </c>
    </row>
    <row r="2925" spans="1:7" x14ac:dyDescent="0.3">
      <c r="A2925" s="2">
        <v>45007</v>
      </c>
      <c r="B2925" t="s">
        <v>1849</v>
      </c>
      <c r="C2925">
        <v>-295.83999999999997</v>
      </c>
      <c r="D2925" s="2">
        <v>45007</v>
      </c>
      <c r="E2925" t="s">
        <v>27</v>
      </c>
      <c r="F2925">
        <v>-295.83999999999997</v>
      </c>
      <c r="G2925">
        <v>0</v>
      </c>
    </row>
    <row r="2926" spans="1:7" x14ac:dyDescent="0.3">
      <c r="A2926" s="2">
        <v>45007</v>
      </c>
      <c r="B2926" t="s">
        <v>1850</v>
      </c>
      <c r="C2926">
        <v>-19.47</v>
      </c>
      <c r="D2926" s="2">
        <v>45007</v>
      </c>
      <c r="E2926" t="s">
        <v>27</v>
      </c>
      <c r="F2926">
        <v>-19.47</v>
      </c>
      <c r="G2926">
        <v>0</v>
      </c>
    </row>
    <row r="2927" spans="1:7" x14ac:dyDescent="0.3">
      <c r="A2927" s="2">
        <v>45007</v>
      </c>
      <c r="B2927" t="s">
        <v>1851</v>
      </c>
      <c r="C2927">
        <v>-23.94</v>
      </c>
      <c r="D2927" s="2">
        <v>45007</v>
      </c>
      <c r="E2927" t="s">
        <v>27</v>
      </c>
      <c r="F2927">
        <v>-23.94</v>
      </c>
      <c r="G2927">
        <v>0</v>
      </c>
    </row>
    <row r="2928" spans="1:7" x14ac:dyDescent="0.3">
      <c r="A2928" s="2">
        <v>45007</v>
      </c>
      <c r="B2928" t="s">
        <v>1852</v>
      </c>
      <c r="C2928">
        <v>-23.94</v>
      </c>
      <c r="D2928" s="2">
        <v>45007</v>
      </c>
      <c r="E2928" t="s">
        <v>27</v>
      </c>
      <c r="F2928">
        <v>-23.94</v>
      </c>
      <c r="G2928">
        <v>0</v>
      </c>
    </row>
    <row r="2929" spans="1:7" x14ac:dyDescent="0.3">
      <c r="A2929" s="2">
        <v>45007</v>
      </c>
      <c r="B2929" t="s">
        <v>1853</v>
      </c>
      <c r="C2929">
        <v>-1836.58</v>
      </c>
      <c r="D2929" s="2">
        <v>45007</v>
      </c>
      <c r="E2929" t="s">
        <v>27</v>
      </c>
      <c r="F2929">
        <v>-1836.58</v>
      </c>
      <c r="G2929">
        <v>0</v>
      </c>
    </row>
    <row r="2930" spans="1:7" x14ac:dyDescent="0.3">
      <c r="A2930" s="2">
        <v>45007</v>
      </c>
      <c r="B2930" t="s">
        <v>1854</v>
      </c>
      <c r="C2930">
        <v>-1943.42</v>
      </c>
      <c r="D2930" s="2">
        <v>45007</v>
      </c>
      <c r="E2930" t="s">
        <v>27</v>
      </c>
      <c r="F2930">
        <v>-1943.42</v>
      </c>
      <c r="G2930">
        <v>0</v>
      </c>
    </row>
    <row r="2931" spans="1:7" x14ac:dyDescent="0.3">
      <c r="A2931" s="2">
        <v>45007</v>
      </c>
      <c r="B2931" t="s">
        <v>1855</v>
      </c>
      <c r="C2931">
        <v>-19.75</v>
      </c>
      <c r="D2931" s="2">
        <v>45007</v>
      </c>
      <c r="E2931" t="s">
        <v>27</v>
      </c>
      <c r="F2931">
        <v>-19.75</v>
      </c>
      <c r="G2931">
        <v>0</v>
      </c>
    </row>
    <row r="2932" spans="1:7" x14ac:dyDescent="0.3">
      <c r="A2932" s="2">
        <v>45008</v>
      </c>
      <c r="B2932" t="s">
        <v>1856</v>
      </c>
      <c r="C2932">
        <v>-353.75</v>
      </c>
      <c r="D2932" s="2">
        <v>45008</v>
      </c>
      <c r="E2932" t="s">
        <v>27</v>
      </c>
      <c r="F2932">
        <v>-353.75</v>
      </c>
      <c r="G2932">
        <v>0</v>
      </c>
    </row>
    <row r="2933" spans="1:7" x14ac:dyDescent="0.3">
      <c r="A2933" s="2">
        <v>45008</v>
      </c>
      <c r="B2933" t="s">
        <v>1857</v>
      </c>
      <c r="C2933">
        <v>-208.98</v>
      </c>
      <c r="D2933" s="2">
        <v>45008</v>
      </c>
      <c r="E2933" t="s">
        <v>27</v>
      </c>
      <c r="F2933">
        <v>-208.98</v>
      </c>
      <c r="G2933">
        <v>0</v>
      </c>
    </row>
    <row r="2934" spans="1:7" x14ac:dyDescent="0.3">
      <c r="A2934" s="2">
        <v>45008</v>
      </c>
      <c r="B2934" t="s">
        <v>1858</v>
      </c>
      <c r="C2934">
        <v>-334.9</v>
      </c>
      <c r="D2934" s="2">
        <v>45008</v>
      </c>
      <c r="E2934" t="s">
        <v>27</v>
      </c>
      <c r="F2934">
        <v>-334.9</v>
      </c>
      <c r="G2934">
        <v>0</v>
      </c>
    </row>
    <row r="2935" spans="1:7" x14ac:dyDescent="0.3">
      <c r="A2935" s="2">
        <v>45008</v>
      </c>
      <c r="B2935" t="s">
        <v>1859</v>
      </c>
      <c r="C2935">
        <v>-16.59</v>
      </c>
      <c r="D2935" s="2">
        <v>45008</v>
      </c>
      <c r="E2935" t="s">
        <v>27</v>
      </c>
      <c r="F2935">
        <v>-16.59</v>
      </c>
      <c r="G2935">
        <v>0</v>
      </c>
    </row>
    <row r="2936" spans="1:7" x14ac:dyDescent="0.3">
      <c r="A2936" s="2">
        <v>45008</v>
      </c>
      <c r="B2936" t="s">
        <v>1860</v>
      </c>
      <c r="C2936">
        <v>-73.959999999999994</v>
      </c>
      <c r="D2936" s="2">
        <v>45008</v>
      </c>
      <c r="E2936" t="s">
        <v>27</v>
      </c>
      <c r="F2936">
        <v>-73.959999999999994</v>
      </c>
      <c r="G2936">
        <v>0</v>
      </c>
    </row>
    <row r="2937" spans="1:7" x14ac:dyDescent="0.3">
      <c r="A2937" s="2">
        <v>45008</v>
      </c>
      <c r="B2937" t="s">
        <v>1861</v>
      </c>
      <c r="C2937">
        <v>-21.33</v>
      </c>
      <c r="D2937" s="2">
        <v>45008</v>
      </c>
      <c r="E2937" t="s">
        <v>27</v>
      </c>
      <c r="F2937">
        <v>-21.33</v>
      </c>
      <c r="G2937">
        <v>0</v>
      </c>
    </row>
    <row r="2938" spans="1:7" x14ac:dyDescent="0.3">
      <c r="A2938" s="2">
        <v>45008</v>
      </c>
      <c r="B2938" t="s">
        <v>1862</v>
      </c>
      <c r="C2938">
        <v>-114.55</v>
      </c>
      <c r="D2938" s="2">
        <v>45008</v>
      </c>
      <c r="E2938" t="s">
        <v>27</v>
      </c>
      <c r="F2938">
        <v>-114.55</v>
      </c>
      <c r="G2938">
        <v>0</v>
      </c>
    </row>
    <row r="2939" spans="1:7" x14ac:dyDescent="0.3">
      <c r="A2939" s="2">
        <v>45008</v>
      </c>
      <c r="B2939" t="s">
        <v>1863</v>
      </c>
      <c r="C2939">
        <v>-121.87</v>
      </c>
      <c r="D2939" s="2">
        <v>45008</v>
      </c>
      <c r="E2939" t="s">
        <v>27</v>
      </c>
      <c r="F2939">
        <v>-121.87</v>
      </c>
      <c r="G2939">
        <v>0</v>
      </c>
    </row>
    <row r="2940" spans="1:7" x14ac:dyDescent="0.3">
      <c r="A2940" s="2">
        <v>45009</v>
      </c>
      <c r="B2940" t="s">
        <v>1864</v>
      </c>
      <c r="C2940">
        <v>-240.5</v>
      </c>
      <c r="D2940" s="2">
        <v>45009</v>
      </c>
      <c r="E2940" t="s">
        <v>27</v>
      </c>
      <c r="F2940">
        <v>-240.5</v>
      </c>
      <c r="G2940">
        <v>0</v>
      </c>
    </row>
    <row r="2941" spans="1:7" x14ac:dyDescent="0.3">
      <c r="A2941" s="2">
        <v>45009</v>
      </c>
      <c r="B2941" t="s">
        <v>1865</v>
      </c>
      <c r="C2941">
        <v>-171.95</v>
      </c>
      <c r="D2941" s="2">
        <v>45009</v>
      </c>
      <c r="E2941" t="s">
        <v>27</v>
      </c>
      <c r="F2941">
        <v>-171.95</v>
      </c>
      <c r="G2941">
        <v>0</v>
      </c>
    </row>
    <row r="2942" spans="1:7" x14ac:dyDescent="0.3">
      <c r="A2942" s="2">
        <v>45009</v>
      </c>
      <c r="B2942" t="s">
        <v>1865</v>
      </c>
      <c r="C2942">
        <v>-171.95</v>
      </c>
      <c r="D2942" s="2">
        <v>45009</v>
      </c>
      <c r="E2942" t="s">
        <v>27</v>
      </c>
      <c r="F2942">
        <v>-171.95</v>
      </c>
      <c r="G2942">
        <v>0</v>
      </c>
    </row>
    <row r="2943" spans="1:7" x14ac:dyDescent="0.3">
      <c r="A2943" s="2">
        <v>45012</v>
      </c>
      <c r="B2943" t="s">
        <v>1866</v>
      </c>
      <c r="C2943">
        <v>-148</v>
      </c>
      <c r="D2943" s="2">
        <v>45012</v>
      </c>
      <c r="E2943" t="s">
        <v>27</v>
      </c>
      <c r="F2943">
        <v>-148</v>
      </c>
      <c r="G2943">
        <v>0</v>
      </c>
    </row>
    <row r="2944" spans="1:7" x14ac:dyDescent="0.3">
      <c r="A2944" s="2">
        <v>45012</v>
      </c>
      <c r="C2944">
        <v>-228.57</v>
      </c>
      <c r="D2944" s="2">
        <v>45012</v>
      </c>
      <c r="E2944" t="s">
        <v>27</v>
      </c>
      <c r="F2944">
        <v>-228.57</v>
      </c>
      <c r="G2944">
        <v>0</v>
      </c>
    </row>
    <row r="2945" spans="1:7" x14ac:dyDescent="0.3">
      <c r="A2945" s="2">
        <v>45012</v>
      </c>
      <c r="C2945">
        <v>-10.8</v>
      </c>
      <c r="D2945" s="2">
        <v>45012</v>
      </c>
      <c r="E2945" t="s">
        <v>27</v>
      </c>
      <c r="F2945">
        <v>-10.8</v>
      </c>
      <c r="G2945">
        <v>0</v>
      </c>
    </row>
    <row r="2946" spans="1:7" x14ac:dyDescent="0.3">
      <c r="A2946" s="2">
        <v>45012</v>
      </c>
      <c r="C2946">
        <v>-1.36</v>
      </c>
      <c r="D2946" s="2">
        <v>45012</v>
      </c>
      <c r="E2946" t="s">
        <v>27</v>
      </c>
      <c r="F2946">
        <v>-1.36</v>
      </c>
      <c r="G2946">
        <v>0</v>
      </c>
    </row>
    <row r="2947" spans="1:7" x14ac:dyDescent="0.3">
      <c r="A2947" s="2">
        <v>45012</v>
      </c>
      <c r="C2947">
        <v>-72.55</v>
      </c>
      <c r="D2947" s="2">
        <v>45012</v>
      </c>
      <c r="E2947" t="s">
        <v>27</v>
      </c>
      <c r="F2947">
        <v>-72.55</v>
      </c>
      <c r="G2947">
        <v>0</v>
      </c>
    </row>
    <row r="2948" spans="1:7" x14ac:dyDescent="0.3">
      <c r="A2948" s="2">
        <v>45012</v>
      </c>
      <c r="C2948">
        <v>-41.55</v>
      </c>
      <c r="D2948" s="2">
        <v>45012</v>
      </c>
      <c r="E2948" t="s">
        <v>27</v>
      </c>
      <c r="F2948">
        <v>-41.55</v>
      </c>
      <c r="G2948">
        <v>0</v>
      </c>
    </row>
    <row r="2949" spans="1:7" x14ac:dyDescent="0.3">
      <c r="A2949" s="2">
        <v>45012</v>
      </c>
      <c r="C2949">
        <v>-43.55</v>
      </c>
      <c r="D2949" s="2">
        <v>45012</v>
      </c>
      <c r="E2949" t="s">
        <v>27</v>
      </c>
      <c r="F2949">
        <v>-43.55</v>
      </c>
      <c r="G2949">
        <v>0</v>
      </c>
    </row>
    <row r="2950" spans="1:7" x14ac:dyDescent="0.3">
      <c r="A2950" s="2">
        <v>45012</v>
      </c>
      <c r="C2950">
        <v>-83.09</v>
      </c>
      <c r="D2950" s="2">
        <v>45012</v>
      </c>
      <c r="E2950" t="s">
        <v>27</v>
      </c>
      <c r="F2950">
        <v>-83.09</v>
      </c>
      <c r="G2950">
        <v>0</v>
      </c>
    </row>
    <row r="2951" spans="1:7" x14ac:dyDescent="0.3">
      <c r="A2951" s="2">
        <v>45012</v>
      </c>
      <c r="B2951" t="s">
        <v>1867</v>
      </c>
      <c r="C2951">
        <v>-64.8</v>
      </c>
      <c r="D2951" s="2">
        <v>45012</v>
      </c>
      <c r="E2951" t="s">
        <v>27</v>
      </c>
      <c r="F2951">
        <v>-64.8</v>
      </c>
      <c r="G2951">
        <v>0</v>
      </c>
    </row>
    <row r="2952" spans="1:7" x14ac:dyDescent="0.3">
      <c r="A2952" s="2">
        <v>45012</v>
      </c>
      <c r="B2952" t="s">
        <v>1867</v>
      </c>
      <c r="C2952">
        <v>-64.8</v>
      </c>
      <c r="D2952" s="2">
        <v>45012</v>
      </c>
      <c r="E2952" t="s">
        <v>27</v>
      </c>
      <c r="F2952">
        <v>-64.8</v>
      </c>
      <c r="G2952">
        <v>0</v>
      </c>
    </row>
    <row r="2953" spans="1:7" x14ac:dyDescent="0.3">
      <c r="A2953" s="2">
        <v>45012</v>
      </c>
      <c r="B2953" t="s">
        <v>1868</v>
      </c>
      <c r="C2953">
        <v>-71.819999999999993</v>
      </c>
      <c r="D2953" s="2">
        <v>45012</v>
      </c>
      <c r="E2953" t="s">
        <v>27</v>
      </c>
      <c r="F2953">
        <v>-71.819999999999993</v>
      </c>
      <c r="G2953">
        <v>0</v>
      </c>
    </row>
    <row r="2954" spans="1:7" x14ac:dyDescent="0.3">
      <c r="A2954" s="2">
        <v>45012</v>
      </c>
      <c r="C2954">
        <v>-37.68</v>
      </c>
      <c r="D2954" s="2">
        <v>45012</v>
      </c>
      <c r="E2954" t="s">
        <v>27</v>
      </c>
      <c r="F2954">
        <v>-37.68</v>
      </c>
      <c r="G2954">
        <v>0</v>
      </c>
    </row>
    <row r="2955" spans="1:7" x14ac:dyDescent="0.3">
      <c r="A2955" s="2">
        <v>45012</v>
      </c>
      <c r="C2955">
        <v>-58.52</v>
      </c>
      <c r="D2955" s="2">
        <v>45012</v>
      </c>
      <c r="E2955" t="s">
        <v>27</v>
      </c>
      <c r="F2955">
        <v>-58.52</v>
      </c>
      <c r="G2955">
        <v>0</v>
      </c>
    </row>
    <row r="2956" spans="1:7" x14ac:dyDescent="0.3">
      <c r="A2956" s="2">
        <v>45013</v>
      </c>
      <c r="C2956">
        <v>-37.56</v>
      </c>
      <c r="D2956" s="2">
        <v>45013</v>
      </c>
      <c r="E2956" t="s">
        <v>27</v>
      </c>
      <c r="F2956">
        <v>-37.56</v>
      </c>
      <c r="G2956">
        <v>0</v>
      </c>
    </row>
    <row r="2957" spans="1:7" x14ac:dyDescent="0.3">
      <c r="A2957" s="2">
        <v>45013</v>
      </c>
      <c r="B2957" t="s">
        <v>1869</v>
      </c>
      <c r="C2957">
        <v>-0.5</v>
      </c>
      <c r="D2957" s="2">
        <v>45013</v>
      </c>
      <c r="E2957" t="s">
        <v>27</v>
      </c>
      <c r="F2957">
        <v>-0.5</v>
      </c>
      <c r="G2957">
        <v>0</v>
      </c>
    </row>
    <row r="2958" spans="1:7" x14ac:dyDescent="0.3">
      <c r="A2958" s="2">
        <v>45015</v>
      </c>
      <c r="B2958" t="s">
        <v>1870</v>
      </c>
      <c r="C2958">
        <v>-192</v>
      </c>
      <c r="D2958" s="2">
        <v>45015</v>
      </c>
      <c r="E2958" t="s">
        <v>27</v>
      </c>
      <c r="F2958">
        <v>-192</v>
      </c>
      <c r="G2958">
        <v>0</v>
      </c>
    </row>
    <row r="2959" spans="1:7" x14ac:dyDescent="0.3">
      <c r="A2959" s="2">
        <v>45015</v>
      </c>
      <c r="B2959" t="s">
        <v>1871</v>
      </c>
      <c r="C2959">
        <v>-224.4</v>
      </c>
      <c r="D2959" s="2">
        <v>45015</v>
      </c>
      <c r="E2959" t="s">
        <v>27</v>
      </c>
      <c r="F2959">
        <v>-224.4</v>
      </c>
      <c r="G2959">
        <v>0</v>
      </c>
    </row>
    <row r="2960" spans="1:7" x14ac:dyDescent="0.3">
      <c r="A2960" s="2">
        <v>45015</v>
      </c>
      <c r="B2960" t="s">
        <v>1871</v>
      </c>
      <c r="C2960">
        <v>-224.4</v>
      </c>
      <c r="D2960" s="2">
        <v>45015</v>
      </c>
      <c r="E2960" t="s">
        <v>27</v>
      </c>
      <c r="F2960">
        <v>-224.4</v>
      </c>
      <c r="G2960">
        <v>0</v>
      </c>
    </row>
    <row r="2961" spans="1:7" x14ac:dyDescent="0.3">
      <c r="A2961" s="2">
        <v>44986</v>
      </c>
      <c r="B2961" t="s">
        <v>1872</v>
      </c>
      <c r="C2961">
        <v>-375</v>
      </c>
      <c r="D2961" s="2">
        <v>44986</v>
      </c>
      <c r="E2961" t="s">
        <v>27</v>
      </c>
      <c r="F2961">
        <v>-375</v>
      </c>
      <c r="G2961">
        <v>0</v>
      </c>
    </row>
    <row r="2962" spans="1:7" x14ac:dyDescent="0.3">
      <c r="A2962" s="2">
        <v>44987</v>
      </c>
      <c r="B2962" t="s">
        <v>1872</v>
      </c>
      <c r="C2962">
        <v>-6292.88</v>
      </c>
      <c r="D2962" s="2">
        <v>44987</v>
      </c>
      <c r="E2962" t="s">
        <v>27</v>
      </c>
      <c r="F2962">
        <v>-6292.88</v>
      </c>
      <c r="G2962">
        <v>0</v>
      </c>
    </row>
    <row r="2963" spans="1:7" x14ac:dyDescent="0.3">
      <c r="A2963" s="2">
        <v>44987</v>
      </c>
      <c r="B2963" t="s">
        <v>1806</v>
      </c>
      <c r="C2963">
        <v>-250</v>
      </c>
      <c r="D2963" s="2">
        <v>44987</v>
      </c>
      <c r="E2963" t="s">
        <v>27</v>
      </c>
      <c r="F2963">
        <v>-250</v>
      </c>
      <c r="G2963">
        <v>0</v>
      </c>
    </row>
    <row r="2964" spans="1:7" x14ac:dyDescent="0.3">
      <c r="A2964" s="2">
        <v>44992</v>
      </c>
      <c r="B2964" t="s">
        <v>1809</v>
      </c>
      <c r="C2964">
        <v>-3250</v>
      </c>
      <c r="D2964" s="2">
        <v>44994</v>
      </c>
      <c r="E2964" t="s">
        <v>27</v>
      </c>
      <c r="F2964">
        <v>-3250</v>
      </c>
      <c r="G2964">
        <v>0</v>
      </c>
    </row>
    <row r="2965" spans="1:7" x14ac:dyDescent="0.3">
      <c r="A2965" s="2">
        <v>44994</v>
      </c>
      <c r="B2965" t="s">
        <v>1811</v>
      </c>
      <c r="C2965">
        <v>-1975</v>
      </c>
      <c r="D2965" s="2">
        <v>44994</v>
      </c>
      <c r="E2965" t="s">
        <v>27</v>
      </c>
      <c r="F2965">
        <v>-1975</v>
      </c>
      <c r="G2965">
        <v>0</v>
      </c>
    </row>
    <row r="2966" spans="1:7" x14ac:dyDescent="0.3">
      <c r="A2966" s="2">
        <v>44998</v>
      </c>
      <c r="B2966" t="s">
        <v>1873</v>
      </c>
      <c r="C2966">
        <v>-500000</v>
      </c>
      <c r="D2966" s="2">
        <v>44998</v>
      </c>
      <c r="E2966" t="s">
        <v>27</v>
      </c>
      <c r="F2966">
        <v>-500000</v>
      </c>
      <c r="G2966">
        <v>0</v>
      </c>
    </row>
    <row r="2967" spans="1:7" x14ac:dyDescent="0.3">
      <c r="A2967" s="2">
        <v>44999</v>
      </c>
      <c r="B2967" t="s">
        <v>1874</v>
      </c>
      <c r="C2967">
        <v>-400</v>
      </c>
      <c r="D2967" s="2">
        <v>44999</v>
      </c>
      <c r="E2967" t="s">
        <v>27</v>
      </c>
      <c r="F2967">
        <v>-400</v>
      </c>
      <c r="G2967">
        <v>0</v>
      </c>
    </row>
    <row r="2968" spans="1:7" x14ac:dyDescent="0.3">
      <c r="A2968" s="2">
        <v>45000</v>
      </c>
      <c r="B2968" t="s">
        <v>1875</v>
      </c>
      <c r="C2968">
        <v>-79062.98</v>
      </c>
      <c r="D2968" s="2">
        <v>45000</v>
      </c>
      <c r="E2968" t="s">
        <v>27</v>
      </c>
      <c r="F2968">
        <v>-79062.98</v>
      </c>
      <c r="G2968">
        <v>0</v>
      </c>
    </row>
    <row r="2969" spans="1:7" x14ac:dyDescent="0.3">
      <c r="A2969" s="2">
        <v>45001</v>
      </c>
      <c r="B2969" t="s">
        <v>1817</v>
      </c>
      <c r="C2969">
        <v>-1670</v>
      </c>
      <c r="D2969" s="2">
        <v>44999</v>
      </c>
      <c r="E2969" t="s">
        <v>27</v>
      </c>
      <c r="F2969">
        <v>-1670</v>
      </c>
      <c r="G2969">
        <v>0</v>
      </c>
    </row>
    <row r="2970" spans="1:7" x14ac:dyDescent="0.3">
      <c r="A2970" s="2">
        <v>45002</v>
      </c>
      <c r="B2970" t="s">
        <v>1818</v>
      </c>
      <c r="C2970">
        <v>-900</v>
      </c>
      <c r="D2970" s="2">
        <v>44999</v>
      </c>
      <c r="E2970" t="s">
        <v>27</v>
      </c>
      <c r="F2970">
        <v>-900</v>
      </c>
      <c r="G2970">
        <v>0</v>
      </c>
    </row>
    <row r="2971" spans="1:7" x14ac:dyDescent="0.3">
      <c r="A2971" s="2">
        <v>45006</v>
      </c>
      <c r="B2971" t="s">
        <v>1876</v>
      </c>
      <c r="C2971">
        <v>-80000</v>
      </c>
      <c r="D2971" s="2">
        <v>45006</v>
      </c>
      <c r="E2971" t="s">
        <v>27</v>
      </c>
      <c r="F2971">
        <v>-80000</v>
      </c>
      <c r="G2971">
        <v>0</v>
      </c>
    </row>
    <row r="2972" spans="1:7" x14ac:dyDescent="0.3">
      <c r="A2972" s="2">
        <v>45006</v>
      </c>
      <c r="B2972" t="s">
        <v>1877</v>
      </c>
      <c r="C2972">
        <v>-20000</v>
      </c>
      <c r="D2972" s="2">
        <v>45006</v>
      </c>
      <c r="E2972" t="s">
        <v>27</v>
      </c>
      <c r="F2972">
        <v>-20000</v>
      </c>
      <c r="G2972">
        <v>0</v>
      </c>
    </row>
    <row r="2973" spans="1:7" x14ac:dyDescent="0.3">
      <c r="A2973" s="2">
        <v>45007</v>
      </c>
      <c r="B2973" t="s">
        <v>1878</v>
      </c>
      <c r="C2973">
        <v>-31344.53</v>
      </c>
      <c r="D2973" s="2">
        <v>45007</v>
      </c>
      <c r="E2973" t="s">
        <v>27</v>
      </c>
      <c r="F2973">
        <v>-31344.53</v>
      </c>
      <c r="G2973">
        <v>0</v>
      </c>
    </row>
    <row r="2974" spans="1:7" x14ac:dyDescent="0.3">
      <c r="A2974" s="2">
        <v>45007</v>
      </c>
      <c r="B2974" t="s">
        <v>1879</v>
      </c>
      <c r="C2974">
        <v>-46087</v>
      </c>
      <c r="D2974" s="2">
        <v>45007</v>
      </c>
      <c r="E2974" t="s">
        <v>27</v>
      </c>
      <c r="F2974">
        <v>-46087</v>
      </c>
      <c r="G2974">
        <v>0</v>
      </c>
    </row>
    <row r="2975" spans="1:7" x14ac:dyDescent="0.3">
      <c r="A2975" s="2">
        <v>45012</v>
      </c>
      <c r="B2975" t="s">
        <v>1827</v>
      </c>
      <c r="C2975">
        <v>-440</v>
      </c>
      <c r="D2975" s="2">
        <v>45012</v>
      </c>
      <c r="E2975" t="s">
        <v>27</v>
      </c>
      <c r="F2975">
        <v>-440</v>
      </c>
      <c r="G2975">
        <v>0</v>
      </c>
    </row>
    <row r="2976" spans="1:7" x14ac:dyDescent="0.3">
      <c r="A2976" s="2">
        <v>45013</v>
      </c>
      <c r="B2976" t="s">
        <v>1880</v>
      </c>
      <c r="C2976">
        <v>-2518.75</v>
      </c>
      <c r="D2976" s="2">
        <v>45013</v>
      </c>
      <c r="E2976" t="s">
        <v>27</v>
      </c>
      <c r="F2976">
        <v>-2518.75</v>
      </c>
      <c r="G2976">
        <v>0</v>
      </c>
    </row>
    <row r="2977" spans="1:7" x14ac:dyDescent="0.3">
      <c r="A2977" s="2">
        <v>45015</v>
      </c>
      <c r="B2977" t="s">
        <v>1881</v>
      </c>
      <c r="C2977">
        <v>-101.91</v>
      </c>
      <c r="D2977" s="2">
        <v>45015</v>
      </c>
      <c r="E2977" t="s">
        <v>27</v>
      </c>
      <c r="F2977">
        <v>-101.91</v>
      </c>
      <c r="G2977">
        <v>0</v>
      </c>
    </row>
    <row r="2978" spans="1:7" x14ac:dyDescent="0.3">
      <c r="A2978" s="2">
        <v>45015</v>
      </c>
      <c r="B2978" t="s">
        <v>1882</v>
      </c>
      <c r="C2978">
        <v>-31255.3</v>
      </c>
      <c r="D2978" s="2">
        <v>45015</v>
      </c>
      <c r="E2978" t="s">
        <v>27</v>
      </c>
      <c r="F2978">
        <v>-31255.3</v>
      </c>
      <c r="G2978">
        <v>0</v>
      </c>
    </row>
    <row r="2979" spans="1:7" x14ac:dyDescent="0.3">
      <c r="A2979" s="2">
        <v>44988</v>
      </c>
      <c r="C2979">
        <v>-50</v>
      </c>
      <c r="D2979" s="2">
        <v>44988</v>
      </c>
      <c r="E2979" t="s">
        <v>27</v>
      </c>
      <c r="F2979">
        <v>-50</v>
      </c>
      <c r="G2979">
        <v>0</v>
      </c>
    </row>
    <row r="2980" spans="1:7" x14ac:dyDescent="0.3">
      <c r="A2980" s="2">
        <v>45019</v>
      </c>
      <c r="B2980" t="s">
        <v>1883</v>
      </c>
      <c r="C2980">
        <v>640</v>
      </c>
      <c r="D2980" s="2">
        <v>45019</v>
      </c>
      <c r="E2980" t="s">
        <v>25</v>
      </c>
      <c r="F2980">
        <v>640</v>
      </c>
      <c r="G2980">
        <v>0</v>
      </c>
    </row>
    <row r="2981" spans="1:7" x14ac:dyDescent="0.3">
      <c r="A2981" s="2">
        <v>45019</v>
      </c>
      <c r="B2981" t="s">
        <v>1884</v>
      </c>
      <c r="C2981">
        <v>145</v>
      </c>
      <c r="D2981" s="2">
        <v>45019</v>
      </c>
      <c r="E2981" t="s">
        <v>25</v>
      </c>
      <c r="F2981">
        <v>145</v>
      </c>
      <c r="G2981">
        <v>0</v>
      </c>
    </row>
    <row r="2982" spans="1:7" x14ac:dyDescent="0.3">
      <c r="A2982" s="2">
        <v>45021</v>
      </c>
      <c r="B2982" t="s">
        <v>1732</v>
      </c>
      <c r="C2982">
        <v>6600</v>
      </c>
      <c r="D2982" s="2">
        <v>45021</v>
      </c>
      <c r="E2982" t="s">
        <v>25</v>
      </c>
      <c r="F2982">
        <v>6600</v>
      </c>
      <c r="G2982">
        <v>0</v>
      </c>
    </row>
    <row r="2983" spans="1:7" x14ac:dyDescent="0.3">
      <c r="A2983" s="2">
        <v>45021</v>
      </c>
      <c r="B2983" t="s">
        <v>1732</v>
      </c>
      <c r="C2983">
        <v>4500</v>
      </c>
      <c r="D2983" s="2">
        <v>45021</v>
      </c>
      <c r="E2983" t="s">
        <v>25</v>
      </c>
      <c r="F2983">
        <v>4500</v>
      </c>
      <c r="G2983">
        <v>0</v>
      </c>
    </row>
    <row r="2984" spans="1:7" x14ac:dyDescent="0.3">
      <c r="A2984" s="2">
        <v>45022</v>
      </c>
      <c r="B2984" t="s">
        <v>1885</v>
      </c>
      <c r="C2984">
        <v>332.5</v>
      </c>
      <c r="D2984" s="2">
        <v>45022</v>
      </c>
      <c r="E2984" t="s">
        <v>25</v>
      </c>
      <c r="F2984">
        <v>332.5</v>
      </c>
      <c r="G2984">
        <v>0</v>
      </c>
    </row>
    <row r="2985" spans="1:7" x14ac:dyDescent="0.3">
      <c r="A2985" s="2">
        <v>45023</v>
      </c>
      <c r="B2985" t="s">
        <v>1886</v>
      </c>
      <c r="C2985">
        <v>307.5</v>
      </c>
      <c r="D2985" s="2">
        <v>45023</v>
      </c>
      <c r="E2985" t="s">
        <v>25</v>
      </c>
      <c r="F2985">
        <v>307.5</v>
      </c>
      <c r="G2985">
        <v>0</v>
      </c>
    </row>
    <row r="2986" spans="1:7" x14ac:dyDescent="0.3">
      <c r="A2986" s="2">
        <v>45026</v>
      </c>
      <c r="B2986" t="s">
        <v>1887</v>
      </c>
      <c r="C2986">
        <v>165</v>
      </c>
      <c r="D2986" s="2">
        <v>45026</v>
      </c>
      <c r="E2986" t="s">
        <v>25</v>
      </c>
      <c r="F2986">
        <v>165</v>
      </c>
      <c r="G2986">
        <v>0</v>
      </c>
    </row>
    <row r="2987" spans="1:7" x14ac:dyDescent="0.3">
      <c r="A2987" s="2">
        <v>45026</v>
      </c>
      <c r="B2987" t="s">
        <v>1888</v>
      </c>
      <c r="C2987">
        <v>123.75</v>
      </c>
      <c r="D2987" s="2">
        <v>45026</v>
      </c>
      <c r="E2987" t="s">
        <v>25</v>
      </c>
      <c r="F2987">
        <v>123.75</v>
      </c>
      <c r="G2987">
        <v>0</v>
      </c>
    </row>
    <row r="2988" spans="1:7" x14ac:dyDescent="0.3">
      <c r="A2988" s="2">
        <v>45026</v>
      </c>
      <c r="B2988" t="s">
        <v>1887</v>
      </c>
      <c r="C2988">
        <v>123.75</v>
      </c>
      <c r="D2988" s="2">
        <v>45026</v>
      </c>
      <c r="E2988" t="s">
        <v>25</v>
      </c>
      <c r="F2988">
        <v>123.75</v>
      </c>
      <c r="G2988">
        <v>0</v>
      </c>
    </row>
    <row r="2989" spans="1:7" x14ac:dyDescent="0.3">
      <c r="A2989" s="2">
        <v>45028</v>
      </c>
      <c r="B2989" t="s">
        <v>1889</v>
      </c>
      <c r="C2989">
        <v>483.75</v>
      </c>
      <c r="D2989" s="2">
        <v>45028</v>
      </c>
      <c r="E2989" t="s">
        <v>25</v>
      </c>
      <c r="F2989">
        <v>483.75</v>
      </c>
      <c r="G2989">
        <v>0</v>
      </c>
    </row>
    <row r="2990" spans="1:7" x14ac:dyDescent="0.3">
      <c r="A2990" s="2">
        <v>45029</v>
      </c>
      <c r="B2990" t="s">
        <v>1890</v>
      </c>
      <c r="C2990">
        <v>3255</v>
      </c>
      <c r="D2990" s="2">
        <v>45029</v>
      </c>
      <c r="E2990" t="s">
        <v>25</v>
      </c>
      <c r="F2990">
        <v>3255</v>
      </c>
      <c r="G2990">
        <v>0</v>
      </c>
    </row>
    <row r="2991" spans="1:7" x14ac:dyDescent="0.3">
      <c r="A2991" s="2">
        <v>45030</v>
      </c>
      <c r="B2991" t="s">
        <v>1891</v>
      </c>
      <c r="C2991">
        <v>223.75</v>
      </c>
      <c r="D2991" s="2">
        <v>45030</v>
      </c>
      <c r="E2991" t="s">
        <v>25</v>
      </c>
      <c r="F2991">
        <v>223.75</v>
      </c>
      <c r="G2991">
        <v>0</v>
      </c>
    </row>
    <row r="2992" spans="1:7" x14ac:dyDescent="0.3">
      <c r="A2992" s="2">
        <v>45033</v>
      </c>
      <c r="B2992" t="s">
        <v>1892</v>
      </c>
      <c r="C2992">
        <v>165</v>
      </c>
      <c r="D2992" s="2">
        <v>45033</v>
      </c>
      <c r="E2992" t="s">
        <v>25</v>
      </c>
      <c r="F2992">
        <v>165</v>
      </c>
      <c r="G2992">
        <v>0</v>
      </c>
    </row>
    <row r="2993" spans="1:7" x14ac:dyDescent="0.3">
      <c r="A2993" s="2">
        <v>45033</v>
      </c>
      <c r="B2993" t="s">
        <v>1893</v>
      </c>
      <c r="C2993">
        <v>165</v>
      </c>
      <c r="D2993" s="2">
        <v>45033</v>
      </c>
      <c r="E2993" t="s">
        <v>25</v>
      </c>
      <c r="F2993">
        <v>165</v>
      </c>
      <c r="G2993">
        <v>0</v>
      </c>
    </row>
    <row r="2994" spans="1:7" x14ac:dyDescent="0.3">
      <c r="A2994" s="2">
        <v>45033</v>
      </c>
      <c r="B2994" t="s">
        <v>1893</v>
      </c>
      <c r="C2994">
        <v>123.75</v>
      </c>
      <c r="D2994" s="2">
        <v>45033</v>
      </c>
      <c r="E2994" t="s">
        <v>25</v>
      </c>
      <c r="F2994">
        <v>123.75</v>
      </c>
      <c r="G2994">
        <v>0</v>
      </c>
    </row>
    <row r="2995" spans="1:7" x14ac:dyDescent="0.3">
      <c r="A2995" s="2">
        <v>45035</v>
      </c>
      <c r="B2995" t="s">
        <v>1894</v>
      </c>
      <c r="C2995">
        <v>123.75</v>
      </c>
      <c r="D2995" s="2">
        <v>45035</v>
      </c>
      <c r="E2995" t="s">
        <v>25</v>
      </c>
      <c r="F2995">
        <v>123.75</v>
      </c>
      <c r="G2995">
        <v>0</v>
      </c>
    </row>
    <row r="2996" spans="1:7" x14ac:dyDescent="0.3">
      <c r="A2996" s="2">
        <v>45037</v>
      </c>
      <c r="B2996" t="s">
        <v>1895</v>
      </c>
      <c r="C2996">
        <v>371.25</v>
      </c>
      <c r="D2996" s="2">
        <v>45037</v>
      </c>
      <c r="E2996" t="s">
        <v>25</v>
      </c>
      <c r="F2996">
        <v>371.25</v>
      </c>
      <c r="G2996">
        <v>0</v>
      </c>
    </row>
    <row r="2997" spans="1:7" x14ac:dyDescent="0.3">
      <c r="A2997" s="2">
        <v>45040</v>
      </c>
      <c r="B2997" t="s">
        <v>1896</v>
      </c>
      <c r="C2997">
        <v>123.75</v>
      </c>
      <c r="D2997" s="2">
        <v>45040</v>
      </c>
      <c r="E2997" t="s">
        <v>25</v>
      </c>
      <c r="F2997">
        <v>123.75</v>
      </c>
      <c r="G2997">
        <v>0</v>
      </c>
    </row>
    <row r="2998" spans="1:7" x14ac:dyDescent="0.3">
      <c r="A2998" s="2">
        <v>45041</v>
      </c>
      <c r="B2998" t="s">
        <v>1897</v>
      </c>
      <c r="C2998">
        <v>123.75</v>
      </c>
      <c r="D2998" s="2">
        <v>45041</v>
      </c>
      <c r="E2998" t="s">
        <v>25</v>
      </c>
      <c r="F2998">
        <v>123.75</v>
      </c>
      <c r="G2998">
        <v>0</v>
      </c>
    </row>
    <row r="2999" spans="1:7" x14ac:dyDescent="0.3">
      <c r="A2999" s="2">
        <v>45042</v>
      </c>
      <c r="B2999" t="s">
        <v>1898</v>
      </c>
      <c r="C2999">
        <v>901.25</v>
      </c>
      <c r="D2999" s="2">
        <v>45042</v>
      </c>
      <c r="E2999" t="s">
        <v>25</v>
      </c>
      <c r="F2999">
        <v>901.25</v>
      </c>
      <c r="G2999">
        <v>0</v>
      </c>
    </row>
    <row r="3000" spans="1:7" x14ac:dyDescent="0.3">
      <c r="A3000" s="2">
        <v>45043</v>
      </c>
      <c r="B3000" t="s">
        <v>1899</v>
      </c>
      <c r="C3000">
        <v>5747.5</v>
      </c>
      <c r="D3000" s="2">
        <v>45043</v>
      </c>
      <c r="E3000" t="s">
        <v>25</v>
      </c>
      <c r="F3000">
        <v>5747.5</v>
      </c>
      <c r="G3000">
        <v>0</v>
      </c>
    </row>
    <row r="3001" spans="1:7" x14ac:dyDescent="0.3">
      <c r="A3001" s="2">
        <v>45019</v>
      </c>
      <c r="B3001" t="s">
        <v>1900</v>
      </c>
      <c r="C3001">
        <v>-30</v>
      </c>
      <c r="D3001" s="2">
        <v>45019</v>
      </c>
      <c r="E3001" t="s">
        <v>27</v>
      </c>
      <c r="F3001">
        <v>-30</v>
      </c>
      <c r="G3001">
        <v>0</v>
      </c>
    </row>
    <row r="3002" spans="1:7" x14ac:dyDescent="0.3">
      <c r="A3002" s="2">
        <v>45019</v>
      </c>
      <c r="B3002" t="s">
        <v>1901</v>
      </c>
      <c r="C3002">
        <v>-52.26</v>
      </c>
      <c r="D3002" s="2">
        <v>45019</v>
      </c>
      <c r="E3002" t="s">
        <v>27</v>
      </c>
      <c r="F3002">
        <v>-52.26</v>
      </c>
      <c r="G3002">
        <v>0</v>
      </c>
    </row>
    <row r="3003" spans="1:7" x14ac:dyDescent="0.3">
      <c r="A3003" s="2">
        <v>45019</v>
      </c>
      <c r="B3003" t="s">
        <v>1528</v>
      </c>
      <c r="C3003">
        <v>-136.1</v>
      </c>
      <c r="D3003" s="2">
        <v>45019</v>
      </c>
      <c r="E3003" t="s">
        <v>27</v>
      </c>
      <c r="F3003">
        <v>-136.1</v>
      </c>
      <c r="G3003">
        <v>0</v>
      </c>
    </row>
    <row r="3004" spans="1:7" x14ac:dyDescent="0.3">
      <c r="A3004" s="2">
        <v>45026</v>
      </c>
      <c r="B3004" t="s">
        <v>1902</v>
      </c>
      <c r="C3004">
        <v>-49.5</v>
      </c>
      <c r="D3004" s="2">
        <v>45026</v>
      </c>
      <c r="E3004" t="s">
        <v>27</v>
      </c>
      <c r="F3004">
        <v>-49.5</v>
      </c>
      <c r="G3004">
        <v>0</v>
      </c>
    </row>
    <row r="3005" spans="1:7" x14ac:dyDescent="0.3">
      <c r="A3005" s="2">
        <v>45028</v>
      </c>
      <c r="B3005" t="s">
        <v>1903</v>
      </c>
      <c r="C3005">
        <v>-25.63</v>
      </c>
      <c r="D3005" s="2">
        <v>45028</v>
      </c>
      <c r="E3005" t="s">
        <v>27</v>
      </c>
      <c r="F3005">
        <v>-25.63</v>
      </c>
      <c r="G3005">
        <v>0</v>
      </c>
    </row>
    <row r="3006" spans="1:7" x14ac:dyDescent="0.3">
      <c r="A3006" s="2">
        <v>45033</v>
      </c>
      <c r="B3006" t="s">
        <v>1904</v>
      </c>
      <c r="C3006">
        <v>-25</v>
      </c>
      <c r="D3006" s="2">
        <v>45033</v>
      </c>
      <c r="E3006" t="s">
        <v>27</v>
      </c>
      <c r="F3006">
        <v>-25</v>
      </c>
      <c r="G3006">
        <v>0</v>
      </c>
    </row>
    <row r="3007" spans="1:7" x14ac:dyDescent="0.3">
      <c r="A3007" s="2">
        <v>45034</v>
      </c>
      <c r="B3007" t="s">
        <v>1905</v>
      </c>
      <c r="C3007">
        <v>-10.88</v>
      </c>
      <c r="D3007" s="2">
        <v>45034</v>
      </c>
      <c r="E3007" t="s">
        <v>27</v>
      </c>
      <c r="F3007">
        <v>-10.88</v>
      </c>
      <c r="G3007">
        <v>0</v>
      </c>
    </row>
    <row r="3008" spans="1:7" x14ac:dyDescent="0.3">
      <c r="A3008" s="2">
        <v>45034</v>
      </c>
      <c r="B3008" t="s">
        <v>1906</v>
      </c>
      <c r="C3008">
        <v>-28.33</v>
      </c>
      <c r="D3008" s="2">
        <v>45034</v>
      </c>
      <c r="E3008" t="s">
        <v>27</v>
      </c>
      <c r="F3008">
        <v>-28.33</v>
      </c>
      <c r="G3008">
        <v>0</v>
      </c>
    </row>
    <row r="3009" spans="1:7" x14ac:dyDescent="0.3">
      <c r="A3009" s="2">
        <v>45036</v>
      </c>
      <c r="B3009" t="s">
        <v>1907</v>
      </c>
      <c r="C3009">
        <v>-410.38</v>
      </c>
      <c r="D3009" s="2">
        <v>45036</v>
      </c>
      <c r="E3009" t="s">
        <v>27</v>
      </c>
      <c r="F3009">
        <v>-410.38</v>
      </c>
      <c r="G3009">
        <v>0</v>
      </c>
    </row>
    <row r="3010" spans="1:7" x14ac:dyDescent="0.3">
      <c r="A3010" s="2">
        <v>45019</v>
      </c>
      <c r="B3010" t="s">
        <v>1883</v>
      </c>
      <c r="C3010">
        <v>-1450</v>
      </c>
      <c r="D3010" s="2">
        <v>45019</v>
      </c>
      <c r="E3010" t="s">
        <v>27</v>
      </c>
      <c r="F3010">
        <v>-1450</v>
      </c>
      <c r="G3010">
        <v>0</v>
      </c>
    </row>
    <row r="3011" spans="1:7" x14ac:dyDescent="0.3">
      <c r="A3011" s="2">
        <v>45019</v>
      </c>
      <c r="B3011" t="s">
        <v>1883</v>
      </c>
      <c r="C3011">
        <v>-4270.4399999999996</v>
      </c>
      <c r="D3011" s="2">
        <v>45019</v>
      </c>
      <c r="E3011" t="s">
        <v>27</v>
      </c>
      <c r="F3011">
        <v>-4270.4399999999996</v>
      </c>
      <c r="G3011">
        <v>0</v>
      </c>
    </row>
    <row r="3012" spans="1:7" x14ac:dyDescent="0.3">
      <c r="A3012" s="2">
        <v>45021</v>
      </c>
      <c r="B3012" t="s">
        <v>1908</v>
      </c>
      <c r="C3012">
        <v>-85</v>
      </c>
      <c r="D3012" s="2">
        <v>45021</v>
      </c>
      <c r="E3012" t="s">
        <v>27</v>
      </c>
      <c r="F3012">
        <v>-85</v>
      </c>
      <c r="G3012">
        <v>0</v>
      </c>
    </row>
    <row r="3013" spans="1:7" x14ac:dyDescent="0.3">
      <c r="A3013" s="2">
        <v>45021</v>
      </c>
      <c r="B3013" t="s">
        <v>1909</v>
      </c>
      <c r="C3013">
        <v>-3650</v>
      </c>
      <c r="D3013" s="2">
        <v>45021</v>
      </c>
      <c r="E3013" t="s">
        <v>27</v>
      </c>
      <c r="F3013">
        <v>-3650</v>
      </c>
      <c r="G3013">
        <v>0</v>
      </c>
    </row>
    <row r="3014" spans="1:7" x14ac:dyDescent="0.3">
      <c r="A3014" s="2">
        <v>45027</v>
      </c>
      <c r="B3014" t="s">
        <v>1910</v>
      </c>
      <c r="C3014">
        <v>-1204.43</v>
      </c>
      <c r="D3014" s="2">
        <v>45027</v>
      </c>
      <c r="E3014" t="s">
        <v>27</v>
      </c>
      <c r="F3014">
        <v>-1204.43</v>
      </c>
      <c r="G3014">
        <v>0</v>
      </c>
    </row>
    <row r="3015" spans="1:7" x14ac:dyDescent="0.3">
      <c r="A3015" s="2">
        <v>45035</v>
      </c>
      <c r="B3015" t="s">
        <v>1911</v>
      </c>
      <c r="C3015">
        <v>-31314.29</v>
      </c>
      <c r="D3015" s="2">
        <v>45035</v>
      </c>
      <c r="E3015" t="s">
        <v>27</v>
      </c>
      <c r="F3015">
        <v>-31314.29</v>
      </c>
      <c r="G3015">
        <v>0</v>
      </c>
    </row>
    <row r="3016" spans="1:7" x14ac:dyDescent="0.3">
      <c r="A3016" s="2">
        <v>45035</v>
      </c>
      <c r="B3016" t="s">
        <v>1912</v>
      </c>
      <c r="C3016">
        <v>-100000</v>
      </c>
      <c r="D3016" s="2">
        <v>45035</v>
      </c>
      <c r="E3016" t="s">
        <v>27</v>
      </c>
      <c r="F3016">
        <v>-100000</v>
      </c>
      <c r="G3016">
        <v>0</v>
      </c>
    </row>
    <row r="3017" spans="1:7" x14ac:dyDescent="0.3">
      <c r="A3017" s="2">
        <v>45021</v>
      </c>
      <c r="C3017">
        <v>-50</v>
      </c>
      <c r="D3017" s="2">
        <v>45021</v>
      </c>
      <c r="E3017" t="s">
        <v>27</v>
      </c>
      <c r="F3017">
        <v>-50</v>
      </c>
      <c r="G3017">
        <v>0</v>
      </c>
    </row>
    <row r="3018" spans="1:7" x14ac:dyDescent="0.3">
      <c r="A3018" s="2">
        <v>45047</v>
      </c>
      <c r="B3018" t="s">
        <v>1913</v>
      </c>
      <c r="C3018">
        <v>738.75</v>
      </c>
      <c r="D3018" s="2">
        <v>45047</v>
      </c>
      <c r="E3018" t="s">
        <v>25</v>
      </c>
      <c r="F3018">
        <v>738.75</v>
      </c>
      <c r="G3018">
        <v>0</v>
      </c>
    </row>
    <row r="3019" spans="1:7" x14ac:dyDescent="0.3">
      <c r="A3019" s="2">
        <v>45047</v>
      </c>
      <c r="B3019" t="s">
        <v>1914</v>
      </c>
      <c r="C3019">
        <v>398.75</v>
      </c>
      <c r="D3019" s="2">
        <v>45047</v>
      </c>
      <c r="E3019" t="s">
        <v>25</v>
      </c>
      <c r="F3019">
        <v>398.75</v>
      </c>
      <c r="G3019">
        <v>0</v>
      </c>
    </row>
    <row r="3020" spans="1:7" x14ac:dyDescent="0.3">
      <c r="A3020" s="2">
        <v>45047</v>
      </c>
      <c r="B3020" t="s">
        <v>1914</v>
      </c>
      <c r="C3020">
        <v>50</v>
      </c>
      <c r="D3020" s="2">
        <v>45047</v>
      </c>
      <c r="E3020" t="s">
        <v>25</v>
      </c>
      <c r="F3020">
        <v>50</v>
      </c>
      <c r="G3020">
        <v>0</v>
      </c>
    </row>
    <row r="3021" spans="1:7" x14ac:dyDescent="0.3">
      <c r="A3021" s="2">
        <v>45049</v>
      </c>
      <c r="B3021" t="s">
        <v>1915</v>
      </c>
      <c r="C3021">
        <v>247.5</v>
      </c>
      <c r="D3021" s="2">
        <v>45049</v>
      </c>
      <c r="E3021" t="s">
        <v>25</v>
      </c>
      <c r="F3021">
        <v>247.5</v>
      </c>
      <c r="G3021">
        <v>0</v>
      </c>
    </row>
    <row r="3022" spans="1:7" x14ac:dyDescent="0.3">
      <c r="A3022" s="2">
        <v>45050</v>
      </c>
      <c r="B3022" t="s">
        <v>1916</v>
      </c>
      <c r="C3022">
        <v>412.5</v>
      </c>
      <c r="D3022" s="2">
        <v>45050</v>
      </c>
      <c r="E3022" t="s">
        <v>25</v>
      </c>
      <c r="F3022">
        <v>412.5</v>
      </c>
      <c r="G3022">
        <v>0</v>
      </c>
    </row>
    <row r="3023" spans="1:7" x14ac:dyDescent="0.3">
      <c r="A3023" s="2">
        <v>45051</v>
      </c>
      <c r="B3023" t="s">
        <v>1917</v>
      </c>
      <c r="C3023">
        <v>338.75</v>
      </c>
      <c r="D3023" s="2">
        <v>45051</v>
      </c>
      <c r="E3023" t="s">
        <v>25</v>
      </c>
      <c r="F3023">
        <v>338.75</v>
      </c>
      <c r="G3023">
        <v>0</v>
      </c>
    </row>
    <row r="3024" spans="1:7" x14ac:dyDescent="0.3">
      <c r="A3024" s="2">
        <v>45054</v>
      </c>
      <c r="B3024" t="s">
        <v>1918</v>
      </c>
      <c r="C3024">
        <v>123.75</v>
      </c>
      <c r="D3024" s="2">
        <v>45054</v>
      </c>
      <c r="E3024" t="s">
        <v>25</v>
      </c>
      <c r="F3024">
        <v>123.75</v>
      </c>
      <c r="G3024">
        <v>0</v>
      </c>
    </row>
    <row r="3025" spans="1:7" x14ac:dyDescent="0.3">
      <c r="A3025" s="2">
        <v>45054</v>
      </c>
      <c r="B3025" t="s">
        <v>1919</v>
      </c>
      <c r="C3025">
        <v>100</v>
      </c>
      <c r="D3025" s="2">
        <v>45054</v>
      </c>
      <c r="E3025" t="s">
        <v>25</v>
      </c>
      <c r="F3025">
        <v>100</v>
      </c>
      <c r="G3025">
        <v>0</v>
      </c>
    </row>
    <row r="3026" spans="1:7" x14ac:dyDescent="0.3">
      <c r="A3026" s="2">
        <v>45056</v>
      </c>
      <c r="B3026" t="s">
        <v>1920</v>
      </c>
      <c r="C3026">
        <v>165</v>
      </c>
      <c r="D3026" s="2">
        <v>45056</v>
      </c>
      <c r="E3026" t="s">
        <v>25</v>
      </c>
      <c r="F3026">
        <v>165</v>
      </c>
      <c r="G3026">
        <v>0</v>
      </c>
    </row>
    <row r="3027" spans="1:7" x14ac:dyDescent="0.3">
      <c r="A3027" s="2">
        <v>45058</v>
      </c>
      <c r="B3027" t="s">
        <v>1921</v>
      </c>
      <c r="C3027">
        <v>412.5</v>
      </c>
      <c r="D3027" s="2">
        <v>45058</v>
      </c>
      <c r="E3027" t="s">
        <v>25</v>
      </c>
      <c r="F3027">
        <v>412.5</v>
      </c>
      <c r="G3027">
        <v>0</v>
      </c>
    </row>
    <row r="3028" spans="1:7" x14ac:dyDescent="0.3">
      <c r="A3028" s="2">
        <v>45061</v>
      </c>
      <c r="B3028" t="s">
        <v>1922</v>
      </c>
      <c r="C3028">
        <v>847.5</v>
      </c>
      <c r="D3028" s="2">
        <v>45061</v>
      </c>
      <c r="E3028" t="s">
        <v>25</v>
      </c>
      <c r="F3028">
        <v>847.5</v>
      </c>
      <c r="G3028">
        <v>0</v>
      </c>
    </row>
    <row r="3029" spans="1:7" x14ac:dyDescent="0.3">
      <c r="A3029" s="2">
        <v>45063</v>
      </c>
      <c r="B3029" t="s">
        <v>1923</v>
      </c>
      <c r="C3029">
        <v>2247.5</v>
      </c>
      <c r="D3029" s="2">
        <v>45063</v>
      </c>
      <c r="E3029" t="s">
        <v>25</v>
      </c>
      <c r="F3029">
        <v>2247.5</v>
      </c>
      <c r="G3029">
        <v>0</v>
      </c>
    </row>
    <row r="3030" spans="1:7" x14ac:dyDescent="0.3">
      <c r="A3030" s="2">
        <v>45064</v>
      </c>
      <c r="B3030" t="s">
        <v>1732</v>
      </c>
      <c r="C3030">
        <v>600</v>
      </c>
      <c r="D3030" s="2">
        <v>45064</v>
      </c>
      <c r="E3030" t="s">
        <v>25</v>
      </c>
      <c r="F3030">
        <v>600</v>
      </c>
      <c r="G3030">
        <v>0</v>
      </c>
    </row>
    <row r="3031" spans="1:7" x14ac:dyDescent="0.3">
      <c r="A3031" s="2">
        <v>45064</v>
      </c>
      <c r="B3031" t="s">
        <v>1732</v>
      </c>
      <c r="C3031">
        <v>375</v>
      </c>
      <c r="D3031" s="2">
        <v>45064</v>
      </c>
      <c r="E3031" t="s">
        <v>25</v>
      </c>
      <c r="F3031">
        <v>375</v>
      </c>
      <c r="G3031">
        <v>0</v>
      </c>
    </row>
    <row r="3032" spans="1:7" x14ac:dyDescent="0.3">
      <c r="A3032" s="2">
        <v>45064</v>
      </c>
      <c r="B3032" t="s">
        <v>1732</v>
      </c>
      <c r="C3032">
        <v>300</v>
      </c>
      <c r="D3032" s="2">
        <v>45064</v>
      </c>
      <c r="E3032" t="s">
        <v>25</v>
      </c>
      <c r="F3032">
        <v>300</v>
      </c>
      <c r="G3032">
        <v>0</v>
      </c>
    </row>
    <row r="3033" spans="1:7" x14ac:dyDescent="0.3">
      <c r="A3033" s="2">
        <v>45068</v>
      </c>
      <c r="B3033" t="s">
        <v>1924</v>
      </c>
      <c r="C3033">
        <v>247.5</v>
      </c>
      <c r="D3033" s="2">
        <v>45068</v>
      </c>
      <c r="E3033" t="s">
        <v>25</v>
      </c>
      <c r="F3033">
        <v>247.5</v>
      </c>
      <c r="G3033">
        <v>0</v>
      </c>
    </row>
    <row r="3034" spans="1:7" x14ac:dyDescent="0.3">
      <c r="A3034" s="2">
        <v>45068</v>
      </c>
      <c r="B3034" t="s">
        <v>1924</v>
      </c>
      <c r="C3034">
        <v>123.75</v>
      </c>
      <c r="D3034" s="2">
        <v>45068</v>
      </c>
      <c r="E3034" t="s">
        <v>25</v>
      </c>
      <c r="F3034">
        <v>123.75</v>
      </c>
      <c r="G3034">
        <v>0</v>
      </c>
    </row>
    <row r="3035" spans="1:7" x14ac:dyDescent="0.3">
      <c r="A3035" s="2">
        <v>45070</v>
      </c>
      <c r="B3035" t="s">
        <v>1925</v>
      </c>
      <c r="C3035">
        <v>10500</v>
      </c>
      <c r="D3035" s="2">
        <v>45070</v>
      </c>
      <c r="E3035" t="s">
        <v>25</v>
      </c>
      <c r="F3035">
        <v>10500</v>
      </c>
      <c r="G3035">
        <v>0</v>
      </c>
    </row>
    <row r="3036" spans="1:7" x14ac:dyDescent="0.3">
      <c r="A3036" s="2">
        <v>45070</v>
      </c>
      <c r="B3036" t="s">
        <v>1926</v>
      </c>
      <c r="C3036">
        <v>123.75</v>
      </c>
      <c r="D3036" s="2">
        <v>45070</v>
      </c>
      <c r="E3036" t="s">
        <v>25</v>
      </c>
      <c r="F3036">
        <v>123.75</v>
      </c>
      <c r="G3036">
        <v>0</v>
      </c>
    </row>
    <row r="3037" spans="1:7" x14ac:dyDescent="0.3">
      <c r="A3037" s="2">
        <v>45072</v>
      </c>
      <c r="B3037" t="s">
        <v>1927</v>
      </c>
      <c r="C3037">
        <v>123.75</v>
      </c>
      <c r="D3037" s="2">
        <v>45072</v>
      </c>
      <c r="E3037" t="s">
        <v>25</v>
      </c>
      <c r="F3037">
        <v>123.75</v>
      </c>
      <c r="G3037">
        <v>0</v>
      </c>
    </row>
    <row r="3038" spans="1:7" x14ac:dyDescent="0.3">
      <c r="A3038" s="2">
        <v>45076</v>
      </c>
      <c r="B3038" t="s">
        <v>1928</v>
      </c>
      <c r="C3038">
        <v>247.5</v>
      </c>
      <c r="D3038" s="2">
        <v>45076</v>
      </c>
      <c r="E3038" t="s">
        <v>25</v>
      </c>
      <c r="F3038">
        <v>247.5</v>
      </c>
      <c r="G3038">
        <v>0</v>
      </c>
    </row>
    <row r="3039" spans="1:7" x14ac:dyDescent="0.3">
      <c r="A3039" s="2">
        <v>45076</v>
      </c>
      <c r="B3039" t="s">
        <v>1929</v>
      </c>
      <c r="C3039">
        <v>123.75</v>
      </c>
      <c r="D3039" s="2">
        <v>45076</v>
      </c>
      <c r="E3039" t="s">
        <v>25</v>
      </c>
      <c r="F3039">
        <v>123.75</v>
      </c>
      <c r="G3039">
        <v>0</v>
      </c>
    </row>
    <row r="3040" spans="1:7" x14ac:dyDescent="0.3">
      <c r="A3040" s="2">
        <v>45076</v>
      </c>
      <c r="B3040" t="s">
        <v>1930</v>
      </c>
      <c r="C3040">
        <v>50</v>
      </c>
      <c r="D3040" s="2">
        <v>45076</v>
      </c>
      <c r="E3040" t="s">
        <v>25</v>
      </c>
      <c r="F3040">
        <v>50</v>
      </c>
      <c r="G3040">
        <v>0</v>
      </c>
    </row>
    <row r="3041" spans="1:7" x14ac:dyDescent="0.3">
      <c r="A3041" s="2">
        <v>45047</v>
      </c>
      <c r="B3041" t="s">
        <v>1931</v>
      </c>
      <c r="C3041">
        <v>-34</v>
      </c>
      <c r="D3041" s="2">
        <v>45047</v>
      </c>
      <c r="E3041" t="s">
        <v>27</v>
      </c>
      <c r="F3041">
        <v>-34</v>
      </c>
      <c r="G3041">
        <v>0</v>
      </c>
    </row>
    <row r="3042" spans="1:7" x14ac:dyDescent="0.3">
      <c r="A3042" s="2">
        <v>45047</v>
      </c>
      <c r="B3042" t="s">
        <v>1932</v>
      </c>
      <c r="C3042">
        <v>-52.26</v>
      </c>
      <c r="D3042" s="2">
        <v>45047</v>
      </c>
      <c r="E3042" t="s">
        <v>27</v>
      </c>
      <c r="F3042">
        <v>-52.26</v>
      </c>
      <c r="G3042">
        <v>0</v>
      </c>
    </row>
    <row r="3043" spans="1:7" x14ac:dyDescent="0.3">
      <c r="A3043" s="2">
        <v>45049</v>
      </c>
      <c r="B3043" t="s">
        <v>1554</v>
      </c>
      <c r="C3043">
        <v>-136.1</v>
      </c>
      <c r="D3043" s="2">
        <v>45049</v>
      </c>
      <c r="E3043" t="s">
        <v>27</v>
      </c>
      <c r="F3043">
        <v>-136.1</v>
      </c>
      <c r="G3043">
        <v>0</v>
      </c>
    </row>
    <row r="3044" spans="1:7" x14ac:dyDescent="0.3">
      <c r="A3044" s="2">
        <v>45049</v>
      </c>
      <c r="B3044" t="s">
        <v>1933</v>
      </c>
      <c r="C3044">
        <v>-945.81</v>
      </c>
      <c r="D3044" s="2">
        <v>45049</v>
      </c>
      <c r="E3044" t="s">
        <v>27</v>
      </c>
      <c r="F3044">
        <v>-945.81</v>
      </c>
      <c r="G3044">
        <v>0</v>
      </c>
    </row>
    <row r="3045" spans="1:7" x14ac:dyDescent="0.3">
      <c r="A3045" s="2">
        <v>45058</v>
      </c>
      <c r="B3045" t="s">
        <v>1934</v>
      </c>
      <c r="C3045">
        <v>-50.97</v>
      </c>
      <c r="D3045" s="2">
        <v>45058</v>
      </c>
      <c r="E3045" t="s">
        <v>27</v>
      </c>
      <c r="F3045">
        <v>-50.97</v>
      </c>
      <c r="G3045">
        <v>0</v>
      </c>
    </row>
    <row r="3046" spans="1:7" x14ac:dyDescent="0.3">
      <c r="A3046" s="2">
        <v>45062</v>
      </c>
      <c r="B3046" t="s">
        <v>1935</v>
      </c>
      <c r="C3046">
        <v>-25</v>
      </c>
      <c r="D3046" s="2">
        <v>45062</v>
      </c>
      <c r="E3046" t="s">
        <v>27</v>
      </c>
      <c r="F3046">
        <v>-25</v>
      </c>
      <c r="G3046">
        <v>0</v>
      </c>
    </row>
    <row r="3047" spans="1:7" x14ac:dyDescent="0.3">
      <c r="A3047" s="2">
        <v>45064</v>
      </c>
      <c r="B3047" t="s">
        <v>1936</v>
      </c>
      <c r="C3047">
        <v>-10.88</v>
      </c>
      <c r="D3047" s="2">
        <v>45064</v>
      </c>
      <c r="E3047" t="s">
        <v>27</v>
      </c>
      <c r="F3047">
        <v>-10.88</v>
      </c>
      <c r="G3047">
        <v>0</v>
      </c>
    </row>
    <row r="3048" spans="1:7" x14ac:dyDescent="0.3">
      <c r="A3048" s="2">
        <v>45070</v>
      </c>
      <c r="B3048" t="s">
        <v>1937</v>
      </c>
      <c r="C3048">
        <v>-1850</v>
      </c>
      <c r="D3048" s="2">
        <v>45070</v>
      </c>
      <c r="E3048" t="s">
        <v>27</v>
      </c>
      <c r="F3048">
        <v>-1850</v>
      </c>
      <c r="G3048">
        <v>0</v>
      </c>
    </row>
    <row r="3049" spans="1:7" x14ac:dyDescent="0.3">
      <c r="A3049" s="2">
        <v>45070</v>
      </c>
      <c r="B3049" t="s">
        <v>1938</v>
      </c>
      <c r="C3049">
        <v>-5445.39</v>
      </c>
      <c r="D3049" s="2">
        <v>45070</v>
      </c>
      <c r="E3049" t="s">
        <v>27</v>
      </c>
      <c r="F3049">
        <v>-5445.39</v>
      </c>
      <c r="G3049">
        <v>0</v>
      </c>
    </row>
    <row r="3050" spans="1:7" x14ac:dyDescent="0.3">
      <c r="A3050" s="2">
        <v>45048</v>
      </c>
      <c r="B3050" t="s">
        <v>1914</v>
      </c>
      <c r="C3050">
        <v>-687.05</v>
      </c>
      <c r="D3050" s="2">
        <v>45048</v>
      </c>
      <c r="E3050" t="s">
        <v>27</v>
      </c>
      <c r="F3050">
        <v>-687.05</v>
      </c>
      <c r="G3050">
        <v>0</v>
      </c>
    </row>
    <row r="3051" spans="1:7" x14ac:dyDescent="0.3">
      <c r="A3051" s="2">
        <v>45054</v>
      </c>
      <c r="B3051" t="s">
        <v>1939</v>
      </c>
      <c r="C3051">
        <v>-6750</v>
      </c>
      <c r="D3051" s="2">
        <v>45054</v>
      </c>
      <c r="E3051" t="s">
        <v>27</v>
      </c>
      <c r="F3051">
        <v>-6750</v>
      </c>
      <c r="G3051">
        <v>0</v>
      </c>
    </row>
    <row r="3052" spans="1:7" x14ac:dyDescent="0.3">
      <c r="A3052" s="2">
        <v>45056</v>
      </c>
      <c r="B3052" t="s">
        <v>1940</v>
      </c>
      <c r="C3052">
        <v>-1086.33</v>
      </c>
      <c r="D3052" s="2">
        <v>45056</v>
      </c>
      <c r="E3052" t="s">
        <v>27</v>
      </c>
      <c r="F3052">
        <v>-1086.33</v>
      </c>
      <c r="G3052">
        <v>0</v>
      </c>
    </row>
    <row r="3053" spans="1:7" x14ac:dyDescent="0.3">
      <c r="A3053" s="2">
        <v>45065</v>
      </c>
      <c r="B3053" t="s">
        <v>1941</v>
      </c>
      <c r="C3053">
        <v>-599.88</v>
      </c>
      <c r="D3053" s="2">
        <v>45065</v>
      </c>
      <c r="E3053" t="s">
        <v>27</v>
      </c>
      <c r="F3053">
        <v>-599.88</v>
      </c>
      <c r="G3053">
        <v>0</v>
      </c>
    </row>
    <row r="3054" spans="1:7" x14ac:dyDescent="0.3">
      <c r="A3054" s="2">
        <v>45076</v>
      </c>
      <c r="B3054" t="s">
        <v>1942</v>
      </c>
      <c r="C3054">
        <v>-4000</v>
      </c>
      <c r="D3054" s="2">
        <v>45076</v>
      </c>
      <c r="E3054" t="s">
        <v>27</v>
      </c>
      <c r="F3054">
        <v>-4000</v>
      </c>
      <c r="G3054">
        <v>0</v>
      </c>
    </row>
    <row r="3055" spans="1:7" x14ac:dyDescent="0.3">
      <c r="A3055" s="2">
        <v>45078</v>
      </c>
      <c r="B3055" t="s">
        <v>1943</v>
      </c>
      <c r="C3055">
        <v>173.75</v>
      </c>
      <c r="D3055" s="2">
        <v>45078</v>
      </c>
      <c r="E3055" t="s">
        <v>25</v>
      </c>
      <c r="F3055">
        <v>173.75</v>
      </c>
      <c r="G3055">
        <v>0</v>
      </c>
    </row>
    <row r="3056" spans="1:7" x14ac:dyDescent="0.3">
      <c r="A3056" s="2">
        <v>45079</v>
      </c>
      <c r="B3056" t="s">
        <v>1944</v>
      </c>
      <c r="C3056">
        <v>215</v>
      </c>
      <c r="D3056" s="2">
        <v>45079</v>
      </c>
      <c r="E3056" t="s">
        <v>25</v>
      </c>
      <c r="F3056">
        <v>215</v>
      </c>
      <c r="G3056">
        <v>0</v>
      </c>
    </row>
    <row r="3057" spans="1:7" x14ac:dyDescent="0.3">
      <c r="A3057" s="2">
        <v>45082</v>
      </c>
      <c r="B3057" t="s">
        <v>1945</v>
      </c>
      <c r="C3057">
        <v>655</v>
      </c>
      <c r="D3057" s="2">
        <v>45082</v>
      </c>
      <c r="E3057" t="s">
        <v>25</v>
      </c>
      <c r="F3057">
        <v>655</v>
      </c>
      <c r="G3057">
        <v>0</v>
      </c>
    </row>
    <row r="3058" spans="1:7" x14ac:dyDescent="0.3">
      <c r="A3058" s="2">
        <v>45082</v>
      </c>
      <c r="B3058" t="s">
        <v>1946</v>
      </c>
      <c r="C3058">
        <v>435</v>
      </c>
      <c r="D3058" s="2">
        <v>45082</v>
      </c>
      <c r="E3058" t="s">
        <v>25</v>
      </c>
      <c r="F3058">
        <v>435</v>
      </c>
      <c r="G3058">
        <v>0</v>
      </c>
    </row>
    <row r="3059" spans="1:7" x14ac:dyDescent="0.3">
      <c r="A3059" s="2">
        <v>45082</v>
      </c>
      <c r="B3059" t="s">
        <v>1945</v>
      </c>
      <c r="C3059">
        <v>375</v>
      </c>
      <c r="D3059" s="2">
        <v>45082</v>
      </c>
      <c r="E3059" t="s">
        <v>25</v>
      </c>
      <c r="F3059">
        <v>375</v>
      </c>
      <c r="G3059">
        <v>0</v>
      </c>
    </row>
    <row r="3060" spans="1:7" x14ac:dyDescent="0.3">
      <c r="A3060" s="2">
        <v>45084</v>
      </c>
      <c r="B3060" t="s">
        <v>1947</v>
      </c>
      <c r="C3060">
        <v>718.75</v>
      </c>
      <c r="D3060" s="2">
        <v>45084</v>
      </c>
      <c r="E3060" t="s">
        <v>25</v>
      </c>
      <c r="F3060">
        <v>718.75</v>
      </c>
      <c r="G3060">
        <v>0</v>
      </c>
    </row>
    <row r="3061" spans="1:7" x14ac:dyDescent="0.3">
      <c r="A3061" s="2">
        <v>45085</v>
      </c>
      <c r="B3061" t="s">
        <v>1948</v>
      </c>
      <c r="C3061">
        <v>1381.25</v>
      </c>
      <c r="D3061" s="2">
        <v>45085</v>
      </c>
      <c r="E3061" t="s">
        <v>25</v>
      </c>
      <c r="F3061">
        <v>1381.25</v>
      </c>
      <c r="G3061">
        <v>0</v>
      </c>
    </row>
    <row r="3062" spans="1:7" x14ac:dyDescent="0.3">
      <c r="A3062" s="2">
        <v>45086</v>
      </c>
      <c r="B3062" t="s">
        <v>1949</v>
      </c>
      <c r="C3062">
        <v>1863.75</v>
      </c>
      <c r="D3062" s="2">
        <v>45086</v>
      </c>
      <c r="E3062" t="s">
        <v>25</v>
      </c>
      <c r="F3062">
        <v>1863.75</v>
      </c>
      <c r="G3062">
        <v>0</v>
      </c>
    </row>
    <row r="3063" spans="1:7" x14ac:dyDescent="0.3">
      <c r="A3063" s="2">
        <v>45089</v>
      </c>
      <c r="B3063" t="s">
        <v>1950</v>
      </c>
      <c r="C3063">
        <v>700</v>
      </c>
      <c r="D3063" s="2">
        <v>45089</v>
      </c>
      <c r="E3063" t="s">
        <v>25</v>
      </c>
      <c r="F3063">
        <v>700</v>
      </c>
      <c r="G3063">
        <v>0</v>
      </c>
    </row>
    <row r="3064" spans="1:7" x14ac:dyDescent="0.3">
      <c r="A3064" s="2">
        <v>45089</v>
      </c>
      <c r="B3064" t="s">
        <v>1951</v>
      </c>
      <c r="C3064">
        <v>440</v>
      </c>
      <c r="D3064" s="2">
        <v>45089</v>
      </c>
      <c r="E3064" t="s">
        <v>25</v>
      </c>
      <c r="F3064">
        <v>440</v>
      </c>
      <c r="G3064">
        <v>0</v>
      </c>
    </row>
    <row r="3065" spans="1:7" x14ac:dyDescent="0.3">
      <c r="A3065" s="2">
        <v>45091</v>
      </c>
      <c r="B3065" t="s">
        <v>1952</v>
      </c>
      <c r="C3065">
        <v>730</v>
      </c>
      <c r="D3065" s="2">
        <v>45091</v>
      </c>
      <c r="E3065" t="s">
        <v>25</v>
      </c>
      <c r="F3065">
        <v>730</v>
      </c>
      <c r="G3065">
        <v>0</v>
      </c>
    </row>
    <row r="3066" spans="1:7" x14ac:dyDescent="0.3">
      <c r="A3066" s="2">
        <v>45092</v>
      </c>
      <c r="B3066" t="s">
        <v>1953</v>
      </c>
      <c r="C3066">
        <v>550</v>
      </c>
      <c r="D3066" s="2">
        <v>45092</v>
      </c>
      <c r="E3066" t="s">
        <v>25</v>
      </c>
      <c r="F3066">
        <v>550</v>
      </c>
      <c r="G3066">
        <v>0</v>
      </c>
    </row>
    <row r="3067" spans="1:7" x14ac:dyDescent="0.3">
      <c r="A3067" s="2">
        <v>45093</v>
      </c>
      <c r="B3067" t="s">
        <v>1954</v>
      </c>
      <c r="C3067">
        <v>998.75</v>
      </c>
      <c r="D3067" s="2">
        <v>45093</v>
      </c>
      <c r="E3067" t="s">
        <v>25</v>
      </c>
      <c r="F3067">
        <v>998.75</v>
      </c>
      <c r="G3067">
        <v>0</v>
      </c>
    </row>
    <row r="3068" spans="1:7" x14ac:dyDescent="0.3">
      <c r="A3068" s="2">
        <v>45097</v>
      </c>
      <c r="B3068" t="s">
        <v>1955</v>
      </c>
      <c r="C3068">
        <v>893.75</v>
      </c>
      <c r="D3068" s="2">
        <v>45097</v>
      </c>
      <c r="E3068" t="s">
        <v>25</v>
      </c>
      <c r="F3068">
        <v>893.75</v>
      </c>
      <c r="G3068">
        <v>0</v>
      </c>
    </row>
    <row r="3069" spans="1:7" x14ac:dyDescent="0.3">
      <c r="A3069" s="2">
        <v>45097</v>
      </c>
      <c r="B3069" t="s">
        <v>1956</v>
      </c>
      <c r="C3069">
        <v>715</v>
      </c>
      <c r="D3069" s="2">
        <v>45097</v>
      </c>
      <c r="E3069" t="s">
        <v>25</v>
      </c>
      <c r="F3069">
        <v>715</v>
      </c>
      <c r="G3069">
        <v>0</v>
      </c>
    </row>
    <row r="3070" spans="1:7" x14ac:dyDescent="0.3">
      <c r="A3070" s="2">
        <v>45097</v>
      </c>
      <c r="B3070" t="s">
        <v>1957</v>
      </c>
      <c r="C3070">
        <v>168.75</v>
      </c>
      <c r="D3070" s="2">
        <v>45097</v>
      </c>
      <c r="E3070" t="s">
        <v>25</v>
      </c>
      <c r="F3070">
        <v>168.75</v>
      </c>
      <c r="G3070">
        <v>0</v>
      </c>
    </row>
    <row r="3071" spans="1:7" x14ac:dyDescent="0.3">
      <c r="A3071" s="2">
        <v>45098</v>
      </c>
      <c r="B3071" t="s">
        <v>1958</v>
      </c>
      <c r="C3071">
        <v>880</v>
      </c>
      <c r="D3071" s="2">
        <v>45098</v>
      </c>
      <c r="E3071" t="s">
        <v>25</v>
      </c>
      <c r="F3071">
        <v>880</v>
      </c>
      <c r="G3071">
        <v>0</v>
      </c>
    </row>
    <row r="3072" spans="1:7" x14ac:dyDescent="0.3">
      <c r="A3072" s="2">
        <v>45099</v>
      </c>
      <c r="B3072" t="s">
        <v>1959</v>
      </c>
      <c r="C3072">
        <v>1685</v>
      </c>
      <c r="D3072" s="2">
        <v>45099</v>
      </c>
      <c r="E3072" t="s">
        <v>25</v>
      </c>
      <c r="F3072">
        <v>1685</v>
      </c>
      <c r="G3072">
        <v>0</v>
      </c>
    </row>
    <row r="3073" spans="1:7" x14ac:dyDescent="0.3">
      <c r="A3073" s="2">
        <v>45100</v>
      </c>
      <c r="B3073" t="s">
        <v>1960</v>
      </c>
      <c r="C3073">
        <v>233.75</v>
      </c>
      <c r="D3073" s="2">
        <v>45100</v>
      </c>
      <c r="E3073" t="s">
        <v>25</v>
      </c>
      <c r="F3073">
        <v>233.75</v>
      </c>
      <c r="G3073">
        <v>0</v>
      </c>
    </row>
    <row r="3074" spans="1:7" x14ac:dyDescent="0.3">
      <c r="A3074" s="2">
        <v>45103</v>
      </c>
      <c r="B3074" t="s">
        <v>1961</v>
      </c>
      <c r="C3074">
        <v>1340</v>
      </c>
      <c r="D3074" s="2">
        <v>45103</v>
      </c>
      <c r="E3074" t="s">
        <v>25</v>
      </c>
      <c r="F3074">
        <v>1340</v>
      </c>
      <c r="G3074">
        <v>0</v>
      </c>
    </row>
    <row r="3075" spans="1:7" x14ac:dyDescent="0.3">
      <c r="A3075" s="2">
        <v>45103</v>
      </c>
      <c r="B3075" t="s">
        <v>1962</v>
      </c>
      <c r="C3075">
        <v>620</v>
      </c>
      <c r="D3075" s="2">
        <v>45103</v>
      </c>
      <c r="E3075" t="s">
        <v>25</v>
      </c>
      <c r="F3075">
        <v>620</v>
      </c>
      <c r="G3075">
        <v>0</v>
      </c>
    </row>
    <row r="3076" spans="1:7" x14ac:dyDescent="0.3">
      <c r="A3076" s="2">
        <v>45103</v>
      </c>
      <c r="B3076" t="s">
        <v>1962</v>
      </c>
      <c r="C3076">
        <v>50</v>
      </c>
      <c r="D3076" s="2">
        <v>45103</v>
      </c>
      <c r="E3076" t="s">
        <v>25</v>
      </c>
      <c r="F3076">
        <v>50</v>
      </c>
      <c r="G3076">
        <v>0</v>
      </c>
    </row>
    <row r="3077" spans="1:7" x14ac:dyDescent="0.3">
      <c r="A3077" s="2">
        <v>45104</v>
      </c>
      <c r="B3077" t="s">
        <v>1963</v>
      </c>
      <c r="C3077">
        <v>733.75</v>
      </c>
      <c r="D3077" s="2">
        <v>45104</v>
      </c>
      <c r="E3077" t="s">
        <v>25</v>
      </c>
      <c r="F3077">
        <v>733.75</v>
      </c>
      <c r="G3077">
        <v>0</v>
      </c>
    </row>
    <row r="3078" spans="1:7" x14ac:dyDescent="0.3">
      <c r="A3078" s="2">
        <v>45105</v>
      </c>
      <c r="B3078" t="s">
        <v>1964</v>
      </c>
      <c r="C3078">
        <v>1620</v>
      </c>
      <c r="D3078" s="2">
        <v>45105</v>
      </c>
      <c r="E3078" t="s">
        <v>25</v>
      </c>
      <c r="F3078">
        <v>1620</v>
      </c>
      <c r="G3078">
        <v>0</v>
      </c>
    </row>
    <row r="3079" spans="1:7" x14ac:dyDescent="0.3">
      <c r="A3079" s="2">
        <v>45106</v>
      </c>
      <c r="B3079" t="s">
        <v>1965</v>
      </c>
      <c r="C3079">
        <v>2570</v>
      </c>
      <c r="D3079" s="2">
        <v>45106</v>
      </c>
      <c r="E3079" t="s">
        <v>25</v>
      </c>
      <c r="F3079">
        <v>2570</v>
      </c>
      <c r="G3079">
        <v>0</v>
      </c>
    </row>
    <row r="3080" spans="1:7" x14ac:dyDescent="0.3">
      <c r="A3080" s="2">
        <v>45107</v>
      </c>
      <c r="B3080" t="s">
        <v>1966</v>
      </c>
      <c r="C3080">
        <v>8750</v>
      </c>
      <c r="D3080" s="2">
        <v>45107</v>
      </c>
      <c r="E3080" t="s">
        <v>25</v>
      </c>
      <c r="F3080">
        <v>8750</v>
      </c>
      <c r="G3080">
        <v>0</v>
      </c>
    </row>
    <row r="3081" spans="1:7" x14ac:dyDescent="0.3">
      <c r="A3081" s="2">
        <v>45107</v>
      </c>
      <c r="B3081" t="s">
        <v>1967</v>
      </c>
      <c r="C3081">
        <v>1045</v>
      </c>
      <c r="D3081" s="2">
        <v>45107</v>
      </c>
      <c r="E3081" t="s">
        <v>25</v>
      </c>
      <c r="F3081">
        <v>1045</v>
      </c>
      <c r="G3081">
        <v>0</v>
      </c>
    </row>
    <row r="3082" spans="1:7" x14ac:dyDescent="0.3">
      <c r="A3082" s="2">
        <v>45078</v>
      </c>
      <c r="B3082" t="s">
        <v>1968</v>
      </c>
      <c r="C3082">
        <v>-34</v>
      </c>
      <c r="D3082" s="2">
        <v>45078</v>
      </c>
      <c r="E3082" t="s">
        <v>27</v>
      </c>
      <c r="F3082">
        <v>-34</v>
      </c>
      <c r="G3082">
        <v>0</v>
      </c>
    </row>
    <row r="3083" spans="1:7" x14ac:dyDescent="0.3">
      <c r="A3083" s="2">
        <v>45078</v>
      </c>
      <c r="B3083" t="s">
        <v>1969</v>
      </c>
      <c r="C3083">
        <v>-52.26</v>
      </c>
      <c r="D3083" s="2">
        <v>45078</v>
      </c>
      <c r="E3083" t="s">
        <v>27</v>
      </c>
      <c r="F3083">
        <v>-52.26</v>
      </c>
      <c r="G3083">
        <v>0</v>
      </c>
    </row>
    <row r="3084" spans="1:7" x14ac:dyDescent="0.3">
      <c r="A3084" s="2">
        <v>45082</v>
      </c>
      <c r="B3084" t="s">
        <v>1581</v>
      </c>
      <c r="C3084">
        <v>-136.1</v>
      </c>
      <c r="D3084" s="2">
        <v>45082</v>
      </c>
      <c r="E3084" t="s">
        <v>27</v>
      </c>
      <c r="F3084">
        <v>-136.1</v>
      </c>
      <c r="G3084">
        <v>0</v>
      </c>
    </row>
    <row r="3085" spans="1:7" x14ac:dyDescent="0.3">
      <c r="A3085" s="2">
        <v>45082</v>
      </c>
      <c r="B3085" t="s">
        <v>1970</v>
      </c>
      <c r="C3085">
        <v>-597.72</v>
      </c>
      <c r="D3085" s="2">
        <v>45082</v>
      </c>
      <c r="E3085" t="s">
        <v>27</v>
      </c>
      <c r="F3085">
        <v>-597.72</v>
      </c>
      <c r="G3085">
        <v>0</v>
      </c>
    </row>
    <row r="3086" spans="1:7" x14ac:dyDescent="0.3">
      <c r="A3086" s="2">
        <v>45092</v>
      </c>
      <c r="B3086" t="s">
        <v>1971</v>
      </c>
      <c r="C3086">
        <v>-533</v>
      </c>
      <c r="D3086" s="2">
        <v>45092</v>
      </c>
      <c r="E3086" t="s">
        <v>27</v>
      </c>
      <c r="F3086">
        <v>-533</v>
      </c>
      <c r="G3086">
        <v>0</v>
      </c>
    </row>
    <row r="3087" spans="1:7" x14ac:dyDescent="0.3">
      <c r="A3087" s="2">
        <v>45093</v>
      </c>
      <c r="B3087" t="s">
        <v>1972</v>
      </c>
      <c r="C3087">
        <v>-25</v>
      </c>
      <c r="D3087" s="2">
        <v>45093</v>
      </c>
      <c r="E3087" t="s">
        <v>27</v>
      </c>
      <c r="F3087">
        <v>-25</v>
      </c>
      <c r="G3087">
        <v>0</v>
      </c>
    </row>
    <row r="3088" spans="1:7" x14ac:dyDescent="0.3">
      <c r="A3088" s="2">
        <v>45097</v>
      </c>
      <c r="B3088" t="s">
        <v>1973</v>
      </c>
      <c r="C3088">
        <v>-10.88</v>
      </c>
      <c r="D3088" s="2">
        <v>45097</v>
      </c>
      <c r="E3088" t="s">
        <v>27</v>
      </c>
      <c r="F3088">
        <v>-10.88</v>
      </c>
      <c r="G3088">
        <v>0</v>
      </c>
    </row>
    <row r="3089" spans="1:7" x14ac:dyDescent="0.3">
      <c r="A3089" s="2">
        <v>45097</v>
      </c>
      <c r="B3089" t="s">
        <v>1974</v>
      </c>
      <c r="C3089">
        <v>-209.04</v>
      </c>
      <c r="D3089" s="2">
        <v>45097</v>
      </c>
      <c r="E3089" t="s">
        <v>27</v>
      </c>
      <c r="F3089">
        <v>-209.04</v>
      </c>
      <c r="G3089">
        <v>0</v>
      </c>
    </row>
    <row r="3090" spans="1:7" x14ac:dyDescent="0.3">
      <c r="A3090" s="2">
        <v>45079</v>
      </c>
      <c r="B3090" t="s">
        <v>1943</v>
      </c>
      <c r="C3090">
        <v>-327.23</v>
      </c>
      <c r="D3090" s="2">
        <v>45079</v>
      </c>
      <c r="E3090" t="s">
        <v>27</v>
      </c>
      <c r="F3090">
        <v>-327.23</v>
      </c>
      <c r="G3090">
        <v>0</v>
      </c>
    </row>
    <row r="3091" spans="1:7" x14ac:dyDescent="0.3">
      <c r="A3091" s="2">
        <v>45082</v>
      </c>
      <c r="B3091" t="s">
        <v>1975</v>
      </c>
      <c r="C3091">
        <v>-1250</v>
      </c>
      <c r="D3091" s="2">
        <v>45082</v>
      </c>
      <c r="E3091" t="s">
        <v>27</v>
      </c>
      <c r="F3091">
        <v>-1250</v>
      </c>
      <c r="G3091">
        <v>0</v>
      </c>
    </row>
    <row r="3092" spans="1:7" x14ac:dyDescent="0.3">
      <c r="A3092" s="2">
        <v>45091</v>
      </c>
      <c r="B3092" t="s">
        <v>1976</v>
      </c>
      <c r="C3092">
        <v>-8400</v>
      </c>
      <c r="D3092" s="2">
        <v>45092</v>
      </c>
      <c r="E3092" t="s">
        <v>27</v>
      </c>
      <c r="F3092">
        <v>-8400</v>
      </c>
      <c r="G3092">
        <v>0</v>
      </c>
    </row>
    <row r="3093" spans="1:7" x14ac:dyDescent="0.3">
      <c r="A3093" s="2">
        <v>45082</v>
      </c>
      <c r="C3093">
        <v>-34</v>
      </c>
      <c r="D3093" s="2">
        <v>45082</v>
      </c>
      <c r="E3093" t="s">
        <v>27</v>
      </c>
      <c r="F3093">
        <v>-34</v>
      </c>
      <c r="G3093">
        <v>0</v>
      </c>
    </row>
    <row r="3094" spans="1:7" x14ac:dyDescent="0.3">
      <c r="A3094" s="2">
        <v>45110</v>
      </c>
      <c r="B3094" t="s">
        <v>1977</v>
      </c>
      <c r="C3094">
        <v>6440</v>
      </c>
      <c r="D3094" s="2">
        <v>45110</v>
      </c>
      <c r="E3094" t="s">
        <v>25</v>
      </c>
      <c r="F3094">
        <v>6440</v>
      </c>
      <c r="G3094">
        <v>0</v>
      </c>
    </row>
    <row r="3095" spans="1:7" x14ac:dyDescent="0.3">
      <c r="A3095" s="2">
        <v>45110</v>
      </c>
      <c r="B3095" t="s">
        <v>1978</v>
      </c>
      <c r="C3095">
        <v>1520</v>
      </c>
      <c r="D3095" s="2">
        <v>45110</v>
      </c>
      <c r="E3095" t="s">
        <v>25</v>
      </c>
      <c r="F3095">
        <v>1520</v>
      </c>
      <c r="G3095">
        <v>0</v>
      </c>
    </row>
    <row r="3096" spans="1:7" x14ac:dyDescent="0.3">
      <c r="A3096" s="2">
        <v>45110</v>
      </c>
      <c r="B3096" t="s">
        <v>1977</v>
      </c>
      <c r="C3096">
        <v>1142.5</v>
      </c>
      <c r="D3096" s="2">
        <v>45110</v>
      </c>
      <c r="E3096" t="s">
        <v>25</v>
      </c>
      <c r="F3096">
        <v>1142.5</v>
      </c>
      <c r="G3096">
        <v>0</v>
      </c>
    </row>
    <row r="3097" spans="1:7" x14ac:dyDescent="0.3">
      <c r="A3097" s="2">
        <v>45112</v>
      </c>
      <c r="B3097" t="s">
        <v>1979</v>
      </c>
      <c r="C3097">
        <v>1722.5</v>
      </c>
      <c r="D3097" s="2">
        <v>45112</v>
      </c>
      <c r="E3097" t="s">
        <v>25</v>
      </c>
      <c r="F3097">
        <v>1722.5</v>
      </c>
      <c r="G3097">
        <v>0</v>
      </c>
    </row>
    <row r="3098" spans="1:7" x14ac:dyDescent="0.3">
      <c r="A3098" s="2">
        <v>45112</v>
      </c>
      <c r="B3098" t="s">
        <v>1980</v>
      </c>
      <c r="C3098">
        <v>632.5</v>
      </c>
      <c r="D3098" s="2">
        <v>45112</v>
      </c>
      <c r="E3098" t="s">
        <v>25</v>
      </c>
      <c r="F3098">
        <v>632.5</v>
      </c>
      <c r="G3098">
        <v>0</v>
      </c>
    </row>
    <row r="3099" spans="1:7" x14ac:dyDescent="0.3">
      <c r="A3099" s="2">
        <v>45113</v>
      </c>
      <c r="B3099" t="s">
        <v>1981</v>
      </c>
      <c r="C3099">
        <v>2832.5</v>
      </c>
      <c r="D3099" s="2">
        <v>45113</v>
      </c>
      <c r="E3099" t="s">
        <v>25</v>
      </c>
      <c r="F3099">
        <v>2832.5</v>
      </c>
      <c r="G3099">
        <v>0</v>
      </c>
    </row>
    <row r="3100" spans="1:7" x14ac:dyDescent="0.3">
      <c r="A3100" s="2">
        <v>45114</v>
      </c>
      <c r="B3100" t="s">
        <v>1982</v>
      </c>
      <c r="C3100">
        <v>10497.5</v>
      </c>
      <c r="D3100" s="2">
        <v>45114</v>
      </c>
      <c r="E3100" t="s">
        <v>25</v>
      </c>
      <c r="F3100">
        <v>10497.5</v>
      </c>
      <c r="G3100">
        <v>0</v>
      </c>
    </row>
    <row r="3101" spans="1:7" x14ac:dyDescent="0.3">
      <c r="A3101" s="2">
        <v>45117</v>
      </c>
      <c r="B3101" t="s">
        <v>1983</v>
      </c>
      <c r="C3101">
        <v>55290</v>
      </c>
      <c r="D3101" s="2">
        <v>45117</v>
      </c>
      <c r="E3101" t="s">
        <v>25</v>
      </c>
      <c r="F3101">
        <v>55290</v>
      </c>
      <c r="G3101">
        <v>0</v>
      </c>
    </row>
    <row r="3102" spans="1:7" x14ac:dyDescent="0.3">
      <c r="A3102" s="2">
        <v>45117</v>
      </c>
      <c r="B3102" t="s">
        <v>1984</v>
      </c>
      <c r="C3102">
        <v>14425</v>
      </c>
      <c r="D3102" s="2">
        <v>45117</v>
      </c>
      <c r="E3102" t="s">
        <v>25</v>
      </c>
      <c r="F3102">
        <v>14425</v>
      </c>
      <c r="G3102">
        <v>0</v>
      </c>
    </row>
    <row r="3103" spans="1:7" x14ac:dyDescent="0.3">
      <c r="A3103" s="2">
        <v>45117</v>
      </c>
      <c r="B3103" t="s">
        <v>1983</v>
      </c>
      <c r="C3103">
        <v>612.5</v>
      </c>
      <c r="D3103" s="2">
        <v>45117</v>
      </c>
      <c r="E3103" t="s">
        <v>25</v>
      </c>
      <c r="F3103">
        <v>612.5</v>
      </c>
      <c r="G3103">
        <v>0</v>
      </c>
    </row>
    <row r="3104" spans="1:7" x14ac:dyDescent="0.3">
      <c r="A3104" s="2">
        <v>45118</v>
      </c>
      <c r="B3104" t="s">
        <v>1985</v>
      </c>
      <c r="C3104">
        <v>210</v>
      </c>
      <c r="D3104" s="2">
        <v>45118</v>
      </c>
      <c r="E3104" t="s">
        <v>25</v>
      </c>
      <c r="F3104">
        <v>210</v>
      </c>
      <c r="G3104">
        <v>0</v>
      </c>
    </row>
    <row r="3105" spans="1:7" x14ac:dyDescent="0.3">
      <c r="A3105" s="2">
        <v>45119</v>
      </c>
      <c r="B3105" t="s">
        <v>1986</v>
      </c>
      <c r="C3105">
        <v>11.69</v>
      </c>
      <c r="D3105" s="2">
        <v>45119</v>
      </c>
      <c r="E3105" t="s">
        <v>25</v>
      </c>
      <c r="F3105">
        <v>11.69</v>
      </c>
      <c r="G3105">
        <v>0</v>
      </c>
    </row>
    <row r="3106" spans="1:7" x14ac:dyDescent="0.3">
      <c r="A3106" s="2">
        <v>45119</v>
      </c>
      <c r="B3106" t="s">
        <v>1987</v>
      </c>
      <c r="C3106">
        <v>580</v>
      </c>
      <c r="D3106" s="2">
        <v>45119</v>
      </c>
      <c r="E3106" t="s">
        <v>25</v>
      </c>
      <c r="F3106">
        <v>580</v>
      </c>
      <c r="G3106">
        <v>0</v>
      </c>
    </row>
    <row r="3107" spans="1:7" x14ac:dyDescent="0.3">
      <c r="A3107" s="2">
        <v>45120</v>
      </c>
      <c r="B3107" t="s">
        <v>1988</v>
      </c>
      <c r="C3107">
        <v>302.5</v>
      </c>
      <c r="D3107" s="2">
        <v>45120</v>
      </c>
      <c r="E3107" t="s">
        <v>25</v>
      </c>
      <c r="F3107">
        <v>302.5</v>
      </c>
      <c r="G3107">
        <v>0</v>
      </c>
    </row>
    <row r="3108" spans="1:7" x14ac:dyDescent="0.3">
      <c r="A3108" s="2">
        <v>45121</v>
      </c>
      <c r="B3108" t="s">
        <v>1989</v>
      </c>
      <c r="C3108">
        <v>1242.5</v>
      </c>
      <c r="D3108" s="2">
        <v>45121</v>
      </c>
      <c r="E3108" t="s">
        <v>25</v>
      </c>
      <c r="F3108">
        <v>1242.5</v>
      </c>
      <c r="G3108">
        <v>0</v>
      </c>
    </row>
    <row r="3109" spans="1:7" x14ac:dyDescent="0.3">
      <c r="A3109" s="2">
        <v>45124</v>
      </c>
      <c r="B3109" t="s">
        <v>1990</v>
      </c>
      <c r="C3109">
        <v>3350</v>
      </c>
      <c r="D3109" s="2">
        <v>45124</v>
      </c>
      <c r="E3109" t="s">
        <v>25</v>
      </c>
      <c r="F3109">
        <v>3350</v>
      </c>
      <c r="G3109">
        <v>0</v>
      </c>
    </row>
    <row r="3110" spans="1:7" x14ac:dyDescent="0.3">
      <c r="A3110" s="2">
        <v>45124</v>
      </c>
      <c r="B3110" t="s">
        <v>1991</v>
      </c>
      <c r="C3110">
        <v>397.5</v>
      </c>
      <c r="D3110" s="2">
        <v>45124</v>
      </c>
      <c r="E3110" t="s">
        <v>25</v>
      </c>
      <c r="F3110">
        <v>397.5</v>
      </c>
      <c r="G3110">
        <v>0</v>
      </c>
    </row>
    <row r="3111" spans="1:7" x14ac:dyDescent="0.3">
      <c r="A3111" s="2">
        <v>45124</v>
      </c>
      <c r="B3111" t="s">
        <v>1990</v>
      </c>
      <c r="C3111">
        <v>260</v>
      </c>
      <c r="D3111" s="2">
        <v>45124</v>
      </c>
      <c r="E3111" t="s">
        <v>25</v>
      </c>
      <c r="F3111">
        <v>260</v>
      </c>
      <c r="G3111">
        <v>0</v>
      </c>
    </row>
    <row r="3112" spans="1:7" x14ac:dyDescent="0.3">
      <c r="A3112" s="2">
        <v>45125</v>
      </c>
      <c r="B3112" t="s">
        <v>1992</v>
      </c>
      <c r="C3112">
        <v>210</v>
      </c>
      <c r="D3112" s="2">
        <v>45125</v>
      </c>
      <c r="E3112" t="s">
        <v>25</v>
      </c>
      <c r="F3112">
        <v>210</v>
      </c>
      <c r="G3112">
        <v>0</v>
      </c>
    </row>
    <row r="3113" spans="1:7" x14ac:dyDescent="0.3">
      <c r="A3113" s="2">
        <v>45126</v>
      </c>
      <c r="B3113" t="s">
        <v>1732</v>
      </c>
      <c r="C3113">
        <v>6490</v>
      </c>
      <c r="D3113" s="2">
        <v>45126</v>
      </c>
      <c r="E3113" t="s">
        <v>25</v>
      </c>
      <c r="F3113">
        <v>6490</v>
      </c>
      <c r="G3113">
        <v>0</v>
      </c>
    </row>
    <row r="3114" spans="1:7" x14ac:dyDescent="0.3">
      <c r="A3114" s="2">
        <v>45126</v>
      </c>
      <c r="B3114" t="s">
        <v>1732</v>
      </c>
      <c r="C3114">
        <v>2000</v>
      </c>
      <c r="D3114" s="2">
        <v>45126</v>
      </c>
      <c r="E3114" t="s">
        <v>25</v>
      </c>
      <c r="F3114">
        <v>2000</v>
      </c>
      <c r="G3114">
        <v>0</v>
      </c>
    </row>
    <row r="3115" spans="1:7" x14ac:dyDescent="0.3">
      <c r="A3115" s="2">
        <v>45126</v>
      </c>
      <c r="B3115" t="s">
        <v>1732</v>
      </c>
      <c r="C3115">
        <v>110</v>
      </c>
      <c r="D3115" s="2">
        <v>45126</v>
      </c>
      <c r="E3115" t="s">
        <v>25</v>
      </c>
      <c r="F3115">
        <v>110</v>
      </c>
      <c r="G3115">
        <v>0</v>
      </c>
    </row>
    <row r="3116" spans="1:7" x14ac:dyDescent="0.3">
      <c r="A3116" s="2">
        <v>45126</v>
      </c>
      <c r="B3116" t="s">
        <v>1993</v>
      </c>
      <c r="C3116">
        <v>292.5</v>
      </c>
      <c r="D3116" s="2">
        <v>45126</v>
      </c>
      <c r="E3116" t="s">
        <v>25</v>
      </c>
      <c r="F3116">
        <v>292.5</v>
      </c>
      <c r="G3116">
        <v>0</v>
      </c>
    </row>
    <row r="3117" spans="1:7" x14ac:dyDescent="0.3">
      <c r="A3117" s="2">
        <v>45127</v>
      </c>
      <c r="B3117" t="s">
        <v>1994</v>
      </c>
      <c r="C3117">
        <v>1825</v>
      </c>
      <c r="D3117" s="2">
        <v>45127</v>
      </c>
      <c r="E3117" t="s">
        <v>25</v>
      </c>
      <c r="F3117">
        <v>1825</v>
      </c>
      <c r="G3117">
        <v>0</v>
      </c>
    </row>
    <row r="3118" spans="1:7" x14ac:dyDescent="0.3">
      <c r="A3118" s="2">
        <v>45128</v>
      </c>
      <c r="B3118" t="s">
        <v>1995</v>
      </c>
      <c r="C3118">
        <v>1842.5</v>
      </c>
      <c r="D3118" s="2">
        <v>45128</v>
      </c>
      <c r="E3118" t="s">
        <v>25</v>
      </c>
      <c r="F3118">
        <v>1842.5</v>
      </c>
      <c r="G3118">
        <v>0</v>
      </c>
    </row>
    <row r="3119" spans="1:7" x14ac:dyDescent="0.3">
      <c r="A3119" s="2">
        <v>45131</v>
      </c>
      <c r="B3119" t="s">
        <v>1996</v>
      </c>
      <c r="C3119">
        <v>485</v>
      </c>
      <c r="D3119" s="2">
        <v>45131</v>
      </c>
      <c r="E3119" t="s">
        <v>25</v>
      </c>
      <c r="F3119">
        <v>485</v>
      </c>
      <c r="G3119">
        <v>0</v>
      </c>
    </row>
    <row r="3120" spans="1:7" x14ac:dyDescent="0.3">
      <c r="A3120" s="2">
        <v>45131</v>
      </c>
      <c r="B3120" t="s">
        <v>1997</v>
      </c>
      <c r="C3120">
        <v>440</v>
      </c>
      <c r="D3120" s="2">
        <v>45131</v>
      </c>
      <c r="E3120" t="s">
        <v>25</v>
      </c>
      <c r="F3120">
        <v>440</v>
      </c>
      <c r="G3120">
        <v>0</v>
      </c>
    </row>
    <row r="3121" spans="1:7" x14ac:dyDescent="0.3">
      <c r="A3121" s="2">
        <v>45133</v>
      </c>
      <c r="B3121" t="s">
        <v>1998</v>
      </c>
      <c r="C3121">
        <v>112.5</v>
      </c>
      <c r="D3121" s="2">
        <v>45133</v>
      </c>
      <c r="E3121" t="s">
        <v>25</v>
      </c>
      <c r="F3121">
        <v>112.5</v>
      </c>
      <c r="G3121">
        <v>0</v>
      </c>
    </row>
    <row r="3122" spans="1:7" x14ac:dyDescent="0.3">
      <c r="A3122" s="2">
        <v>45134</v>
      </c>
      <c r="B3122" t="s">
        <v>1999</v>
      </c>
      <c r="C3122">
        <v>475</v>
      </c>
      <c r="D3122" s="2">
        <v>45134</v>
      </c>
      <c r="E3122" t="s">
        <v>25</v>
      </c>
      <c r="F3122">
        <v>475</v>
      </c>
      <c r="G3122">
        <v>0</v>
      </c>
    </row>
    <row r="3123" spans="1:7" x14ac:dyDescent="0.3">
      <c r="A3123" s="2">
        <v>45135</v>
      </c>
      <c r="B3123" t="s">
        <v>2000</v>
      </c>
      <c r="C3123">
        <v>215</v>
      </c>
      <c r="D3123" s="2">
        <v>45135</v>
      </c>
      <c r="E3123" t="s">
        <v>25</v>
      </c>
      <c r="F3123">
        <v>215</v>
      </c>
      <c r="G3123">
        <v>0</v>
      </c>
    </row>
    <row r="3124" spans="1:7" x14ac:dyDescent="0.3">
      <c r="A3124" s="2">
        <v>45138</v>
      </c>
      <c r="B3124" t="s">
        <v>2001</v>
      </c>
      <c r="C3124">
        <v>467.5</v>
      </c>
      <c r="D3124" s="2">
        <v>45138</v>
      </c>
      <c r="E3124" t="s">
        <v>25</v>
      </c>
      <c r="F3124">
        <v>467.5</v>
      </c>
      <c r="G3124">
        <v>0</v>
      </c>
    </row>
    <row r="3125" spans="1:7" x14ac:dyDescent="0.3">
      <c r="A3125" s="2">
        <v>45138</v>
      </c>
      <c r="B3125" t="s">
        <v>2002</v>
      </c>
      <c r="C3125">
        <v>182.5</v>
      </c>
      <c r="D3125" s="2">
        <v>45138</v>
      </c>
      <c r="E3125" t="s">
        <v>25</v>
      </c>
      <c r="F3125">
        <v>182.5</v>
      </c>
      <c r="G3125">
        <v>0</v>
      </c>
    </row>
    <row r="3126" spans="1:7" x14ac:dyDescent="0.3">
      <c r="A3126" s="2">
        <v>45110</v>
      </c>
      <c r="B3126" t="s">
        <v>2003</v>
      </c>
      <c r="C3126">
        <v>-34</v>
      </c>
      <c r="D3126" s="2">
        <v>45110</v>
      </c>
      <c r="E3126" t="s">
        <v>2004</v>
      </c>
      <c r="F3126">
        <v>-34</v>
      </c>
      <c r="G3126">
        <v>0</v>
      </c>
    </row>
    <row r="3127" spans="1:7" x14ac:dyDescent="0.3">
      <c r="A3127" s="2">
        <v>45110</v>
      </c>
      <c r="B3127" t="s">
        <v>2005</v>
      </c>
      <c r="C3127">
        <v>-52.26</v>
      </c>
      <c r="D3127" s="2">
        <v>45110</v>
      </c>
      <c r="E3127" t="s">
        <v>27</v>
      </c>
      <c r="F3127">
        <v>-52.26</v>
      </c>
      <c r="G3127">
        <v>0</v>
      </c>
    </row>
    <row r="3128" spans="1:7" x14ac:dyDescent="0.3">
      <c r="A3128" s="2">
        <v>45110</v>
      </c>
      <c r="B3128" t="s">
        <v>1607</v>
      </c>
      <c r="C3128">
        <v>-157.87</v>
      </c>
      <c r="D3128" s="2">
        <v>45110</v>
      </c>
      <c r="E3128" t="s">
        <v>27</v>
      </c>
      <c r="F3128">
        <v>-157.87</v>
      </c>
      <c r="G3128">
        <v>0</v>
      </c>
    </row>
    <row r="3129" spans="1:7" x14ac:dyDescent="0.3">
      <c r="A3129" s="2">
        <v>45121</v>
      </c>
      <c r="B3129" t="s">
        <v>1625</v>
      </c>
      <c r="C3129">
        <v>-89.98</v>
      </c>
      <c r="D3129" s="2">
        <v>45121</v>
      </c>
      <c r="E3129" t="s">
        <v>2004</v>
      </c>
      <c r="F3129">
        <v>-89.98</v>
      </c>
      <c r="G3129">
        <v>0</v>
      </c>
    </row>
    <row r="3130" spans="1:7" x14ac:dyDescent="0.3">
      <c r="A3130" s="2">
        <v>45124</v>
      </c>
      <c r="B3130" t="s">
        <v>2006</v>
      </c>
      <c r="C3130">
        <v>-25</v>
      </c>
      <c r="D3130" s="2">
        <v>45124</v>
      </c>
      <c r="E3130" t="s">
        <v>2004</v>
      </c>
      <c r="F3130">
        <v>-25</v>
      </c>
      <c r="G3130">
        <v>0</v>
      </c>
    </row>
    <row r="3131" spans="1:7" x14ac:dyDescent="0.3">
      <c r="A3131" s="2">
        <v>45125</v>
      </c>
      <c r="B3131" t="s">
        <v>2007</v>
      </c>
      <c r="C3131">
        <v>-10.88</v>
      </c>
      <c r="D3131" s="2">
        <v>45125</v>
      </c>
      <c r="E3131" t="s">
        <v>2004</v>
      </c>
      <c r="F3131">
        <v>-10.88</v>
      </c>
      <c r="G3131">
        <v>0</v>
      </c>
    </row>
    <row r="3132" spans="1:7" x14ac:dyDescent="0.3">
      <c r="A3132" s="2">
        <v>45128</v>
      </c>
      <c r="C3132">
        <v>-78.150000000000006</v>
      </c>
      <c r="D3132" s="2">
        <v>45128</v>
      </c>
      <c r="E3132" t="s">
        <v>2004</v>
      </c>
      <c r="F3132">
        <v>-78.150000000000006</v>
      </c>
      <c r="G3132">
        <v>0</v>
      </c>
    </row>
    <row r="3133" spans="1:7" x14ac:dyDescent="0.3">
      <c r="A3133" s="2">
        <v>45110</v>
      </c>
      <c r="B3133" t="s">
        <v>1978</v>
      </c>
      <c r="C3133">
        <v>-982.09</v>
      </c>
      <c r="D3133" s="2">
        <v>45110</v>
      </c>
      <c r="E3133" t="s">
        <v>2004</v>
      </c>
      <c r="F3133">
        <v>-982.09</v>
      </c>
      <c r="G3133">
        <v>0</v>
      </c>
    </row>
    <row r="3134" spans="1:7" x14ac:dyDescent="0.3">
      <c r="A3134" s="2">
        <v>45110</v>
      </c>
      <c r="B3134" t="s">
        <v>2008</v>
      </c>
      <c r="C3134">
        <v>-8750</v>
      </c>
      <c r="D3134" s="2">
        <v>45107</v>
      </c>
      <c r="E3134" t="s">
        <v>27</v>
      </c>
      <c r="F3134">
        <v>-8750</v>
      </c>
      <c r="G3134">
        <v>0</v>
      </c>
    </row>
    <row r="3135" spans="1:7" x14ac:dyDescent="0.3">
      <c r="A3135" s="2">
        <v>45120</v>
      </c>
      <c r="B3135" t="s">
        <v>2009</v>
      </c>
      <c r="C3135">
        <v>-8400</v>
      </c>
      <c r="D3135" s="2">
        <v>45120</v>
      </c>
      <c r="E3135" t="s">
        <v>2004</v>
      </c>
      <c r="F3135">
        <v>-8400</v>
      </c>
      <c r="G3135">
        <v>0</v>
      </c>
    </row>
    <row r="3136" spans="1:7" x14ac:dyDescent="0.3">
      <c r="A3136" s="2">
        <v>45120</v>
      </c>
      <c r="B3136" t="s">
        <v>2010</v>
      </c>
      <c r="C3136">
        <v>-14715.5</v>
      </c>
      <c r="D3136" s="2">
        <v>45120</v>
      </c>
      <c r="E3136" t="s">
        <v>2004</v>
      </c>
      <c r="F3136">
        <v>-14715.5</v>
      </c>
      <c r="G3136">
        <v>0</v>
      </c>
    </row>
    <row r="3137" spans="1:7" x14ac:dyDescent="0.3">
      <c r="A3137" s="2">
        <v>45120</v>
      </c>
      <c r="B3137" t="s">
        <v>2011</v>
      </c>
      <c r="C3137">
        <v>-3750</v>
      </c>
      <c r="D3137" s="2">
        <v>45120</v>
      </c>
      <c r="E3137" t="s">
        <v>2004</v>
      </c>
      <c r="F3137">
        <v>-3750</v>
      </c>
      <c r="G3137">
        <v>0</v>
      </c>
    </row>
    <row r="3138" spans="1:7" x14ac:dyDescent="0.3">
      <c r="A3138" s="2">
        <v>45139</v>
      </c>
      <c r="B3138" t="s">
        <v>2012</v>
      </c>
      <c r="C3138">
        <v>330</v>
      </c>
      <c r="D3138" s="2">
        <v>45139</v>
      </c>
      <c r="E3138" t="s">
        <v>25</v>
      </c>
      <c r="F3138">
        <v>330</v>
      </c>
      <c r="G3138">
        <v>0</v>
      </c>
    </row>
    <row r="3139" spans="1:7" x14ac:dyDescent="0.3">
      <c r="A3139" s="2">
        <v>45140</v>
      </c>
      <c r="B3139" t="s">
        <v>2013</v>
      </c>
      <c r="C3139">
        <v>517.5</v>
      </c>
      <c r="D3139" s="2">
        <v>45139</v>
      </c>
      <c r="E3139" t="s">
        <v>25</v>
      </c>
      <c r="F3139">
        <v>517.5</v>
      </c>
      <c r="G3139">
        <v>0</v>
      </c>
    </row>
    <row r="3140" spans="1:7" x14ac:dyDescent="0.3">
      <c r="A3140" s="2">
        <v>45141</v>
      </c>
      <c r="B3140" t="s">
        <v>2014</v>
      </c>
      <c r="C3140">
        <v>160</v>
      </c>
      <c r="D3140" s="2">
        <v>45140</v>
      </c>
      <c r="E3140" t="s">
        <v>25</v>
      </c>
      <c r="F3140">
        <v>160</v>
      </c>
      <c r="G3140">
        <v>0</v>
      </c>
    </row>
    <row r="3141" spans="1:7" x14ac:dyDescent="0.3">
      <c r="A3141" s="2">
        <v>45142</v>
      </c>
      <c r="B3141" t="s">
        <v>2015</v>
      </c>
      <c r="C3141">
        <v>192.5</v>
      </c>
      <c r="D3141" s="2">
        <v>45141</v>
      </c>
      <c r="E3141" t="s">
        <v>25</v>
      </c>
      <c r="F3141">
        <v>192.5</v>
      </c>
      <c r="G3141">
        <v>0</v>
      </c>
    </row>
    <row r="3142" spans="1:7" x14ac:dyDescent="0.3">
      <c r="A3142" s="2">
        <v>45145</v>
      </c>
      <c r="B3142" t="s">
        <v>2016</v>
      </c>
      <c r="C3142">
        <v>132.5</v>
      </c>
      <c r="D3142" s="2">
        <v>45144</v>
      </c>
      <c r="E3142" t="s">
        <v>25</v>
      </c>
      <c r="F3142">
        <v>132.5</v>
      </c>
      <c r="G3142">
        <v>0</v>
      </c>
    </row>
    <row r="3143" spans="1:7" x14ac:dyDescent="0.3">
      <c r="A3143" s="2">
        <v>45146</v>
      </c>
      <c r="B3143" t="s">
        <v>2017</v>
      </c>
      <c r="C3143">
        <v>9130</v>
      </c>
      <c r="D3143" s="2">
        <v>45146</v>
      </c>
      <c r="E3143" t="s">
        <v>25</v>
      </c>
      <c r="F3143">
        <v>9130</v>
      </c>
      <c r="G3143">
        <v>0</v>
      </c>
    </row>
    <row r="3144" spans="1:7" x14ac:dyDescent="0.3">
      <c r="A3144" s="2">
        <v>45146</v>
      </c>
      <c r="B3144" t="s">
        <v>2018</v>
      </c>
      <c r="C3144">
        <v>880</v>
      </c>
      <c r="D3144" s="2">
        <v>45146</v>
      </c>
      <c r="E3144" t="s">
        <v>25</v>
      </c>
      <c r="F3144">
        <v>880</v>
      </c>
      <c r="G3144">
        <v>0</v>
      </c>
    </row>
    <row r="3145" spans="1:7" x14ac:dyDescent="0.3">
      <c r="A3145" s="2">
        <v>45146</v>
      </c>
      <c r="B3145" t="s">
        <v>2019</v>
      </c>
      <c r="C3145">
        <v>182.5</v>
      </c>
      <c r="D3145" s="2">
        <v>45145</v>
      </c>
      <c r="E3145" t="s">
        <v>25</v>
      </c>
      <c r="F3145">
        <v>182.5</v>
      </c>
      <c r="G3145">
        <v>0</v>
      </c>
    </row>
    <row r="3146" spans="1:7" x14ac:dyDescent="0.3">
      <c r="A3146" s="2">
        <v>45148</v>
      </c>
      <c r="B3146" t="s">
        <v>2020</v>
      </c>
      <c r="C3146">
        <v>3047.5</v>
      </c>
      <c r="D3146" s="2">
        <v>45147</v>
      </c>
      <c r="E3146" t="s">
        <v>25</v>
      </c>
      <c r="F3146">
        <v>3047.5</v>
      </c>
      <c r="G3146">
        <v>0</v>
      </c>
    </row>
    <row r="3147" spans="1:7" x14ac:dyDescent="0.3">
      <c r="A3147" s="2">
        <v>45149</v>
      </c>
      <c r="B3147" t="s">
        <v>2021</v>
      </c>
      <c r="C3147">
        <v>232.5</v>
      </c>
      <c r="D3147" s="2">
        <v>45148</v>
      </c>
      <c r="E3147" t="s">
        <v>25</v>
      </c>
      <c r="F3147">
        <v>232.5</v>
      </c>
      <c r="G3147">
        <v>0</v>
      </c>
    </row>
    <row r="3148" spans="1:7" x14ac:dyDescent="0.3">
      <c r="A3148" s="2">
        <v>45152</v>
      </c>
      <c r="B3148" t="s">
        <v>2022</v>
      </c>
      <c r="C3148">
        <v>550</v>
      </c>
      <c r="D3148" s="2">
        <v>45150</v>
      </c>
      <c r="E3148" t="s">
        <v>25</v>
      </c>
      <c r="F3148">
        <v>550</v>
      </c>
      <c r="G3148">
        <v>0</v>
      </c>
    </row>
    <row r="3149" spans="1:7" x14ac:dyDescent="0.3">
      <c r="A3149" s="2">
        <v>45152</v>
      </c>
      <c r="B3149" t="s">
        <v>2023</v>
      </c>
      <c r="C3149">
        <v>342.5</v>
      </c>
      <c r="D3149" s="2">
        <v>45149</v>
      </c>
      <c r="E3149" t="s">
        <v>25</v>
      </c>
      <c r="F3149">
        <v>342.5</v>
      </c>
      <c r="G3149">
        <v>0</v>
      </c>
    </row>
    <row r="3150" spans="1:7" x14ac:dyDescent="0.3">
      <c r="A3150" s="2">
        <v>45152</v>
      </c>
      <c r="B3150" t="s">
        <v>2022</v>
      </c>
      <c r="C3150">
        <v>325</v>
      </c>
      <c r="D3150" s="2">
        <v>45151</v>
      </c>
      <c r="E3150" t="s">
        <v>25</v>
      </c>
      <c r="F3150">
        <v>325</v>
      </c>
      <c r="G3150">
        <v>0</v>
      </c>
    </row>
    <row r="3151" spans="1:7" x14ac:dyDescent="0.3">
      <c r="A3151" s="2">
        <v>45153</v>
      </c>
      <c r="B3151" t="s">
        <v>2024</v>
      </c>
      <c r="C3151">
        <v>50</v>
      </c>
      <c r="D3151" s="2">
        <v>45152</v>
      </c>
      <c r="E3151" t="s">
        <v>25</v>
      </c>
      <c r="F3151">
        <v>50</v>
      </c>
      <c r="G3151">
        <v>0</v>
      </c>
    </row>
    <row r="3152" spans="1:7" x14ac:dyDescent="0.3">
      <c r="A3152" s="2">
        <v>45154</v>
      </c>
      <c r="B3152" t="s">
        <v>2025</v>
      </c>
      <c r="C3152">
        <v>562.5</v>
      </c>
      <c r="D3152" s="2">
        <v>45153</v>
      </c>
      <c r="E3152" t="s">
        <v>25</v>
      </c>
      <c r="F3152">
        <v>562.5</v>
      </c>
      <c r="G3152">
        <v>0</v>
      </c>
    </row>
    <row r="3153" spans="1:7" x14ac:dyDescent="0.3">
      <c r="A3153" s="2">
        <v>45155</v>
      </c>
      <c r="B3153" t="s">
        <v>2026</v>
      </c>
      <c r="C3153">
        <v>297.5</v>
      </c>
      <c r="D3153" s="2">
        <v>45154</v>
      </c>
      <c r="E3153" t="s">
        <v>25</v>
      </c>
      <c r="F3153">
        <v>297.5</v>
      </c>
      <c r="G3153">
        <v>0</v>
      </c>
    </row>
    <row r="3154" spans="1:7" x14ac:dyDescent="0.3">
      <c r="A3154" s="2">
        <v>45156</v>
      </c>
      <c r="B3154" t="s">
        <v>2027</v>
      </c>
      <c r="C3154">
        <v>630</v>
      </c>
      <c r="D3154" s="2">
        <v>45155</v>
      </c>
      <c r="E3154" t="s">
        <v>25</v>
      </c>
      <c r="F3154">
        <v>630</v>
      </c>
      <c r="G3154">
        <v>0</v>
      </c>
    </row>
    <row r="3155" spans="1:7" x14ac:dyDescent="0.3">
      <c r="A3155" s="2">
        <v>45159</v>
      </c>
      <c r="B3155" t="s">
        <v>2028</v>
      </c>
      <c r="C3155">
        <v>875</v>
      </c>
      <c r="D3155" s="2">
        <v>45156</v>
      </c>
      <c r="E3155" t="s">
        <v>25</v>
      </c>
      <c r="F3155">
        <v>875</v>
      </c>
      <c r="G3155">
        <v>0</v>
      </c>
    </row>
    <row r="3156" spans="1:7" x14ac:dyDescent="0.3">
      <c r="A3156" s="2">
        <v>45159</v>
      </c>
      <c r="B3156" t="s">
        <v>2029</v>
      </c>
      <c r="C3156">
        <v>400</v>
      </c>
      <c r="D3156" s="2">
        <v>45157</v>
      </c>
      <c r="E3156" t="s">
        <v>25</v>
      </c>
      <c r="F3156">
        <v>400</v>
      </c>
      <c r="G3156">
        <v>0</v>
      </c>
    </row>
    <row r="3157" spans="1:7" x14ac:dyDescent="0.3">
      <c r="A3157" s="2">
        <v>45159</v>
      </c>
      <c r="B3157" t="s">
        <v>2029</v>
      </c>
      <c r="C3157">
        <v>50</v>
      </c>
      <c r="D3157" s="2">
        <v>45158</v>
      </c>
      <c r="E3157" t="s">
        <v>25</v>
      </c>
      <c r="F3157">
        <v>50</v>
      </c>
      <c r="G3157">
        <v>0</v>
      </c>
    </row>
    <row r="3158" spans="1:7" x14ac:dyDescent="0.3">
      <c r="A3158" s="2">
        <v>45160</v>
      </c>
      <c r="B3158" t="s">
        <v>2030</v>
      </c>
      <c r="C3158">
        <v>292.5</v>
      </c>
      <c r="D3158" s="2">
        <v>45159</v>
      </c>
      <c r="E3158" t="s">
        <v>25</v>
      </c>
      <c r="F3158">
        <v>292.5</v>
      </c>
      <c r="G3158">
        <v>0</v>
      </c>
    </row>
    <row r="3159" spans="1:7" x14ac:dyDescent="0.3">
      <c r="A3159" s="2">
        <v>45161</v>
      </c>
      <c r="B3159" t="s">
        <v>2031</v>
      </c>
      <c r="C3159">
        <v>132.5</v>
      </c>
      <c r="D3159" s="2">
        <v>45160</v>
      </c>
      <c r="E3159" t="s">
        <v>25</v>
      </c>
      <c r="F3159">
        <v>132.5</v>
      </c>
      <c r="G3159">
        <v>0</v>
      </c>
    </row>
    <row r="3160" spans="1:7" x14ac:dyDescent="0.3">
      <c r="A3160" s="2">
        <v>45162</v>
      </c>
      <c r="B3160" t="s">
        <v>2032</v>
      </c>
      <c r="C3160">
        <v>625</v>
      </c>
      <c r="D3160" s="2">
        <v>45161</v>
      </c>
      <c r="E3160" t="s">
        <v>25</v>
      </c>
      <c r="F3160">
        <v>625</v>
      </c>
      <c r="G3160">
        <v>0</v>
      </c>
    </row>
    <row r="3161" spans="1:7" x14ac:dyDescent="0.3">
      <c r="A3161" s="2">
        <v>45163</v>
      </c>
      <c r="B3161" t="s">
        <v>2033</v>
      </c>
      <c r="C3161">
        <v>210</v>
      </c>
      <c r="D3161" s="2">
        <v>45162</v>
      </c>
      <c r="E3161" t="s">
        <v>25</v>
      </c>
      <c r="F3161">
        <v>210</v>
      </c>
      <c r="G3161">
        <v>0</v>
      </c>
    </row>
    <row r="3162" spans="1:7" x14ac:dyDescent="0.3">
      <c r="A3162" s="2">
        <v>45166</v>
      </c>
      <c r="B3162" t="s">
        <v>2034</v>
      </c>
      <c r="C3162">
        <v>1250</v>
      </c>
      <c r="D3162" s="2">
        <v>45163</v>
      </c>
      <c r="E3162" t="s">
        <v>25</v>
      </c>
      <c r="F3162">
        <v>1250</v>
      </c>
      <c r="G3162">
        <v>0</v>
      </c>
    </row>
    <row r="3163" spans="1:7" x14ac:dyDescent="0.3">
      <c r="A3163" s="2">
        <v>45166</v>
      </c>
      <c r="B3163" t="s">
        <v>2035</v>
      </c>
      <c r="C3163">
        <v>830</v>
      </c>
      <c r="D3163" s="2">
        <v>45164</v>
      </c>
      <c r="E3163" t="s">
        <v>25</v>
      </c>
      <c r="F3163">
        <v>830</v>
      </c>
      <c r="G3163">
        <v>0</v>
      </c>
    </row>
    <row r="3164" spans="1:7" x14ac:dyDescent="0.3">
      <c r="A3164" s="2">
        <v>45166</v>
      </c>
      <c r="B3164" t="s">
        <v>2035</v>
      </c>
      <c r="C3164">
        <v>275</v>
      </c>
      <c r="D3164" s="2">
        <v>45165</v>
      </c>
      <c r="E3164" t="s">
        <v>25</v>
      </c>
      <c r="F3164">
        <v>275</v>
      </c>
      <c r="G3164">
        <v>0</v>
      </c>
    </row>
    <row r="3165" spans="1:7" x14ac:dyDescent="0.3">
      <c r="A3165" s="2">
        <v>45167</v>
      </c>
      <c r="B3165" t="s">
        <v>2036</v>
      </c>
      <c r="C3165">
        <v>402.5</v>
      </c>
      <c r="D3165" s="2">
        <v>45166</v>
      </c>
      <c r="E3165" t="s">
        <v>25</v>
      </c>
      <c r="F3165">
        <v>402.5</v>
      </c>
      <c r="G3165">
        <v>0</v>
      </c>
    </row>
    <row r="3166" spans="1:7" x14ac:dyDescent="0.3">
      <c r="A3166" s="2">
        <v>45168</v>
      </c>
      <c r="B3166" t="s">
        <v>2037</v>
      </c>
      <c r="C3166">
        <v>562.5</v>
      </c>
      <c r="D3166" s="2">
        <v>45167</v>
      </c>
      <c r="E3166" t="s">
        <v>25</v>
      </c>
      <c r="F3166">
        <v>562.5</v>
      </c>
      <c r="G3166">
        <v>0</v>
      </c>
    </row>
    <row r="3167" spans="1:7" x14ac:dyDescent="0.3">
      <c r="A3167" s="2">
        <v>45169</v>
      </c>
      <c r="B3167" t="s">
        <v>2038</v>
      </c>
      <c r="C3167">
        <v>232.5</v>
      </c>
      <c r="D3167" s="2">
        <v>45168</v>
      </c>
      <c r="E3167" t="s">
        <v>25</v>
      </c>
      <c r="F3167">
        <v>232.5</v>
      </c>
      <c r="G3167">
        <v>0</v>
      </c>
    </row>
    <row r="3168" spans="1:7" x14ac:dyDescent="0.3">
      <c r="A3168" s="2">
        <v>45139</v>
      </c>
      <c r="B3168" t="s">
        <v>2039</v>
      </c>
      <c r="C3168">
        <v>-34</v>
      </c>
      <c r="D3168" s="2">
        <v>45139</v>
      </c>
      <c r="E3168" t="s">
        <v>2004</v>
      </c>
      <c r="F3168">
        <v>-34</v>
      </c>
      <c r="G3168">
        <v>0</v>
      </c>
    </row>
    <row r="3169" spans="1:7" x14ac:dyDescent="0.3">
      <c r="A3169" s="2">
        <v>45145</v>
      </c>
      <c r="B3169" t="s">
        <v>2040</v>
      </c>
      <c r="C3169">
        <v>-33</v>
      </c>
      <c r="D3169" s="2">
        <v>45145</v>
      </c>
      <c r="E3169" t="s">
        <v>2004</v>
      </c>
      <c r="F3169">
        <v>-33</v>
      </c>
      <c r="G3169">
        <v>0</v>
      </c>
    </row>
    <row r="3170" spans="1:7" x14ac:dyDescent="0.3">
      <c r="A3170" s="2">
        <v>45145</v>
      </c>
      <c r="B3170" t="s">
        <v>2041</v>
      </c>
      <c r="C3170">
        <v>-26.12</v>
      </c>
      <c r="D3170" s="2">
        <v>45145</v>
      </c>
      <c r="E3170" t="s">
        <v>2004</v>
      </c>
      <c r="F3170">
        <v>-26.12</v>
      </c>
      <c r="G3170">
        <v>0</v>
      </c>
    </row>
    <row r="3171" spans="1:7" x14ac:dyDescent="0.3">
      <c r="A3171" s="2">
        <v>45152</v>
      </c>
      <c r="B3171" t="s">
        <v>2042</v>
      </c>
      <c r="C3171">
        <v>-62.61</v>
      </c>
      <c r="D3171" s="2">
        <v>45152</v>
      </c>
      <c r="E3171" t="s">
        <v>2004</v>
      </c>
      <c r="F3171">
        <v>-62.61</v>
      </c>
      <c r="G3171">
        <v>0</v>
      </c>
    </row>
    <row r="3172" spans="1:7" x14ac:dyDescent="0.3">
      <c r="A3172" s="2">
        <v>45154</v>
      </c>
      <c r="B3172" t="s">
        <v>2043</v>
      </c>
      <c r="C3172">
        <v>-25</v>
      </c>
      <c r="D3172" s="2">
        <v>45154</v>
      </c>
      <c r="E3172" t="s">
        <v>2004</v>
      </c>
      <c r="F3172">
        <v>-25</v>
      </c>
      <c r="G3172">
        <v>0</v>
      </c>
    </row>
    <row r="3173" spans="1:7" x14ac:dyDescent="0.3">
      <c r="A3173" s="2">
        <v>45155</v>
      </c>
      <c r="B3173" t="s">
        <v>2044</v>
      </c>
      <c r="C3173">
        <v>-94.82</v>
      </c>
      <c r="D3173" s="2">
        <v>45155</v>
      </c>
      <c r="E3173" t="s">
        <v>2004</v>
      </c>
      <c r="F3173">
        <v>-94.82</v>
      </c>
      <c r="G3173">
        <v>0</v>
      </c>
    </row>
    <row r="3174" spans="1:7" x14ac:dyDescent="0.3">
      <c r="A3174" s="2">
        <v>45156</v>
      </c>
      <c r="B3174" t="s">
        <v>1657</v>
      </c>
      <c r="C3174">
        <v>-10.88</v>
      </c>
      <c r="D3174" s="2">
        <v>45156</v>
      </c>
      <c r="E3174" t="s">
        <v>2004</v>
      </c>
      <c r="F3174">
        <v>-10.88</v>
      </c>
      <c r="G3174">
        <v>0</v>
      </c>
    </row>
    <row r="3175" spans="1:7" x14ac:dyDescent="0.3">
      <c r="A3175" s="2">
        <v>45162</v>
      </c>
      <c r="B3175" t="s">
        <v>2045</v>
      </c>
      <c r="C3175">
        <v>-100</v>
      </c>
      <c r="D3175" s="2">
        <v>45162</v>
      </c>
      <c r="E3175" t="s">
        <v>2004</v>
      </c>
      <c r="F3175">
        <v>-100</v>
      </c>
      <c r="G3175">
        <v>0</v>
      </c>
    </row>
    <row r="3176" spans="1:7" x14ac:dyDescent="0.3">
      <c r="A3176" s="2">
        <v>45140</v>
      </c>
      <c r="B3176" t="s">
        <v>2012</v>
      </c>
      <c r="C3176">
        <v>-4935.24</v>
      </c>
      <c r="D3176" s="2">
        <v>45140</v>
      </c>
      <c r="E3176" t="s">
        <v>2004</v>
      </c>
      <c r="F3176">
        <v>-4935.24</v>
      </c>
      <c r="G3176">
        <v>0</v>
      </c>
    </row>
    <row r="3177" spans="1:7" x14ac:dyDescent="0.3">
      <c r="A3177" s="2">
        <v>45142</v>
      </c>
      <c r="B3177" t="s">
        <v>2046</v>
      </c>
      <c r="C3177">
        <v>-2250</v>
      </c>
      <c r="D3177" s="2">
        <v>45142</v>
      </c>
      <c r="E3177" t="s">
        <v>2004</v>
      </c>
      <c r="F3177">
        <v>-2250</v>
      </c>
      <c r="G3177">
        <v>0</v>
      </c>
    </row>
    <row r="3178" spans="1:7" x14ac:dyDescent="0.3">
      <c r="A3178" s="2">
        <v>45161</v>
      </c>
      <c r="B3178" t="s">
        <v>2047</v>
      </c>
      <c r="C3178">
        <v>-16252.45</v>
      </c>
      <c r="D3178" s="2">
        <v>45161</v>
      </c>
      <c r="E3178" t="s">
        <v>2004</v>
      </c>
      <c r="F3178">
        <v>-16252.45</v>
      </c>
      <c r="G3178">
        <v>0</v>
      </c>
    </row>
    <row r="3179" spans="1:7" x14ac:dyDescent="0.3">
      <c r="A3179" s="2">
        <v>45161</v>
      </c>
      <c r="B3179" t="s">
        <v>2048</v>
      </c>
      <c r="C3179">
        <v>-13600</v>
      </c>
      <c r="D3179" s="2">
        <v>45161</v>
      </c>
      <c r="E3179" t="s">
        <v>2004</v>
      </c>
      <c r="F3179">
        <v>-13600</v>
      </c>
      <c r="G3179">
        <v>0</v>
      </c>
    </row>
    <row r="3180" spans="1:7" x14ac:dyDescent="0.3">
      <c r="A3180" s="2">
        <v>45161</v>
      </c>
      <c r="B3180" t="s">
        <v>2049</v>
      </c>
      <c r="C3180">
        <v>-19618.169999999998</v>
      </c>
      <c r="D3180" s="2">
        <v>45161</v>
      </c>
      <c r="E3180" t="s">
        <v>2004</v>
      </c>
      <c r="F3180">
        <v>-19618.169999999998</v>
      </c>
      <c r="G3180">
        <v>0</v>
      </c>
    </row>
    <row r="3181" spans="1:7" x14ac:dyDescent="0.3">
      <c r="A3181" s="2">
        <v>45170</v>
      </c>
      <c r="B3181" t="s">
        <v>2050</v>
      </c>
      <c r="C3181">
        <v>-61.52</v>
      </c>
      <c r="D3181" s="2">
        <v>45170</v>
      </c>
      <c r="E3181" t="s">
        <v>2004</v>
      </c>
      <c r="F3181">
        <v>-61.52</v>
      </c>
      <c r="G3181">
        <v>0</v>
      </c>
    </row>
    <row r="3182" spans="1:7" x14ac:dyDescent="0.3">
      <c r="A3182" s="2">
        <v>45170</v>
      </c>
      <c r="B3182" t="s">
        <v>2051</v>
      </c>
      <c r="C3182">
        <v>-34</v>
      </c>
      <c r="D3182" s="2">
        <v>45170</v>
      </c>
      <c r="E3182" t="s">
        <v>2004</v>
      </c>
      <c r="F3182">
        <v>-34</v>
      </c>
      <c r="G3182">
        <v>0</v>
      </c>
    </row>
    <row r="3183" spans="1:7" x14ac:dyDescent="0.3">
      <c r="A3183" s="2">
        <v>45170</v>
      </c>
      <c r="B3183" t="s">
        <v>2052</v>
      </c>
      <c r="C3183">
        <v>560</v>
      </c>
      <c r="D3183" s="2">
        <v>45169</v>
      </c>
      <c r="E3183" t="s">
        <v>25</v>
      </c>
      <c r="F3183">
        <v>560</v>
      </c>
      <c r="G3183">
        <v>0</v>
      </c>
    </row>
    <row r="3184" spans="1:7" x14ac:dyDescent="0.3">
      <c r="A3184" s="2">
        <v>45170</v>
      </c>
      <c r="B3184" t="s">
        <v>2053</v>
      </c>
      <c r="C3184">
        <v>210</v>
      </c>
      <c r="D3184" s="2">
        <v>45170</v>
      </c>
      <c r="E3184" t="s">
        <v>25</v>
      </c>
      <c r="F3184">
        <v>210</v>
      </c>
      <c r="G3184">
        <v>0</v>
      </c>
    </row>
    <row r="3185" spans="1:7" x14ac:dyDescent="0.3">
      <c r="A3185" s="2">
        <v>45170</v>
      </c>
      <c r="B3185" t="s">
        <v>2053</v>
      </c>
      <c r="C3185">
        <v>8140</v>
      </c>
      <c r="D3185" s="2">
        <v>45170</v>
      </c>
      <c r="E3185" t="s">
        <v>25</v>
      </c>
      <c r="F3185">
        <v>8140</v>
      </c>
      <c r="G3185">
        <v>0</v>
      </c>
    </row>
    <row r="3186" spans="1:7" x14ac:dyDescent="0.3">
      <c r="A3186" s="2">
        <v>45174</v>
      </c>
      <c r="B3186" t="s">
        <v>2054</v>
      </c>
      <c r="C3186">
        <v>-77.97</v>
      </c>
      <c r="D3186" s="2">
        <v>45174</v>
      </c>
      <c r="E3186" t="s">
        <v>2004</v>
      </c>
      <c r="F3186">
        <v>-77.97</v>
      </c>
      <c r="G3186">
        <v>0</v>
      </c>
    </row>
    <row r="3187" spans="1:7" x14ac:dyDescent="0.3">
      <c r="A3187" s="2">
        <v>45174</v>
      </c>
      <c r="B3187" t="s">
        <v>2055</v>
      </c>
      <c r="C3187">
        <v>-666.77</v>
      </c>
      <c r="D3187" s="2">
        <v>45174</v>
      </c>
      <c r="E3187" t="s">
        <v>2004</v>
      </c>
      <c r="F3187">
        <v>-666.77</v>
      </c>
      <c r="G3187">
        <v>0</v>
      </c>
    </row>
    <row r="3188" spans="1:7" x14ac:dyDescent="0.3">
      <c r="A3188" s="2">
        <v>45174</v>
      </c>
      <c r="B3188" t="s">
        <v>2056</v>
      </c>
      <c r="C3188">
        <v>-157.87</v>
      </c>
      <c r="D3188" s="2">
        <v>45174</v>
      </c>
      <c r="E3188" t="s">
        <v>2004</v>
      </c>
      <c r="F3188">
        <v>-157.87</v>
      </c>
      <c r="G3188">
        <v>0</v>
      </c>
    </row>
    <row r="3189" spans="1:7" x14ac:dyDescent="0.3">
      <c r="A3189" s="2">
        <v>45174</v>
      </c>
      <c r="B3189" t="s">
        <v>2057</v>
      </c>
      <c r="C3189">
        <v>100</v>
      </c>
      <c r="D3189" s="2">
        <v>45173</v>
      </c>
      <c r="E3189" t="s">
        <v>25</v>
      </c>
      <c r="F3189">
        <v>100</v>
      </c>
      <c r="G3189">
        <v>0</v>
      </c>
    </row>
    <row r="3190" spans="1:7" x14ac:dyDescent="0.3">
      <c r="A3190" s="2">
        <v>45174</v>
      </c>
      <c r="B3190" t="s">
        <v>2058</v>
      </c>
      <c r="C3190">
        <v>282.5</v>
      </c>
      <c r="D3190" s="2">
        <v>45172</v>
      </c>
      <c r="E3190" t="s">
        <v>25</v>
      </c>
      <c r="F3190">
        <v>282.5</v>
      </c>
      <c r="G3190">
        <v>0</v>
      </c>
    </row>
    <row r="3191" spans="1:7" x14ac:dyDescent="0.3">
      <c r="A3191" s="2">
        <v>45174</v>
      </c>
      <c r="B3191" t="s">
        <v>2059</v>
      </c>
      <c r="C3191">
        <v>447.5</v>
      </c>
      <c r="D3191" s="2">
        <v>45171</v>
      </c>
      <c r="E3191" t="s">
        <v>25</v>
      </c>
      <c r="F3191">
        <v>447.5</v>
      </c>
      <c r="G3191">
        <v>0</v>
      </c>
    </row>
    <row r="3192" spans="1:7" x14ac:dyDescent="0.3">
      <c r="A3192" s="2">
        <v>45175</v>
      </c>
      <c r="B3192" t="s">
        <v>2060</v>
      </c>
      <c r="C3192">
        <v>232.5</v>
      </c>
      <c r="D3192" s="2">
        <v>45174</v>
      </c>
      <c r="E3192" t="s">
        <v>25</v>
      </c>
      <c r="F3192">
        <v>232.5</v>
      </c>
      <c r="G3192">
        <v>0</v>
      </c>
    </row>
    <row r="3193" spans="1:7" x14ac:dyDescent="0.3">
      <c r="A3193" s="2">
        <v>45176</v>
      </c>
      <c r="B3193" t="s">
        <v>2061</v>
      </c>
      <c r="C3193">
        <v>675</v>
      </c>
      <c r="D3193" s="2">
        <v>45175</v>
      </c>
      <c r="E3193" t="s">
        <v>25</v>
      </c>
      <c r="F3193">
        <v>675</v>
      </c>
      <c r="G3193">
        <v>0</v>
      </c>
    </row>
    <row r="3194" spans="1:7" x14ac:dyDescent="0.3">
      <c r="A3194" s="2">
        <v>45177</v>
      </c>
      <c r="B3194" t="s">
        <v>2062</v>
      </c>
      <c r="C3194">
        <v>1500</v>
      </c>
      <c r="D3194" s="2">
        <v>45176</v>
      </c>
      <c r="E3194" t="s">
        <v>25</v>
      </c>
      <c r="F3194">
        <v>1500</v>
      </c>
      <c r="G3194">
        <v>0</v>
      </c>
    </row>
    <row r="3195" spans="1:7" x14ac:dyDescent="0.3">
      <c r="A3195" s="2">
        <v>45180</v>
      </c>
      <c r="B3195" t="s">
        <v>2063</v>
      </c>
      <c r="C3195">
        <v>-217.75</v>
      </c>
      <c r="D3195" s="2">
        <v>45180</v>
      </c>
      <c r="E3195" t="s">
        <v>2004</v>
      </c>
      <c r="F3195">
        <v>-217.75</v>
      </c>
      <c r="G3195">
        <v>0</v>
      </c>
    </row>
    <row r="3196" spans="1:7" x14ac:dyDescent="0.3">
      <c r="A3196" s="2">
        <v>45180</v>
      </c>
      <c r="B3196" t="s">
        <v>2064</v>
      </c>
      <c r="C3196">
        <v>-35.549999999999997</v>
      </c>
      <c r="D3196" s="2">
        <v>45180</v>
      </c>
      <c r="E3196" t="s">
        <v>2004</v>
      </c>
      <c r="F3196">
        <v>-35.549999999999997</v>
      </c>
      <c r="G3196">
        <v>0</v>
      </c>
    </row>
    <row r="3197" spans="1:7" x14ac:dyDescent="0.3">
      <c r="A3197" s="2">
        <v>45180</v>
      </c>
      <c r="B3197" t="s">
        <v>2065</v>
      </c>
      <c r="C3197">
        <v>-6297.88</v>
      </c>
      <c r="D3197" s="2">
        <v>45180</v>
      </c>
      <c r="E3197" t="s">
        <v>2004</v>
      </c>
      <c r="F3197">
        <v>-6297.88</v>
      </c>
      <c r="G3197">
        <v>0</v>
      </c>
    </row>
    <row r="3198" spans="1:7" x14ac:dyDescent="0.3">
      <c r="A3198" s="2">
        <v>45180</v>
      </c>
      <c r="B3198" t="s">
        <v>2066</v>
      </c>
      <c r="C3198">
        <v>382.5</v>
      </c>
      <c r="D3198" s="2">
        <v>45179</v>
      </c>
      <c r="E3198" t="s">
        <v>25</v>
      </c>
      <c r="F3198">
        <v>382.5</v>
      </c>
      <c r="G3198">
        <v>0</v>
      </c>
    </row>
    <row r="3199" spans="1:7" x14ac:dyDescent="0.3">
      <c r="A3199" s="2">
        <v>45180</v>
      </c>
      <c r="B3199" t="s">
        <v>2067</v>
      </c>
      <c r="C3199">
        <v>847.5</v>
      </c>
      <c r="D3199" s="2">
        <v>45177</v>
      </c>
      <c r="E3199" t="s">
        <v>25</v>
      </c>
      <c r="F3199">
        <v>847.5</v>
      </c>
      <c r="G3199">
        <v>0</v>
      </c>
    </row>
    <row r="3200" spans="1:7" x14ac:dyDescent="0.3">
      <c r="A3200" s="2">
        <v>45180</v>
      </c>
      <c r="B3200" t="s">
        <v>2068</v>
      </c>
      <c r="C3200">
        <v>1126.25</v>
      </c>
      <c r="D3200" s="2">
        <v>45178</v>
      </c>
      <c r="E3200" t="s">
        <v>25</v>
      </c>
      <c r="F3200">
        <v>1126.25</v>
      </c>
      <c r="G3200">
        <v>0</v>
      </c>
    </row>
    <row r="3201" spans="1:7" x14ac:dyDescent="0.3">
      <c r="A3201" s="2">
        <v>45181</v>
      </c>
      <c r="B3201" t="s">
        <v>2069</v>
      </c>
      <c r="C3201">
        <v>420</v>
      </c>
      <c r="D3201" s="2">
        <v>45180</v>
      </c>
      <c r="E3201" t="s">
        <v>25</v>
      </c>
      <c r="F3201">
        <v>420</v>
      </c>
      <c r="G3201">
        <v>0</v>
      </c>
    </row>
    <row r="3202" spans="1:7" x14ac:dyDescent="0.3">
      <c r="A3202" s="2">
        <v>45182</v>
      </c>
      <c r="B3202" t="s">
        <v>2070</v>
      </c>
      <c r="C3202">
        <v>1490</v>
      </c>
      <c r="D3202" s="2">
        <v>45181</v>
      </c>
      <c r="E3202" t="s">
        <v>25</v>
      </c>
      <c r="F3202">
        <v>1490</v>
      </c>
      <c r="G3202">
        <v>0</v>
      </c>
    </row>
    <row r="3203" spans="1:7" x14ac:dyDescent="0.3">
      <c r="A3203" s="2">
        <v>45183</v>
      </c>
      <c r="B3203" t="s">
        <v>2071</v>
      </c>
      <c r="C3203">
        <v>1352.5</v>
      </c>
      <c r="D3203" s="2">
        <v>45182</v>
      </c>
      <c r="E3203" t="s">
        <v>25</v>
      </c>
      <c r="F3203">
        <v>1352.5</v>
      </c>
      <c r="G3203">
        <v>0</v>
      </c>
    </row>
    <row r="3204" spans="1:7" x14ac:dyDescent="0.3">
      <c r="A3204" s="2">
        <v>45184</v>
      </c>
      <c r="B3204" t="s">
        <v>2072</v>
      </c>
      <c r="C3204">
        <v>-49.76</v>
      </c>
      <c r="D3204" s="2">
        <v>45184</v>
      </c>
      <c r="E3204" t="s">
        <v>2004</v>
      </c>
      <c r="F3204">
        <v>-49.76</v>
      </c>
      <c r="G3204">
        <v>0</v>
      </c>
    </row>
    <row r="3205" spans="1:7" x14ac:dyDescent="0.3">
      <c r="A3205" s="2">
        <v>45184</v>
      </c>
      <c r="B3205" t="s">
        <v>2073</v>
      </c>
      <c r="C3205">
        <v>332.5</v>
      </c>
      <c r="D3205" s="2">
        <v>45183</v>
      </c>
      <c r="E3205" t="s">
        <v>25</v>
      </c>
      <c r="F3205">
        <v>332.5</v>
      </c>
      <c r="G3205">
        <v>0</v>
      </c>
    </row>
    <row r="3206" spans="1:7" x14ac:dyDescent="0.3">
      <c r="A3206" s="2">
        <v>45187</v>
      </c>
      <c r="B3206" t="s">
        <v>2074</v>
      </c>
      <c r="C3206">
        <v>-127.5</v>
      </c>
      <c r="D3206" s="2">
        <v>45186</v>
      </c>
      <c r="E3206" t="s">
        <v>25</v>
      </c>
      <c r="F3206">
        <v>-127.5</v>
      </c>
      <c r="G3206">
        <v>0</v>
      </c>
    </row>
    <row r="3207" spans="1:7" x14ac:dyDescent="0.3">
      <c r="A3207" s="2">
        <v>45187</v>
      </c>
      <c r="B3207" t="s">
        <v>2075</v>
      </c>
      <c r="C3207">
        <v>-158.21</v>
      </c>
      <c r="D3207" s="2">
        <v>45187</v>
      </c>
      <c r="E3207" t="s">
        <v>2004</v>
      </c>
      <c r="F3207">
        <v>-158.21</v>
      </c>
      <c r="G3207">
        <v>0</v>
      </c>
    </row>
    <row r="3208" spans="1:7" x14ac:dyDescent="0.3">
      <c r="A3208" s="2">
        <v>45187</v>
      </c>
      <c r="B3208" t="s">
        <v>2076</v>
      </c>
      <c r="C3208">
        <v>-10.88</v>
      </c>
      <c r="D3208" s="2">
        <v>45187</v>
      </c>
      <c r="E3208" t="s">
        <v>2004</v>
      </c>
      <c r="F3208">
        <v>-10.88</v>
      </c>
      <c r="G3208">
        <v>0</v>
      </c>
    </row>
    <row r="3209" spans="1:7" x14ac:dyDescent="0.3">
      <c r="A3209" s="2">
        <v>45187</v>
      </c>
      <c r="B3209" t="s">
        <v>2077</v>
      </c>
      <c r="C3209">
        <v>-25</v>
      </c>
      <c r="D3209" s="2">
        <v>45187</v>
      </c>
      <c r="E3209" t="s">
        <v>2004</v>
      </c>
      <c r="F3209">
        <v>-25</v>
      </c>
      <c r="G3209">
        <v>0</v>
      </c>
    </row>
    <row r="3210" spans="1:7" x14ac:dyDescent="0.3">
      <c r="A3210" s="2">
        <v>45187</v>
      </c>
      <c r="B3210" t="s">
        <v>2065</v>
      </c>
      <c r="C3210">
        <v>-2852.62</v>
      </c>
      <c r="D3210" s="2">
        <v>45187</v>
      </c>
      <c r="E3210" t="s">
        <v>2004</v>
      </c>
      <c r="F3210">
        <v>-2852.62</v>
      </c>
      <c r="G3210">
        <v>0</v>
      </c>
    </row>
    <row r="3211" spans="1:7" x14ac:dyDescent="0.3">
      <c r="A3211" s="2">
        <v>45187</v>
      </c>
      <c r="B3211" t="s">
        <v>2078</v>
      </c>
      <c r="C3211">
        <v>82.5</v>
      </c>
      <c r="D3211" s="2">
        <v>45185</v>
      </c>
      <c r="E3211" t="s">
        <v>25</v>
      </c>
      <c r="F3211">
        <v>82.5</v>
      </c>
      <c r="G3211">
        <v>0</v>
      </c>
    </row>
    <row r="3212" spans="1:7" x14ac:dyDescent="0.3">
      <c r="A3212" s="2">
        <v>45187</v>
      </c>
      <c r="B3212" t="s">
        <v>2079</v>
      </c>
      <c r="C3212">
        <v>320</v>
      </c>
      <c r="D3212" s="2">
        <v>45184</v>
      </c>
      <c r="E3212" t="s">
        <v>25</v>
      </c>
      <c r="F3212">
        <v>320</v>
      </c>
      <c r="G3212">
        <v>0</v>
      </c>
    </row>
    <row r="3213" spans="1:7" x14ac:dyDescent="0.3">
      <c r="A3213" s="2">
        <v>45187</v>
      </c>
      <c r="B3213" t="s">
        <v>2080</v>
      </c>
      <c r="C3213">
        <v>25300</v>
      </c>
      <c r="D3213" s="2">
        <v>45187</v>
      </c>
      <c r="E3213" t="s">
        <v>25</v>
      </c>
      <c r="F3213">
        <v>25300</v>
      </c>
      <c r="G3213">
        <v>0</v>
      </c>
    </row>
    <row r="3214" spans="1:7" x14ac:dyDescent="0.3">
      <c r="A3214" s="2">
        <v>45188</v>
      </c>
      <c r="B3214" t="s">
        <v>2081</v>
      </c>
      <c r="C3214">
        <v>270</v>
      </c>
      <c r="D3214" s="2">
        <v>45187</v>
      </c>
      <c r="E3214" t="s">
        <v>25</v>
      </c>
      <c r="F3214">
        <v>270</v>
      </c>
      <c r="G3214">
        <v>0</v>
      </c>
    </row>
    <row r="3215" spans="1:7" x14ac:dyDescent="0.3">
      <c r="A3215" s="2">
        <v>45189</v>
      </c>
      <c r="B3215" t="s">
        <v>2082</v>
      </c>
      <c r="C3215">
        <v>380</v>
      </c>
      <c r="D3215" s="2">
        <v>45188</v>
      </c>
      <c r="E3215" t="s">
        <v>25</v>
      </c>
      <c r="F3215">
        <v>380</v>
      </c>
      <c r="G3215">
        <v>0</v>
      </c>
    </row>
    <row r="3216" spans="1:7" x14ac:dyDescent="0.3">
      <c r="A3216" s="2">
        <v>45190</v>
      </c>
      <c r="B3216" t="s">
        <v>2083</v>
      </c>
      <c r="C3216">
        <v>265</v>
      </c>
      <c r="D3216" s="2">
        <v>45189</v>
      </c>
      <c r="E3216" t="s">
        <v>25</v>
      </c>
      <c r="F3216">
        <v>265</v>
      </c>
      <c r="G3216">
        <v>0</v>
      </c>
    </row>
    <row r="3217" spans="1:7" x14ac:dyDescent="0.3">
      <c r="A3217" s="2">
        <v>45191</v>
      </c>
      <c r="B3217" t="s">
        <v>2084</v>
      </c>
      <c r="C3217">
        <v>420</v>
      </c>
      <c r="D3217" s="2">
        <v>45190</v>
      </c>
      <c r="E3217" t="s">
        <v>25</v>
      </c>
      <c r="F3217">
        <v>420</v>
      </c>
      <c r="G3217">
        <v>0</v>
      </c>
    </row>
    <row r="3218" spans="1:7" x14ac:dyDescent="0.3">
      <c r="A3218" s="2">
        <v>45194</v>
      </c>
      <c r="B3218" t="s">
        <v>2085</v>
      </c>
      <c r="C3218">
        <v>65</v>
      </c>
      <c r="D3218" s="2">
        <v>45193</v>
      </c>
      <c r="E3218" t="s">
        <v>25</v>
      </c>
      <c r="F3218">
        <v>65</v>
      </c>
      <c r="G3218">
        <v>0</v>
      </c>
    </row>
    <row r="3219" spans="1:7" x14ac:dyDescent="0.3">
      <c r="A3219" s="2">
        <v>45194</v>
      </c>
      <c r="B3219" t="s">
        <v>2086</v>
      </c>
      <c r="C3219">
        <v>110</v>
      </c>
      <c r="D3219" s="2">
        <v>45191</v>
      </c>
      <c r="E3219" t="s">
        <v>25</v>
      </c>
      <c r="F3219">
        <v>110</v>
      </c>
      <c r="G3219">
        <v>0</v>
      </c>
    </row>
    <row r="3220" spans="1:7" x14ac:dyDescent="0.3">
      <c r="A3220" s="2">
        <v>45194</v>
      </c>
      <c r="B3220" t="s">
        <v>2087</v>
      </c>
      <c r="C3220">
        <v>668.75</v>
      </c>
      <c r="D3220" s="2">
        <v>45192</v>
      </c>
      <c r="E3220" t="s">
        <v>25</v>
      </c>
      <c r="F3220">
        <v>668.75</v>
      </c>
      <c r="G3220">
        <v>0</v>
      </c>
    </row>
    <row r="3221" spans="1:7" x14ac:dyDescent="0.3">
      <c r="A3221" s="2">
        <v>45194</v>
      </c>
      <c r="B3221" t="s">
        <v>2053</v>
      </c>
      <c r="C3221">
        <v>32.32</v>
      </c>
      <c r="D3221" s="2">
        <v>45194</v>
      </c>
      <c r="E3221" t="s">
        <v>25</v>
      </c>
      <c r="F3221">
        <v>32.32</v>
      </c>
      <c r="G3221">
        <v>0</v>
      </c>
    </row>
    <row r="3222" spans="1:7" x14ac:dyDescent="0.3">
      <c r="A3222" s="2">
        <v>45194</v>
      </c>
      <c r="B3222" t="s">
        <v>2053</v>
      </c>
      <c r="C3222">
        <v>210</v>
      </c>
      <c r="D3222" s="2">
        <v>45194</v>
      </c>
      <c r="E3222" t="s">
        <v>25</v>
      </c>
      <c r="F3222">
        <v>210</v>
      </c>
      <c r="G3222">
        <v>0</v>
      </c>
    </row>
    <row r="3223" spans="1:7" x14ac:dyDescent="0.3">
      <c r="A3223" s="2">
        <v>45194</v>
      </c>
      <c r="B3223" t="s">
        <v>2053</v>
      </c>
      <c r="C3223">
        <v>2750</v>
      </c>
      <c r="D3223" s="2">
        <v>45194</v>
      </c>
      <c r="E3223" t="s">
        <v>25</v>
      </c>
      <c r="F3223">
        <v>2750</v>
      </c>
      <c r="G3223">
        <v>0</v>
      </c>
    </row>
    <row r="3224" spans="1:7" x14ac:dyDescent="0.3">
      <c r="A3224" s="2">
        <v>45195</v>
      </c>
      <c r="B3224" t="s">
        <v>2088</v>
      </c>
      <c r="C3224">
        <v>-276</v>
      </c>
      <c r="D3224" s="2">
        <v>45195</v>
      </c>
      <c r="E3224" t="s">
        <v>2004</v>
      </c>
      <c r="F3224">
        <v>-276</v>
      </c>
      <c r="G3224">
        <v>0</v>
      </c>
    </row>
    <row r="3225" spans="1:7" x14ac:dyDescent="0.3">
      <c r="A3225" s="2">
        <v>45195</v>
      </c>
      <c r="B3225" t="s">
        <v>2089</v>
      </c>
      <c r="C3225">
        <v>110</v>
      </c>
      <c r="D3225" s="2">
        <v>45194</v>
      </c>
      <c r="E3225" t="s">
        <v>25</v>
      </c>
      <c r="F3225">
        <v>110</v>
      </c>
      <c r="G3225">
        <v>0</v>
      </c>
    </row>
    <row r="3226" spans="1:7" x14ac:dyDescent="0.3">
      <c r="A3226" s="2">
        <v>45196</v>
      </c>
      <c r="B3226" t="s">
        <v>2090</v>
      </c>
      <c r="C3226">
        <v>737.5</v>
      </c>
      <c r="D3226" s="2">
        <v>45195</v>
      </c>
      <c r="E3226" t="s">
        <v>25</v>
      </c>
      <c r="F3226">
        <v>737.5</v>
      </c>
      <c r="G3226">
        <v>0</v>
      </c>
    </row>
    <row r="3227" spans="1:7" x14ac:dyDescent="0.3">
      <c r="A3227" s="2">
        <v>45197</v>
      </c>
      <c r="B3227" t="s">
        <v>2091</v>
      </c>
      <c r="C3227">
        <v>430</v>
      </c>
      <c r="D3227" s="2">
        <v>45196</v>
      </c>
      <c r="E3227" t="s">
        <v>25</v>
      </c>
      <c r="F3227">
        <v>430</v>
      </c>
      <c r="G3227">
        <v>0</v>
      </c>
    </row>
    <row r="3228" spans="1:7" x14ac:dyDescent="0.3">
      <c r="A3228" s="2">
        <v>45198</v>
      </c>
      <c r="B3228" t="s">
        <v>2092</v>
      </c>
      <c r="C3228">
        <v>782.5</v>
      </c>
      <c r="D3228" s="2">
        <v>45197</v>
      </c>
      <c r="E3228" t="s">
        <v>25</v>
      </c>
      <c r="F3228">
        <v>782.5</v>
      </c>
      <c r="G3228">
        <v>0</v>
      </c>
    </row>
    <row r="3229" spans="1:7" x14ac:dyDescent="0.3">
      <c r="A3229" s="2">
        <v>45201</v>
      </c>
      <c r="B3229" t="s">
        <v>2093</v>
      </c>
      <c r="C3229">
        <v>-873.32</v>
      </c>
      <c r="D3229" s="2">
        <v>45201</v>
      </c>
      <c r="E3229" t="s">
        <v>2004</v>
      </c>
      <c r="F3229">
        <v>-873.32</v>
      </c>
      <c r="G3229">
        <v>0</v>
      </c>
    </row>
    <row r="3230" spans="1:7" x14ac:dyDescent="0.3">
      <c r="A3230" s="2">
        <v>45201</v>
      </c>
      <c r="B3230" t="s">
        <v>2094</v>
      </c>
      <c r="C3230">
        <v>-34</v>
      </c>
      <c r="D3230" s="2">
        <v>45201</v>
      </c>
      <c r="E3230" t="s">
        <v>2004</v>
      </c>
      <c r="F3230">
        <v>-34</v>
      </c>
      <c r="G3230">
        <v>0</v>
      </c>
    </row>
    <row r="3231" spans="1:7" x14ac:dyDescent="0.3">
      <c r="A3231" s="2">
        <v>45201</v>
      </c>
      <c r="B3231" t="s">
        <v>2095</v>
      </c>
      <c r="C3231">
        <v>-65.33</v>
      </c>
      <c r="D3231" s="2">
        <v>45201</v>
      </c>
      <c r="E3231" t="s">
        <v>2004</v>
      </c>
      <c r="F3231">
        <v>-65.33</v>
      </c>
      <c r="G3231">
        <v>0</v>
      </c>
    </row>
    <row r="3232" spans="1:7" x14ac:dyDescent="0.3">
      <c r="A3232" s="2">
        <v>45201</v>
      </c>
      <c r="B3232" t="s">
        <v>2096</v>
      </c>
      <c r="C3232">
        <v>842.5</v>
      </c>
      <c r="D3232" s="2">
        <v>45198</v>
      </c>
      <c r="E3232" t="s">
        <v>25</v>
      </c>
      <c r="F3232">
        <v>842.5</v>
      </c>
      <c r="G3232">
        <v>0</v>
      </c>
    </row>
    <row r="3233" spans="1:7" x14ac:dyDescent="0.3">
      <c r="A3233" s="2">
        <v>45201</v>
      </c>
      <c r="B3233" t="s">
        <v>2097</v>
      </c>
      <c r="C3233">
        <v>3442.5</v>
      </c>
      <c r="D3233" s="2">
        <v>45199</v>
      </c>
      <c r="E3233" t="s">
        <v>25</v>
      </c>
      <c r="F3233">
        <v>3442.5</v>
      </c>
      <c r="G3233">
        <v>0</v>
      </c>
    </row>
    <row r="3234" spans="1:7" x14ac:dyDescent="0.3">
      <c r="A3234" s="2">
        <v>45202</v>
      </c>
      <c r="B3234" t="s">
        <v>2098</v>
      </c>
      <c r="C3234">
        <v>-572</v>
      </c>
      <c r="D3234" s="2">
        <v>45202</v>
      </c>
      <c r="E3234" t="s">
        <v>2004</v>
      </c>
      <c r="F3234">
        <v>-572</v>
      </c>
      <c r="G3234">
        <v>0</v>
      </c>
    </row>
    <row r="3235" spans="1:7" x14ac:dyDescent="0.3">
      <c r="A3235" s="2">
        <v>45202</v>
      </c>
      <c r="B3235" t="s">
        <v>2099</v>
      </c>
      <c r="C3235">
        <v>-157.87</v>
      </c>
      <c r="D3235" s="2">
        <v>45202</v>
      </c>
      <c r="E3235" t="s">
        <v>2004</v>
      </c>
      <c r="F3235">
        <v>-157.87</v>
      </c>
      <c r="G3235">
        <v>0</v>
      </c>
    </row>
    <row r="3236" spans="1:7" x14ac:dyDescent="0.3">
      <c r="A3236" s="2">
        <v>45202</v>
      </c>
      <c r="B3236" t="s">
        <v>2100</v>
      </c>
      <c r="C3236">
        <v>426.25</v>
      </c>
      <c r="D3236" s="2">
        <v>45201</v>
      </c>
      <c r="E3236" t="s">
        <v>25</v>
      </c>
      <c r="F3236">
        <v>426.25</v>
      </c>
      <c r="G3236">
        <v>0</v>
      </c>
    </row>
    <row r="3237" spans="1:7" x14ac:dyDescent="0.3">
      <c r="A3237" s="2">
        <v>45203</v>
      </c>
      <c r="B3237" t="s">
        <v>2101</v>
      </c>
      <c r="C3237">
        <v>-125</v>
      </c>
      <c r="D3237" s="2">
        <v>45203</v>
      </c>
      <c r="E3237" t="s">
        <v>2004</v>
      </c>
      <c r="F3237">
        <v>-125</v>
      </c>
      <c r="G3237">
        <v>0</v>
      </c>
    </row>
    <row r="3238" spans="1:7" x14ac:dyDescent="0.3">
      <c r="A3238" s="2">
        <v>45203</v>
      </c>
      <c r="B3238" t="s">
        <v>2102</v>
      </c>
      <c r="C3238">
        <v>3033.75</v>
      </c>
      <c r="D3238" s="2">
        <v>45202</v>
      </c>
      <c r="E3238" t="s">
        <v>25</v>
      </c>
      <c r="F3238">
        <v>3033.75</v>
      </c>
      <c r="G3238">
        <v>0</v>
      </c>
    </row>
    <row r="3239" spans="1:7" x14ac:dyDescent="0.3">
      <c r="A3239" s="2">
        <v>45204</v>
      </c>
      <c r="B3239" t="s">
        <v>2103</v>
      </c>
      <c r="C3239">
        <v>-66.14</v>
      </c>
      <c r="D3239" s="2">
        <v>45204</v>
      </c>
      <c r="E3239" t="s">
        <v>2004</v>
      </c>
      <c r="F3239">
        <v>-66.14</v>
      </c>
      <c r="G3239">
        <v>0</v>
      </c>
    </row>
    <row r="3240" spans="1:7" x14ac:dyDescent="0.3">
      <c r="A3240" s="2">
        <v>45204</v>
      </c>
      <c r="B3240" t="s">
        <v>2104</v>
      </c>
      <c r="C3240">
        <v>4680</v>
      </c>
      <c r="D3240" s="2">
        <v>45203</v>
      </c>
      <c r="E3240" t="s">
        <v>25</v>
      </c>
      <c r="F3240">
        <v>4680</v>
      </c>
      <c r="G3240">
        <v>0</v>
      </c>
    </row>
    <row r="3241" spans="1:7" x14ac:dyDescent="0.3">
      <c r="A3241" s="2">
        <v>45205</v>
      </c>
      <c r="B3241" t="s">
        <v>2105</v>
      </c>
      <c r="C3241">
        <v>2775</v>
      </c>
      <c r="D3241" s="2">
        <v>45204</v>
      </c>
      <c r="E3241" t="s">
        <v>25</v>
      </c>
      <c r="F3241">
        <v>2775</v>
      </c>
      <c r="G3241">
        <v>0</v>
      </c>
    </row>
    <row r="3242" spans="1:7" x14ac:dyDescent="0.3">
      <c r="A3242" s="2">
        <v>45209</v>
      </c>
      <c r="B3242" t="s">
        <v>2106</v>
      </c>
      <c r="C3242">
        <v>-217.75</v>
      </c>
      <c r="D3242" s="2">
        <v>45209</v>
      </c>
      <c r="E3242" t="s">
        <v>2004</v>
      </c>
      <c r="F3242">
        <v>-217.75</v>
      </c>
      <c r="G3242">
        <v>0</v>
      </c>
    </row>
    <row r="3243" spans="1:7" x14ac:dyDescent="0.3">
      <c r="A3243" s="2">
        <v>45209</v>
      </c>
      <c r="B3243" t="s">
        <v>2107</v>
      </c>
      <c r="C3243">
        <v>370</v>
      </c>
      <c r="D3243" s="2">
        <v>45207</v>
      </c>
      <c r="E3243" t="s">
        <v>25</v>
      </c>
      <c r="F3243">
        <v>370</v>
      </c>
      <c r="G3243">
        <v>0</v>
      </c>
    </row>
    <row r="3244" spans="1:7" x14ac:dyDescent="0.3">
      <c r="A3244" s="2">
        <v>45209</v>
      </c>
      <c r="B3244" t="s">
        <v>2108</v>
      </c>
      <c r="C3244">
        <v>412.5</v>
      </c>
      <c r="D3244" s="2">
        <v>45208</v>
      </c>
      <c r="E3244" t="s">
        <v>25</v>
      </c>
      <c r="F3244">
        <v>412.5</v>
      </c>
      <c r="G3244">
        <v>0</v>
      </c>
    </row>
    <row r="3245" spans="1:7" x14ac:dyDescent="0.3">
      <c r="A3245" s="2">
        <v>45209</v>
      </c>
      <c r="B3245" t="s">
        <v>2109</v>
      </c>
      <c r="C3245">
        <v>15260</v>
      </c>
      <c r="D3245" s="2">
        <v>45206</v>
      </c>
      <c r="E3245" t="s">
        <v>25</v>
      </c>
      <c r="F3245">
        <v>15260</v>
      </c>
      <c r="G3245">
        <v>0</v>
      </c>
    </row>
    <row r="3246" spans="1:7" x14ac:dyDescent="0.3">
      <c r="A3246" s="2">
        <v>45210</v>
      </c>
      <c r="B3246" t="s">
        <v>2110</v>
      </c>
      <c r="C3246">
        <v>-6500</v>
      </c>
      <c r="D3246" s="2">
        <v>45210</v>
      </c>
      <c r="E3246" t="s">
        <v>2004</v>
      </c>
      <c r="F3246">
        <v>-6500</v>
      </c>
      <c r="G3246">
        <v>0</v>
      </c>
    </row>
    <row r="3247" spans="1:7" x14ac:dyDescent="0.3">
      <c r="A3247" s="2">
        <v>45210</v>
      </c>
      <c r="B3247" t="s">
        <v>2111</v>
      </c>
      <c r="C3247">
        <v>1441.25</v>
      </c>
      <c r="D3247" s="2">
        <v>45209</v>
      </c>
      <c r="E3247" t="s">
        <v>25</v>
      </c>
      <c r="F3247">
        <v>1441.25</v>
      </c>
      <c r="G3247">
        <v>0</v>
      </c>
    </row>
    <row r="3248" spans="1:7" x14ac:dyDescent="0.3">
      <c r="A3248" s="2">
        <v>45211</v>
      </c>
      <c r="B3248" t="s">
        <v>2112</v>
      </c>
      <c r="C3248">
        <v>4700</v>
      </c>
      <c r="D3248" s="2">
        <v>45210</v>
      </c>
      <c r="E3248" t="s">
        <v>25</v>
      </c>
      <c r="F3248">
        <v>4700</v>
      </c>
      <c r="G3248">
        <v>0</v>
      </c>
    </row>
    <row r="3249" spans="1:7" x14ac:dyDescent="0.3">
      <c r="A3249" s="2">
        <v>45212</v>
      </c>
      <c r="B3249" t="s">
        <v>2113</v>
      </c>
      <c r="C3249">
        <v>416.25</v>
      </c>
      <c r="D3249" s="2">
        <v>45211</v>
      </c>
      <c r="E3249" t="s">
        <v>25</v>
      </c>
      <c r="F3249">
        <v>416.25</v>
      </c>
      <c r="G3249">
        <v>0</v>
      </c>
    </row>
    <row r="3250" spans="1:7" x14ac:dyDescent="0.3">
      <c r="A3250" s="2">
        <v>45215</v>
      </c>
      <c r="B3250" t="s">
        <v>2114</v>
      </c>
      <c r="C3250">
        <v>75</v>
      </c>
      <c r="D3250" s="2">
        <v>45214</v>
      </c>
      <c r="E3250" t="s">
        <v>25</v>
      </c>
      <c r="F3250">
        <v>75</v>
      </c>
      <c r="G3250">
        <v>0</v>
      </c>
    </row>
    <row r="3251" spans="1:7" x14ac:dyDescent="0.3">
      <c r="A3251" s="2">
        <v>45215</v>
      </c>
      <c r="B3251" t="s">
        <v>2053</v>
      </c>
      <c r="C3251">
        <v>1210</v>
      </c>
      <c r="D3251" s="2">
        <v>45215</v>
      </c>
      <c r="E3251" t="s">
        <v>25</v>
      </c>
      <c r="F3251">
        <v>1210</v>
      </c>
      <c r="G3251">
        <v>0</v>
      </c>
    </row>
    <row r="3252" spans="1:7" x14ac:dyDescent="0.3">
      <c r="A3252" s="2">
        <v>45216</v>
      </c>
      <c r="B3252" t="s">
        <v>2115</v>
      </c>
      <c r="C3252">
        <v>-73.680000000000007</v>
      </c>
      <c r="D3252" s="2">
        <v>45216</v>
      </c>
      <c r="E3252" t="s">
        <v>2004</v>
      </c>
      <c r="F3252">
        <v>-73.680000000000007</v>
      </c>
      <c r="G3252">
        <v>0</v>
      </c>
    </row>
    <row r="3253" spans="1:7" x14ac:dyDescent="0.3">
      <c r="A3253" s="2">
        <v>45216</v>
      </c>
      <c r="B3253" t="s">
        <v>2116</v>
      </c>
      <c r="C3253">
        <v>206.25</v>
      </c>
      <c r="D3253" s="2">
        <v>45215</v>
      </c>
      <c r="E3253" t="s">
        <v>25</v>
      </c>
      <c r="F3253">
        <v>206.25</v>
      </c>
      <c r="G3253">
        <v>0</v>
      </c>
    </row>
    <row r="3254" spans="1:7" x14ac:dyDescent="0.3">
      <c r="A3254" s="2">
        <v>45217</v>
      </c>
      <c r="B3254" t="s">
        <v>2117</v>
      </c>
      <c r="C3254">
        <v>-10.88</v>
      </c>
      <c r="D3254" s="2">
        <v>45217</v>
      </c>
      <c r="E3254" t="s">
        <v>2004</v>
      </c>
      <c r="F3254">
        <v>-10.88</v>
      </c>
      <c r="G3254">
        <v>0</v>
      </c>
    </row>
    <row r="3255" spans="1:7" x14ac:dyDescent="0.3">
      <c r="A3255" s="2">
        <v>45217</v>
      </c>
      <c r="B3255" t="s">
        <v>2118</v>
      </c>
      <c r="C3255">
        <v>371.25</v>
      </c>
      <c r="D3255" s="2">
        <v>45216</v>
      </c>
      <c r="E3255" t="s">
        <v>25</v>
      </c>
      <c r="F3255">
        <v>371.25</v>
      </c>
      <c r="G3255">
        <v>0</v>
      </c>
    </row>
    <row r="3256" spans="1:7" x14ac:dyDescent="0.3">
      <c r="A3256" s="2">
        <v>45218</v>
      </c>
      <c r="B3256" t="s">
        <v>2119</v>
      </c>
      <c r="C3256">
        <v>-25</v>
      </c>
      <c r="D3256" s="2">
        <v>45218</v>
      </c>
      <c r="E3256" t="s">
        <v>2004</v>
      </c>
      <c r="F3256">
        <v>-25</v>
      </c>
      <c r="G3256">
        <v>0</v>
      </c>
    </row>
    <row r="3257" spans="1:7" x14ac:dyDescent="0.3">
      <c r="A3257" s="2">
        <v>45219</v>
      </c>
      <c r="B3257" t="s">
        <v>2120</v>
      </c>
      <c r="C3257">
        <v>412.5</v>
      </c>
      <c r="D3257" s="2">
        <v>45218</v>
      </c>
      <c r="E3257" t="s">
        <v>25</v>
      </c>
      <c r="F3257">
        <v>412.5</v>
      </c>
      <c r="G3257">
        <v>0</v>
      </c>
    </row>
    <row r="3258" spans="1:7" x14ac:dyDescent="0.3">
      <c r="A3258" s="2">
        <v>45222</v>
      </c>
      <c r="B3258" t="s">
        <v>2121</v>
      </c>
      <c r="C3258">
        <v>622.5</v>
      </c>
      <c r="D3258" s="2">
        <v>45220</v>
      </c>
      <c r="E3258" t="s">
        <v>25</v>
      </c>
      <c r="F3258">
        <v>622.5</v>
      </c>
      <c r="G3258">
        <v>0</v>
      </c>
    </row>
    <row r="3259" spans="1:7" x14ac:dyDescent="0.3">
      <c r="A3259" s="2">
        <v>45222</v>
      </c>
      <c r="B3259" t="s">
        <v>2122</v>
      </c>
      <c r="C3259">
        <v>840</v>
      </c>
      <c r="D3259" s="2">
        <v>45219</v>
      </c>
      <c r="E3259" t="s">
        <v>25</v>
      </c>
      <c r="F3259">
        <v>840</v>
      </c>
      <c r="G3259">
        <v>0</v>
      </c>
    </row>
    <row r="3260" spans="1:7" x14ac:dyDescent="0.3">
      <c r="A3260" s="2">
        <v>45223</v>
      </c>
      <c r="B3260" t="s">
        <v>2123</v>
      </c>
      <c r="C3260">
        <v>165</v>
      </c>
      <c r="D3260" s="2">
        <v>45222</v>
      </c>
      <c r="E3260" t="s">
        <v>25</v>
      </c>
      <c r="F3260">
        <v>165</v>
      </c>
      <c r="G3260">
        <v>0</v>
      </c>
    </row>
    <row r="3261" spans="1:7" x14ac:dyDescent="0.3">
      <c r="A3261" s="2">
        <v>45223</v>
      </c>
      <c r="B3261" t="s">
        <v>2124</v>
      </c>
      <c r="C3261">
        <v>3080</v>
      </c>
      <c r="D3261" s="2">
        <v>45223</v>
      </c>
      <c r="E3261" t="s">
        <v>25</v>
      </c>
      <c r="F3261">
        <v>3080</v>
      </c>
      <c r="G3261">
        <v>0</v>
      </c>
    </row>
    <row r="3262" spans="1:7" x14ac:dyDescent="0.3">
      <c r="A3262" s="2">
        <v>45224</v>
      </c>
      <c r="B3262" t="s">
        <v>2125</v>
      </c>
      <c r="C3262">
        <v>206.25</v>
      </c>
      <c r="D3262" s="2">
        <v>45223</v>
      </c>
      <c r="E3262" t="s">
        <v>25</v>
      </c>
      <c r="F3262">
        <v>206.25</v>
      </c>
      <c r="G3262">
        <v>0</v>
      </c>
    </row>
    <row r="3263" spans="1:7" x14ac:dyDescent="0.3">
      <c r="A3263" s="2">
        <v>45225</v>
      </c>
      <c r="B3263" t="s">
        <v>2126</v>
      </c>
      <c r="C3263">
        <v>-6596.29</v>
      </c>
      <c r="D3263" s="2">
        <v>45225</v>
      </c>
      <c r="E3263" t="s">
        <v>2004</v>
      </c>
      <c r="F3263">
        <v>-6596.29</v>
      </c>
      <c r="G3263">
        <v>0</v>
      </c>
    </row>
    <row r="3264" spans="1:7" x14ac:dyDescent="0.3">
      <c r="A3264" s="2">
        <v>45225</v>
      </c>
      <c r="B3264" t="s">
        <v>2127</v>
      </c>
      <c r="C3264">
        <v>-10419.92</v>
      </c>
      <c r="D3264" s="2">
        <v>45225</v>
      </c>
      <c r="E3264" t="s">
        <v>2004</v>
      </c>
      <c r="F3264">
        <v>-10419.92</v>
      </c>
      <c r="G3264">
        <v>0</v>
      </c>
    </row>
    <row r="3265" spans="1:7" x14ac:dyDescent="0.3">
      <c r="A3265" s="2">
        <v>45225</v>
      </c>
      <c r="B3265" t="s">
        <v>2128</v>
      </c>
      <c r="C3265">
        <v>-157.75</v>
      </c>
      <c r="D3265" s="2">
        <v>45225</v>
      </c>
      <c r="E3265" t="s">
        <v>2004</v>
      </c>
      <c r="F3265">
        <v>-157.75</v>
      </c>
      <c r="G3265">
        <v>0</v>
      </c>
    </row>
    <row r="3266" spans="1:7" x14ac:dyDescent="0.3">
      <c r="A3266" s="2">
        <v>45226</v>
      </c>
      <c r="B3266" t="s">
        <v>2129</v>
      </c>
      <c r="C3266">
        <v>-105.95</v>
      </c>
      <c r="D3266" s="2">
        <v>45226</v>
      </c>
      <c r="E3266" t="s">
        <v>2004</v>
      </c>
      <c r="F3266">
        <v>-105.95</v>
      </c>
      <c r="G3266">
        <v>0</v>
      </c>
    </row>
    <row r="3267" spans="1:7" x14ac:dyDescent="0.3">
      <c r="A3267" s="2">
        <v>45229</v>
      </c>
      <c r="B3267" t="s">
        <v>2130</v>
      </c>
      <c r="C3267">
        <v>-44.99</v>
      </c>
      <c r="D3267" s="2">
        <v>45229</v>
      </c>
      <c r="E3267" t="s">
        <v>2004</v>
      </c>
      <c r="F3267">
        <v>-44.99</v>
      </c>
      <c r="G3267">
        <v>0</v>
      </c>
    </row>
    <row r="3268" spans="1:7" x14ac:dyDescent="0.3">
      <c r="A3268" s="2">
        <v>45229</v>
      </c>
      <c r="B3268" t="s">
        <v>2131</v>
      </c>
      <c r="C3268">
        <v>481.25</v>
      </c>
      <c r="D3268" s="2">
        <v>45227</v>
      </c>
      <c r="E3268" t="s">
        <v>25</v>
      </c>
      <c r="F3268">
        <v>481.25</v>
      </c>
      <c r="G3268">
        <v>0</v>
      </c>
    </row>
    <row r="3269" spans="1:7" x14ac:dyDescent="0.3">
      <c r="A3269" s="2">
        <v>45229</v>
      </c>
      <c r="B3269" t="s">
        <v>2132</v>
      </c>
      <c r="C3269">
        <v>595</v>
      </c>
      <c r="D3269" s="2">
        <v>45226</v>
      </c>
      <c r="E3269" t="s">
        <v>25</v>
      </c>
      <c r="F3269">
        <v>595</v>
      </c>
      <c r="G3269">
        <v>0</v>
      </c>
    </row>
    <row r="3270" spans="1:7" x14ac:dyDescent="0.3">
      <c r="A3270" s="2">
        <v>45230</v>
      </c>
      <c r="B3270" t="s">
        <v>2133</v>
      </c>
      <c r="C3270">
        <v>165</v>
      </c>
      <c r="D3270" s="2">
        <v>45229</v>
      </c>
      <c r="E3270" t="s">
        <v>25</v>
      </c>
      <c r="F3270">
        <v>165</v>
      </c>
      <c r="G3270">
        <v>0</v>
      </c>
    </row>
    <row r="3271" spans="1:7" x14ac:dyDescent="0.3">
      <c r="A3271" s="2">
        <v>45231</v>
      </c>
      <c r="B3271" t="s">
        <v>2134</v>
      </c>
      <c r="C3271">
        <v>-65.33</v>
      </c>
      <c r="D3271" s="2">
        <v>45231</v>
      </c>
      <c r="E3271" t="s">
        <v>2004</v>
      </c>
      <c r="F3271">
        <v>-65.33</v>
      </c>
      <c r="G3271">
        <v>0</v>
      </c>
    </row>
    <row r="3272" spans="1:7" x14ac:dyDescent="0.3">
      <c r="A3272" s="2">
        <v>45231</v>
      </c>
      <c r="B3272" t="s">
        <v>2135</v>
      </c>
      <c r="C3272">
        <v>110</v>
      </c>
      <c r="D3272" s="2">
        <v>45230</v>
      </c>
      <c r="E3272" t="s">
        <v>25</v>
      </c>
      <c r="F3272">
        <v>110</v>
      </c>
      <c r="G3272">
        <v>0</v>
      </c>
    </row>
    <row r="3273" spans="1:7" x14ac:dyDescent="0.3">
      <c r="A3273" s="2">
        <v>45232</v>
      </c>
      <c r="B3273" t="s">
        <v>2136</v>
      </c>
      <c r="C3273">
        <v>-2094.88</v>
      </c>
      <c r="D3273" s="2">
        <v>45232</v>
      </c>
      <c r="E3273" t="s">
        <v>2004</v>
      </c>
      <c r="F3273">
        <v>-2094.88</v>
      </c>
      <c r="G3273">
        <v>0</v>
      </c>
    </row>
    <row r="3274" spans="1:7" x14ac:dyDescent="0.3">
      <c r="A3274" s="2">
        <v>45232</v>
      </c>
      <c r="B3274" t="s">
        <v>2137</v>
      </c>
      <c r="C3274">
        <v>-34</v>
      </c>
      <c r="D3274" s="2">
        <v>45232</v>
      </c>
      <c r="E3274" t="s">
        <v>2004</v>
      </c>
      <c r="F3274">
        <v>-34</v>
      </c>
      <c r="G3274">
        <v>0</v>
      </c>
    </row>
    <row r="3275" spans="1:7" x14ac:dyDescent="0.3">
      <c r="A3275" s="2">
        <v>45232</v>
      </c>
      <c r="B3275" t="s">
        <v>2138</v>
      </c>
      <c r="C3275">
        <v>2543.75</v>
      </c>
      <c r="D3275" s="2">
        <v>45231</v>
      </c>
      <c r="E3275" t="s">
        <v>25</v>
      </c>
      <c r="F3275">
        <v>2543.75</v>
      </c>
      <c r="G3275">
        <v>0</v>
      </c>
    </row>
    <row r="3276" spans="1:7" x14ac:dyDescent="0.3">
      <c r="A3276" s="2">
        <v>45233</v>
      </c>
      <c r="B3276" t="s">
        <v>2139</v>
      </c>
      <c r="C3276">
        <v>-157.87</v>
      </c>
      <c r="D3276" s="2">
        <v>45233</v>
      </c>
      <c r="E3276" t="s">
        <v>2004</v>
      </c>
      <c r="F3276">
        <v>-157.87</v>
      </c>
      <c r="G3276">
        <v>0</v>
      </c>
    </row>
    <row r="3277" spans="1:7" x14ac:dyDescent="0.3">
      <c r="A3277" s="2">
        <v>45233</v>
      </c>
      <c r="B3277" t="s">
        <v>2140</v>
      </c>
      <c r="C3277">
        <v>5871.25</v>
      </c>
      <c r="D3277" s="2">
        <v>45232</v>
      </c>
      <c r="E3277" t="s">
        <v>25</v>
      </c>
      <c r="F3277">
        <v>5871.25</v>
      </c>
      <c r="G3277">
        <v>0</v>
      </c>
    </row>
    <row r="3278" spans="1:7" x14ac:dyDescent="0.3">
      <c r="A3278" s="2">
        <v>45236</v>
      </c>
      <c r="B3278" t="s">
        <v>2141</v>
      </c>
      <c r="C3278">
        <v>206.25</v>
      </c>
      <c r="D3278" s="2">
        <v>45235</v>
      </c>
      <c r="E3278" t="s">
        <v>25</v>
      </c>
      <c r="F3278">
        <v>206.25</v>
      </c>
      <c r="G3278">
        <v>0</v>
      </c>
    </row>
    <row r="3279" spans="1:7" x14ac:dyDescent="0.3">
      <c r="A3279" s="2">
        <v>45236</v>
      </c>
      <c r="B3279" t="s">
        <v>2142</v>
      </c>
      <c r="C3279">
        <v>701.25</v>
      </c>
      <c r="D3279" s="2">
        <v>45234</v>
      </c>
      <c r="E3279" t="s">
        <v>25</v>
      </c>
      <c r="F3279">
        <v>701.25</v>
      </c>
      <c r="G3279">
        <v>0</v>
      </c>
    </row>
    <row r="3280" spans="1:7" x14ac:dyDescent="0.3">
      <c r="A3280" s="2">
        <v>45236</v>
      </c>
      <c r="B3280" t="s">
        <v>2143</v>
      </c>
      <c r="C3280">
        <v>880</v>
      </c>
      <c r="D3280" s="2">
        <v>45233</v>
      </c>
      <c r="E3280" t="s">
        <v>25</v>
      </c>
      <c r="F3280">
        <v>880</v>
      </c>
      <c r="G3280">
        <v>0</v>
      </c>
    </row>
    <row r="3281" spans="1:7" x14ac:dyDescent="0.3">
      <c r="A3281" s="2">
        <v>45238</v>
      </c>
      <c r="B3281" t="s">
        <v>2144</v>
      </c>
      <c r="C3281">
        <v>165</v>
      </c>
      <c r="D3281" s="2">
        <v>45237</v>
      </c>
      <c r="E3281" t="s">
        <v>25</v>
      </c>
      <c r="F3281">
        <v>165</v>
      </c>
      <c r="G3281">
        <v>0</v>
      </c>
    </row>
    <row r="3282" spans="1:7" x14ac:dyDescent="0.3">
      <c r="A3282" s="2">
        <v>45239</v>
      </c>
      <c r="B3282" t="s">
        <v>2145</v>
      </c>
      <c r="C3282">
        <v>-13600</v>
      </c>
      <c r="D3282" s="2">
        <v>45239</v>
      </c>
      <c r="E3282" t="s">
        <v>2004</v>
      </c>
      <c r="F3282">
        <v>-13600</v>
      </c>
      <c r="G3282">
        <v>0</v>
      </c>
    </row>
    <row r="3283" spans="1:7" x14ac:dyDescent="0.3">
      <c r="A3283" s="2">
        <v>45239</v>
      </c>
      <c r="B3283" t="s">
        <v>2146</v>
      </c>
      <c r="C3283">
        <v>416.25</v>
      </c>
      <c r="D3283" s="2">
        <v>45238</v>
      </c>
      <c r="E3283" t="s">
        <v>25</v>
      </c>
      <c r="F3283">
        <v>416.25</v>
      </c>
      <c r="G3283">
        <v>0</v>
      </c>
    </row>
    <row r="3284" spans="1:7" x14ac:dyDescent="0.3">
      <c r="A3284" s="2">
        <v>45239</v>
      </c>
      <c r="B3284" t="s">
        <v>2147</v>
      </c>
      <c r="C3284">
        <v>440</v>
      </c>
      <c r="D3284" s="2">
        <v>45239</v>
      </c>
      <c r="E3284" t="s">
        <v>25</v>
      </c>
      <c r="F3284">
        <v>440</v>
      </c>
      <c r="G3284">
        <v>0</v>
      </c>
    </row>
    <row r="3285" spans="1:7" x14ac:dyDescent="0.3">
      <c r="A3285" s="2">
        <v>45240</v>
      </c>
      <c r="B3285" t="s">
        <v>2148</v>
      </c>
      <c r="C3285">
        <v>-217.75</v>
      </c>
      <c r="D3285" s="2">
        <v>45240</v>
      </c>
      <c r="E3285" t="s">
        <v>2004</v>
      </c>
      <c r="F3285">
        <v>-217.75</v>
      </c>
      <c r="G3285">
        <v>0</v>
      </c>
    </row>
    <row r="3286" spans="1:7" x14ac:dyDescent="0.3">
      <c r="A3286" s="2">
        <v>45243</v>
      </c>
      <c r="B3286" t="s">
        <v>2149</v>
      </c>
      <c r="C3286">
        <v>330</v>
      </c>
      <c r="D3286" s="2">
        <v>45241</v>
      </c>
      <c r="E3286" t="s">
        <v>25</v>
      </c>
      <c r="F3286">
        <v>330</v>
      </c>
      <c r="G3286">
        <v>0</v>
      </c>
    </row>
    <row r="3287" spans="1:7" x14ac:dyDescent="0.3">
      <c r="A3287" s="2">
        <v>45243</v>
      </c>
      <c r="B3287" t="s">
        <v>2150</v>
      </c>
      <c r="C3287">
        <v>750</v>
      </c>
      <c r="D3287" s="2">
        <v>45242</v>
      </c>
      <c r="E3287" t="s">
        <v>25</v>
      </c>
      <c r="F3287">
        <v>750</v>
      </c>
      <c r="G3287">
        <v>0</v>
      </c>
    </row>
    <row r="3288" spans="1:7" x14ac:dyDescent="0.3">
      <c r="A3288" s="2">
        <v>45243</v>
      </c>
      <c r="B3288" t="s">
        <v>2151</v>
      </c>
      <c r="C3288">
        <v>5500</v>
      </c>
      <c r="D3288" s="2">
        <v>45240</v>
      </c>
      <c r="E3288" t="s">
        <v>25</v>
      </c>
      <c r="F3288">
        <v>5500</v>
      </c>
      <c r="G3288">
        <v>0</v>
      </c>
    </row>
    <row r="3289" spans="1:7" x14ac:dyDescent="0.3">
      <c r="A3289" s="2">
        <v>45244</v>
      </c>
      <c r="B3289" t="s">
        <v>2152</v>
      </c>
      <c r="C3289">
        <v>206.25</v>
      </c>
      <c r="D3289" s="2">
        <v>45243</v>
      </c>
      <c r="E3289" t="s">
        <v>25</v>
      </c>
      <c r="F3289">
        <v>206.25</v>
      </c>
      <c r="G3289">
        <v>0</v>
      </c>
    </row>
    <row r="3290" spans="1:7" x14ac:dyDescent="0.3">
      <c r="A3290" s="2">
        <v>45245</v>
      </c>
      <c r="B3290" t="s">
        <v>2153</v>
      </c>
      <c r="C3290">
        <v>330</v>
      </c>
      <c r="D3290" s="2">
        <v>45244</v>
      </c>
      <c r="E3290" t="s">
        <v>25</v>
      </c>
      <c r="F3290">
        <v>330</v>
      </c>
      <c r="G3290">
        <v>0</v>
      </c>
    </row>
    <row r="3291" spans="1:7" x14ac:dyDescent="0.3">
      <c r="A3291" s="2">
        <v>45246</v>
      </c>
      <c r="B3291" t="s">
        <v>2154</v>
      </c>
      <c r="C3291">
        <v>1372.5</v>
      </c>
      <c r="D3291" s="2">
        <v>45245</v>
      </c>
      <c r="E3291" t="s">
        <v>25</v>
      </c>
      <c r="F3291">
        <v>1372.5</v>
      </c>
      <c r="G3291">
        <v>0</v>
      </c>
    </row>
    <row r="3292" spans="1:7" x14ac:dyDescent="0.3">
      <c r="A3292" s="2">
        <v>45247</v>
      </c>
      <c r="B3292" t="s">
        <v>2155</v>
      </c>
      <c r="C3292">
        <v>-66.83</v>
      </c>
      <c r="D3292" s="2">
        <v>45247</v>
      </c>
      <c r="E3292" t="s">
        <v>2004</v>
      </c>
      <c r="F3292">
        <v>-66.83</v>
      </c>
      <c r="G3292">
        <v>0</v>
      </c>
    </row>
    <row r="3293" spans="1:7" x14ac:dyDescent="0.3">
      <c r="A3293" s="2">
        <v>45247</v>
      </c>
      <c r="B3293" t="s">
        <v>2156</v>
      </c>
      <c r="C3293">
        <v>1950</v>
      </c>
      <c r="D3293" s="2">
        <v>45246</v>
      </c>
      <c r="E3293" t="s">
        <v>25</v>
      </c>
      <c r="F3293">
        <v>1950</v>
      </c>
      <c r="G3293">
        <v>0</v>
      </c>
    </row>
    <row r="3294" spans="1:7" x14ac:dyDescent="0.3">
      <c r="A3294" s="2">
        <v>45250</v>
      </c>
      <c r="B3294" t="s">
        <v>2157</v>
      </c>
      <c r="C3294">
        <v>-25</v>
      </c>
      <c r="D3294" s="2">
        <v>45250</v>
      </c>
      <c r="E3294" t="s">
        <v>2004</v>
      </c>
      <c r="F3294">
        <v>-25</v>
      </c>
      <c r="G3294">
        <v>0</v>
      </c>
    </row>
    <row r="3295" spans="1:7" x14ac:dyDescent="0.3">
      <c r="A3295" s="2">
        <v>45250</v>
      </c>
      <c r="B3295" t="s">
        <v>2158</v>
      </c>
      <c r="C3295">
        <v>-10.88</v>
      </c>
      <c r="D3295" s="2">
        <v>45250</v>
      </c>
      <c r="E3295" t="s">
        <v>2004</v>
      </c>
      <c r="F3295">
        <v>-10.88</v>
      </c>
      <c r="G3295">
        <v>0</v>
      </c>
    </row>
    <row r="3296" spans="1:7" x14ac:dyDescent="0.3">
      <c r="A3296" s="2">
        <v>45250</v>
      </c>
      <c r="B3296" t="s">
        <v>2159</v>
      </c>
      <c r="C3296">
        <v>1815</v>
      </c>
      <c r="D3296" s="2">
        <v>45249</v>
      </c>
      <c r="E3296" t="s">
        <v>25</v>
      </c>
      <c r="F3296">
        <v>1815</v>
      </c>
      <c r="G3296">
        <v>0</v>
      </c>
    </row>
    <row r="3297" spans="1:7" x14ac:dyDescent="0.3">
      <c r="A3297" s="2">
        <v>45250</v>
      </c>
      <c r="B3297" t="s">
        <v>2160</v>
      </c>
      <c r="C3297">
        <v>11985</v>
      </c>
      <c r="D3297" s="2">
        <v>45248</v>
      </c>
      <c r="E3297" t="s">
        <v>25</v>
      </c>
      <c r="F3297">
        <v>11985</v>
      </c>
      <c r="G3297">
        <v>0</v>
      </c>
    </row>
    <row r="3298" spans="1:7" x14ac:dyDescent="0.3">
      <c r="A3298" s="2">
        <v>45250</v>
      </c>
      <c r="B3298" t="s">
        <v>2161</v>
      </c>
      <c r="C3298">
        <v>14096.25</v>
      </c>
      <c r="D3298" s="2">
        <v>45247</v>
      </c>
      <c r="E3298" t="s">
        <v>25</v>
      </c>
      <c r="F3298">
        <v>14096.25</v>
      </c>
      <c r="G3298">
        <v>0</v>
      </c>
    </row>
    <row r="3299" spans="1:7" x14ac:dyDescent="0.3">
      <c r="A3299" s="2">
        <v>45251</v>
      </c>
      <c r="B3299" t="s">
        <v>2162</v>
      </c>
      <c r="C3299">
        <v>1785</v>
      </c>
      <c r="D3299" s="2">
        <v>45250</v>
      </c>
      <c r="E3299" t="s">
        <v>25</v>
      </c>
      <c r="F3299">
        <v>1785</v>
      </c>
      <c r="G3299">
        <v>0</v>
      </c>
    </row>
    <row r="3300" spans="1:7" x14ac:dyDescent="0.3">
      <c r="A3300" s="2">
        <v>45252</v>
      </c>
      <c r="B3300" t="s">
        <v>2163</v>
      </c>
      <c r="C3300">
        <v>17642.5</v>
      </c>
      <c r="D3300" s="2">
        <v>45251</v>
      </c>
      <c r="E3300" t="s">
        <v>25</v>
      </c>
      <c r="F3300">
        <v>17642.5</v>
      </c>
      <c r="G3300">
        <v>0</v>
      </c>
    </row>
    <row r="3301" spans="1:7" x14ac:dyDescent="0.3">
      <c r="A3301" s="2">
        <v>45254</v>
      </c>
      <c r="B3301" t="s">
        <v>2164</v>
      </c>
      <c r="C3301">
        <v>1485</v>
      </c>
      <c r="D3301" s="2">
        <v>45253</v>
      </c>
      <c r="E3301" t="s">
        <v>25</v>
      </c>
      <c r="F3301">
        <v>1485</v>
      </c>
      <c r="G3301">
        <v>0</v>
      </c>
    </row>
    <row r="3302" spans="1:7" x14ac:dyDescent="0.3">
      <c r="A3302" s="2">
        <v>45254</v>
      </c>
      <c r="B3302" t="s">
        <v>2165</v>
      </c>
      <c r="C3302">
        <v>5925</v>
      </c>
      <c r="D3302" s="2">
        <v>45252</v>
      </c>
      <c r="E3302" t="s">
        <v>25</v>
      </c>
      <c r="F3302">
        <v>5925</v>
      </c>
      <c r="G3302">
        <v>0</v>
      </c>
    </row>
    <row r="3303" spans="1:7" x14ac:dyDescent="0.3">
      <c r="A3303" s="2">
        <v>45257</v>
      </c>
      <c r="B3303" t="s">
        <v>2166</v>
      </c>
      <c r="C3303">
        <v>330</v>
      </c>
      <c r="D3303" s="2">
        <v>45256</v>
      </c>
      <c r="E3303" t="s">
        <v>25</v>
      </c>
      <c r="F3303">
        <v>330</v>
      </c>
      <c r="G3303">
        <v>0</v>
      </c>
    </row>
    <row r="3304" spans="1:7" x14ac:dyDescent="0.3">
      <c r="A3304" s="2">
        <v>45257</v>
      </c>
      <c r="B3304" t="s">
        <v>2167</v>
      </c>
      <c r="C3304">
        <v>465</v>
      </c>
      <c r="D3304" s="2">
        <v>45254</v>
      </c>
      <c r="E3304" t="s">
        <v>25</v>
      </c>
      <c r="F3304">
        <v>465</v>
      </c>
      <c r="G3304">
        <v>0</v>
      </c>
    </row>
    <row r="3305" spans="1:7" x14ac:dyDescent="0.3">
      <c r="A3305" s="2">
        <v>45257</v>
      </c>
      <c r="B3305" t="s">
        <v>2168</v>
      </c>
      <c r="C3305">
        <v>1196.25</v>
      </c>
      <c r="D3305" s="2">
        <v>45255</v>
      </c>
      <c r="E3305" t="s">
        <v>25</v>
      </c>
      <c r="F3305">
        <v>1196.25</v>
      </c>
      <c r="G3305">
        <v>0</v>
      </c>
    </row>
    <row r="3306" spans="1:7" x14ac:dyDescent="0.3">
      <c r="A3306" s="2">
        <v>45258</v>
      </c>
      <c r="B3306" t="s">
        <v>2169</v>
      </c>
      <c r="C3306">
        <v>-384</v>
      </c>
      <c r="D3306" s="2">
        <v>45258</v>
      </c>
      <c r="E3306" t="s">
        <v>2004</v>
      </c>
      <c r="F3306">
        <v>-384</v>
      </c>
      <c r="G3306">
        <v>0</v>
      </c>
    </row>
    <row r="3307" spans="1:7" x14ac:dyDescent="0.3">
      <c r="A3307" s="2">
        <v>45258</v>
      </c>
      <c r="B3307" t="s">
        <v>2170</v>
      </c>
      <c r="C3307">
        <v>1485</v>
      </c>
      <c r="D3307" s="2">
        <v>45257</v>
      </c>
      <c r="E3307" t="s">
        <v>25</v>
      </c>
      <c r="F3307">
        <v>1485</v>
      </c>
      <c r="G3307">
        <v>0</v>
      </c>
    </row>
    <row r="3308" spans="1:7" x14ac:dyDescent="0.3">
      <c r="A3308" s="2">
        <v>45259</v>
      </c>
      <c r="B3308" t="s">
        <v>2171</v>
      </c>
      <c r="C3308">
        <v>9426.25</v>
      </c>
      <c r="D3308" s="2">
        <v>45258</v>
      </c>
      <c r="E3308" t="s">
        <v>25</v>
      </c>
      <c r="F3308">
        <v>9426.25</v>
      </c>
      <c r="G3308">
        <v>0</v>
      </c>
    </row>
    <row r="3309" spans="1:7" x14ac:dyDescent="0.3">
      <c r="A3309" s="2">
        <v>45260</v>
      </c>
      <c r="B3309" t="s">
        <v>2172</v>
      </c>
      <c r="C3309">
        <v>-6030</v>
      </c>
      <c r="D3309" s="2">
        <v>45260</v>
      </c>
      <c r="E3309" t="s">
        <v>2004</v>
      </c>
      <c r="F3309">
        <v>-6030</v>
      </c>
      <c r="G3309">
        <v>0</v>
      </c>
    </row>
    <row r="3310" spans="1:7" x14ac:dyDescent="0.3">
      <c r="A3310" s="2">
        <v>45260</v>
      </c>
      <c r="B3310" t="s">
        <v>2173</v>
      </c>
      <c r="C3310">
        <v>2115</v>
      </c>
      <c r="D3310" s="2">
        <v>45259</v>
      </c>
      <c r="E3310" t="s">
        <v>25</v>
      </c>
      <c r="F3310">
        <v>2115</v>
      </c>
      <c r="G3310">
        <v>0</v>
      </c>
    </row>
    <row r="3311" spans="1:7" x14ac:dyDescent="0.3">
      <c r="A3311" s="2">
        <v>45261</v>
      </c>
      <c r="B3311" t="s">
        <v>2174</v>
      </c>
      <c r="C3311">
        <v>-65.33</v>
      </c>
      <c r="D3311" s="2">
        <v>45261</v>
      </c>
      <c r="E3311" t="s">
        <v>2004</v>
      </c>
      <c r="F3311">
        <v>-65.33</v>
      </c>
      <c r="G3311">
        <v>0</v>
      </c>
    </row>
    <row r="3312" spans="1:7" x14ac:dyDescent="0.3">
      <c r="A3312" s="2">
        <v>45261</v>
      </c>
      <c r="B3312" t="s">
        <v>2175</v>
      </c>
      <c r="C3312">
        <v>-34</v>
      </c>
      <c r="D3312" s="2">
        <v>45261</v>
      </c>
      <c r="E3312" t="s">
        <v>2004</v>
      </c>
      <c r="F3312">
        <v>-34</v>
      </c>
      <c r="G3312">
        <v>0</v>
      </c>
    </row>
    <row r="3313" spans="1:7" x14ac:dyDescent="0.3">
      <c r="A3313" s="2">
        <v>45261</v>
      </c>
      <c r="B3313" t="s">
        <v>2176</v>
      </c>
      <c r="C3313">
        <v>300</v>
      </c>
      <c r="D3313" s="2">
        <v>45261</v>
      </c>
      <c r="E3313" t="s">
        <v>25</v>
      </c>
      <c r="F3313">
        <v>300</v>
      </c>
      <c r="G3313">
        <v>0</v>
      </c>
    </row>
    <row r="3314" spans="1:7" x14ac:dyDescent="0.3">
      <c r="A3314" s="2">
        <v>45261</v>
      </c>
      <c r="B3314" t="s">
        <v>2177</v>
      </c>
      <c r="C3314">
        <v>1020</v>
      </c>
      <c r="D3314" s="2">
        <v>45260</v>
      </c>
      <c r="E3314" t="s">
        <v>25</v>
      </c>
      <c r="F3314">
        <v>1020</v>
      </c>
      <c r="G3314">
        <v>0</v>
      </c>
    </row>
    <row r="3315" spans="1:7" x14ac:dyDescent="0.3">
      <c r="A3315" s="2">
        <v>45264</v>
      </c>
      <c r="B3315" t="s">
        <v>2178</v>
      </c>
      <c r="C3315">
        <v>-4060.1</v>
      </c>
      <c r="D3315" s="2">
        <v>45264</v>
      </c>
      <c r="E3315" t="s">
        <v>2004</v>
      </c>
      <c r="F3315">
        <v>-4060.1</v>
      </c>
      <c r="G3315">
        <v>0</v>
      </c>
    </row>
    <row r="3316" spans="1:7" x14ac:dyDescent="0.3">
      <c r="A3316" s="2">
        <v>45264</v>
      </c>
      <c r="B3316" t="s">
        <v>2179</v>
      </c>
      <c r="C3316">
        <v>-157.87</v>
      </c>
      <c r="D3316" s="2">
        <v>45264</v>
      </c>
      <c r="E3316" t="s">
        <v>2004</v>
      </c>
      <c r="F3316">
        <v>-157.87</v>
      </c>
      <c r="G3316">
        <v>0</v>
      </c>
    </row>
    <row r="3317" spans="1:7" x14ac:dyDescent="0.3">
      <c r="A3317" s="2">
        <v>45264</v>
      </c>
      <c r="B3317" t="s">
        <v>2180</v>
      </c>
      <c r="C3317">
        <v>825</v>
      </c>
      <c r="D3317" s="2">
        <v>45263</v>
      </c>
      <c r="E3317" t="s">
        <v>25</v>
      </c>
      <c r="F3317">
        <v>825</v>
      </c>
      <c r="G3317">
        <v>0</v>
      </c>
    </row>
    <row r="3318" spans="1:7" x14ac:dyDescent="0.3">
      <c r="A3318" s="2">
        <v>45264</v>
      </c>
      <c r="B3318" t="s">
        <v>2181</v>
      </c>
      <c r="C3318">
        <v>1650</v>
      </c>
      <c r="D3318" s="2">
        <v>45262</v>
      </c>
      <c r="E3318" t="s">
        <v>25</v>
      </c>
      <c r="F3318">
        <v>1650</v>
      </c>
      <c r="G3318">
        <v>0</v>
      </c>
    </row>
    <row r="3319" spans="1:7" x14ac:dyDescent="0.3">
      <c r="A3319" s="2">
        <v>45264</v>
      </c>
      <c r="B3319" t="s">
        <v>2182</v>
      </c>
      <c r="C3319">
        <v>3011.25</v>
      </c>
      <c r="D3319" s="2">
        <v>45261</v>
      </c>
      <c r="E3319" t="s">
        <v>25</v>
      </c>
      <c r="F3319">
        <v>3011.25</v>
      </c>
      <c r="G3319">
        <v>0</v>
      </c>
    </row>
    <row r="3320" spans="1:7" x14ac:dyDescent="0.3">
      <c r="A3320" s="2">
        <v>45264</v>
      </c>
      <c r="B3320" t="s">
        <v>2183</v>
      </c>
      <c r="C3320">
        <v>7300</v>
      </c>
      <c r="D3320" s="2">
        <v>45264</v>
      </c>
      <c r="E3320" t="s">
        <v>25</v>
      </c>
      <c r="F3320">
        <v>7300</v>
      </c>
      <c r="G3320">
        <v>0</v>
      </c>
    </row>
    <row r="3321" spans="1:7" x14ac:dyDescent="0.3">
      <c r="A3321" s="2">
        <v>45265</v>
      </c>
      <c r="B3321" t="s">
        <v>2184</v>
      </c>
      <c r="C3321">
        <v>-3739.11</v>
      </c>
      <c r="D3321" s="2">
        <v>45265</v>
      </c>
      <c r="E3321" t="s">
        <v>2004</v>
      </c>
      <c r="F3321">
        <v>-3739.11</v>
      </c>
      <c r="G3321">
        <v>0</v>
      </c>
    </row>
    <row r="3322" spans="1:7" x14ac:dyDescent="0.3">
      <c r="A3322" s="2">
        <v>45265</v>
      </c>
      <c r="B3322" t="s">
        <v>2185</v>
      </c>
      <c r="C3322">
        <v>630</v>
      </c>
      <c r="D3322" s="2">
        <v>45264</v>
      </c>
      <c r="E3322" t="s">
        <v>25</v>
      </c>
      <c r="F3322">
        <v>630</v>
      </c>
      <c r="G3322">
        <v>0</v>
      </c>
    </row>
    <row r="3323" spans="1:7" x14ac:dyDescent="0.3">
      <c r="A3323" s="2">
        <v>45266</v>
      </c>
      <c r="B3323" t="s">
        <v>2186</v>
      </c>
      <c r="C3323">
        <v>-168.9</v>
      </c>
      <c r="D3323" s="2">
        <v>45266</v>
      </c>
      <c r="E3323" t="s">
        <v>2004</v>
      </c>
      <c r="F3323">
        <v>-168.9</v>
      </c>
      <c r="G3323">
        <v>0</v>
      </c>
    </row>
    <row r="3324" spans="1:7" x14ac:dyDescent="0.3">
      <c r="A3324" s="2">
        <v>45266</v>
      </c>
      <c r="B3324" t="s">
        <v>2187</v>
      </c>
      <c r="C3324">
        <v>-177.9</v>
      </c>
      <c r="D3324" s="2">
        <v>45266</v>
      </c>
      <c r="E3324" t="s">
        <v>2004</v>
      </c>
      <c r="F3324">
        <v>-177.9</v>
      </c>
      <c r="G3324">
        <v>0</v>
      </c>
    </row>
    <row r="3325" spans="1:7" x14ac:dyDescent="0.3">
      <c r="A3325" s="2">
        <v>45266</v>
      </c>
      <c r="B3325" t="s">
        <v>2188</v>
      </c>
      <c r="C3325">
        <v>13925</v>
      </c>
      <c r="D3325" s="2">
        <v>45265</v>
      </c>
      <c r="E3325" t="s">
        <v>25</v>
      </c>
      <c r="F3325">
        <v>13925</v>
      </c>
      <c r="G3325">
        <v>0</v>
      </c>
    </row>
    <row r="3326" spans="1:7" x14ac:dyDescent="0.3">
      <c r="A3326" s="2">
        <v>45267</v>
      </c>
      <c r="B3326" t="s">
        <v>2189</v>
      </c>
      <c r="C3326">
        <v>1620</v>
      </c>
      <c r="D3326" s="2">
        <v>45266</v>
      </c>
      <c r="E3326" t="s">
        <v>25</v>
      </c>
      <c r="F3326">
        <v>1620</v>
      </c>
      <c r="G3326">
        <v>0</v>
      </c>
    </row>
    <row r="3327" spans="1:7" x14ac:dyDescent="0.3">
      <c r="A3327" s="2">
        <v>45268</v>
      </c>
      <c r="B3327" t="s">
        <v>2190</v>
      </c>
      <c r="C3327">
        <v>1650</v>
      </c>
      <c r="D3327" s="2">
        <v>45267</v>
      </c>
      <c r="E3327" t="s">
        <v>25</v>
      </c>
      <c r="F3327">
        <v>1650</v>
      </c>
      <c r="G3327">
        <v>0</v>
      </c>
    </row>
    <row r="3328" spans="1:7" x14ac:dyDescent="0.3">
      <c r="A3328" s="2">
        <v>45271</v>
      </c>
      <c r="B3328" t="s">
        <v>2191</v>
      </c>
      <c r="C3328">
        <v>-217.75</v>
      </c>
      <c r="D3328" s="2">
        <v>45271</v>
      </c>
      <c r="E3328" t="s">
        <v>2004</v>
      </c>
      <c r="F3328">
        <v>-217.75</v>
      </c>
      <c r="G3328">
        <v>0</v>
      </c>
    </row>
    <row r="3329" spans="1:7" x14ac:dyDescent="0.3">
      <c r="A3329" s="2">
        <v>45271</v>
      </c>
      <c r="B3329" t="s">
        <v>2192</v>
      </c>
      <c r="C3329">
        <v>1455</v>
      </c>
      <c r="D3329" s="2">
        <v>45270</v>
      </c>
      <c r="E3329" t="s">
        <v>25</v>
      </c>
      <c r="F3329">
        <v>1455</v>
      </c>
      <c r="G3329">
        <v>0</v>
      </c>
    </row>
    <row r="3330" spans="1:7" x14ac:dyDescent="0.3">
      <c r="A3330" s="2">
        <v>45271</v>
      </c>
      <c r="B3330" t="s">
        <v>2193</v>
      </c>
      <c r="C3330">
        <v>9326.25</v>
      </c>
      <c r="D3330" s="2">
        <v>45268</v>
      </c>
      <c r="E3330" t="s">
        <v>25</v>
      </c>
      <c r="F3330">
        <v>9326.25</v>
      </c>
      <c r="G3330">
        <v>0</v>
      </c>
    </row>
    <row r="3331" spans="1:7" x14ac:dyDescent="0.3">
      <c r="A3331" s="2">
        <v>45271</v>
      </c>
      <c r="B3331" t="s">
        <v>2194</v>
      </c>
      <c r="C3331">
        <v>12880</v>
      </c>
      <c r="D3331" s="2">
        <v>45269</v>
      </c>
      <c r="E3331" t="s">
        <v>25</v>
      </c>
      <c r="F3331">
        <v>12880</v>
      </c>
      <c r="G3331">
        <v>0</v>
      </c>
    </row>
    <row r="3332" spans="1:7" x14ac:dyDescent="0.3">
      <c r="A3332" s="2">
        <v>45272</v>
      </c>
      <c r="B3332" t="s">
        <v>2195</v>
      </c>
      <c r="C3332">
        <v>2415</v>
      </c>
      <c r="D3332" s="2">
        <v>45271</v>
      </c>
      <c r="E3332" t="s">
        <v>25</v>
      </c>
      <c r="F3332">
        <v>2415</v>
      </c>
      <c r="G3332">
        <v>0</v>
      </c>
    </row>
    <row r="3333" spans="1:7" x14ac:dyDescent="0.3">
      <c r="A3333" s="2">
        <v>45273</v>
      </c>
      <c r="B3333" t="s">
        <v>2196</v>
      </c>
      <c r="C3333">
        <v>12160</v>
      </c>
      <c r="D3333" s="2">
        <v>45272</v>
      </c>
      <c r="E3333" t="s">
        <v>25</v>
      </c>
      <c r="F3333">
        <v>12160</v>
      </c>
      <c r="G3333">
        <v>0</v>
      </c>
    </row>
    <row r="3334" spans="1:7" x14ac:dyDescent="0.3">
      <c r="A3334" s="2">
        <v>45273</v>
      </c>
      <c r="B3334" t="s">
        <v>2197</v>
      </c>
      <c r="C3334">
        <v>300</v>
      </c>
      <c r="D3334" s="2">
        <v>45273</v>
      </c>
      <c r="E3334" t="s">
        <v>25</v>
      </c>
      <c r="F3334">
        <v>300</v>
      </c>
      <c r="G3334">
        <v>0</v>
      </c>
    </row>
    <row r="3335" spans="1:7" x14ac:dyDescent="0.3">
      <c r="A3335" s="2">
        <v>45274</v>
      </c>
      <c r="B3335" t="s">
        <v>2198</v>
      </c>
      <c r="C3335">
        <v>3600</v>
      </c>
      <c r="D3335" s="2">
        <v>45273</v>
      </c>
      <c r="E3335" t="s">
        <v>25</v>
      </c>
      <c r="F3335">
        <v>3600</v>
      </c>
      <c r="G3335">
        <v>0</v>
      </c>
    </row>
    <row r="3336" spans="1:7" x14ac:dyDescent="0.3">
      <c r="A3336" s="2">
        <v>45275</v>
      </c>
      <c r="B3336" t="s">
        <v>2199</v>
      </c>
      <c r="C3336">
        <v>-9.9700000000000006</v>
      </c>
      <c r="D3336" s="2">
        <v>45275</v>
      </c>
      <c r="E3336" t="s">
        <v>2004</v>
      </c>
      <c r="F3336">
        <v>-9.9700000000000006</v>
      </c>
      <c r="G3336">
        <v>0</v>
      </c>
    </row>
    <row r="3337" spans="1:7" x14ac:dyDescent="0.3">
      <c r="A3337" s="2">
        <v>45275</v>
      </c>
      <c r="B3337" t="s">
        <v>2200</v>
      </c>
      <c r="C3337">
        <v>1890</v>
      </c>
      <c r="D3337" s="2">
        <v>45274</v>
      </c>
      <c r="E3337" t="s">
        <v>25</v>
      </c>
      <c r="F3337">
        <v>1890</v>
      </c>
      <c r="G3337">
        <v>0</v>
      </c>
    </row>
    <row r="3338" spans="1:7" x14ac:dyDescent="0.3">
      <c r="A3338" s="2">
        <v>45278</v>
      </c>
      <c r="B3338" t="s">
        <v>2201</v>
      </c>
      <c r="C3338">
        <v>-10.88</v>
      </c>
      <c r="D3338" s="2">
        <v>45278</v>
      </c>
      <c r="E3338" t="s">
        <v>2004</v>
      </c>
      <c r="F3338">
        <v>-10.88</v>
      </c>
      <c r="G3338">
        <v>0</v>
      </c>
    </row>
    <row r="3339" spans="1:7" x14ac:dyDescent="0.3">
      <c r="A3339" s="2">
        <v>45278</v>
      </c>
      <c r="B3339" t="s">
        <v>2202</v>
      </c>
      <c r="C3339">
        <v>825</v>
      </c>
      <c r="D3339" s="2">
        <v>45277</v>
      </c>
      <c r="E3339" t="s">
        <v>25</v>
      </c>
      <c r="F3339">
        <v>825</v>
      </c>
      <c r="G3339">
        <v>0</v>
      </c>
    </row>
    <row r="3340" spans="1:7" x14ac:dyDescent="0.3">
      <c r="A3340" s="2">
        <v>45278</v>
      </c>
      <c r="B3340" t="s">
        <v>2203</v>
      </c>
      <c r="C3340">
        <v>1155</v>
      </c>
      <c r="D3340" s="2">
        <v>45276</v>
      </c>
      <c r="E3340" t="s">
        <v>25</v>
      </c>
      <c r="F3340">
        <v>1155</v>
      </c>
      <c r="G3340">
        <v>0</v>
      </c>
    </row>
    <row r="3341" spans="1:7" x14ac:dyDescent="0.3">
      <c r="A3341" s="2">
        <v>45278</v>
      </c>
      <c r="B3341" t="s">
        <v>2204</v>
      </c>
      <c r="C3341">
        <v>1361.25</v>
      </c>
      <c r="D3341" s="2">
        <v>45275</v>
      </c>
      <c r="E3341" t="s">
        <v>25</v>
      </c>
      <c r="F3341">
        <v>1361.25</v>
      </c>
      <c r="G3341">
        <v>0</v>
      </c>
    </row>
    <row r="3342" spans="1:7" x14ac:dyDescent="0.3">
      <c r="A3342" s="2">
        <v>45279</v>
      </c>
      <c r="B3342" t="s">
        <v>2205</v>
      </c>
      <c r="C3342">
        <v>-25</v>
      </c>
      <c r="D3342" s="2">
        <v>45279</v>
      </c>
      <c r="E3342" t="s">
        <v>2004</v>
      </c>
      <c r="F3342">
        <v>-25</v>
      </c>
      <c r="G3342">
        <v>0</v>
      </c>
    </row>
    <row r="3343" spans="1:7" x14ac:dyDescent="0.3">
      <c r="A3343" s="2">
        <v>45279</v>
      </c>
      <c r="B3343" t="s">
        <v>2206</v>
      </c>
      <c r="C3343">
        <v>960</v>
      </c>
      <c r="D3343" s="2">
        <v>45278</v>
      </c>
      <c r="E3343" t="s">
        <v>25</v>
      </c>
      <c r="F3343">
        <v>960</v>
      </c>
      <c r="G3343">
        <v>0</v>
      </c>
    </row>
    <row r="3344" spans="1:7" x14ac:dyDescent="0.3">
      <c r="A3344" s="2">
        <v>45280</v>
      </c>
      <c r="B3344" t="s">
        <v>2207</v>
      </c>
      <c r="C3344">
        <v>-76.75</v>
      </c>
      <c r="D3344" s="2">
        <v>45280</v>
      </c>
      <c r="E3344" t="s">
        <v>2004</v>
      </c>
      <c r="F3344">
        <v>-76.75</v>
      </c>
      <c r="G3344">
        <v>0</v>
      </c>
    </row>
    <row r="3345" spans="1:7" x14ac:dyDescent="0.3">
      <c r="A3345" s="2">
        <v>45280</v>
      </c>
      <c r="B3345" t="s">
        <v>2208</v>
      </c>
      <c r="C3345">
        <v>1320</v>
      </c>
      <c r="D3345" s="2">
        <v>45279</v>
      </c>
      <c r="E3345" t="s">
        <v>25</v>
      </c>
      <c r="F3345">
        <v>1320</v>
      </c>
      <c r="G3345">
        <v>0</v>
      </c>
    </row>
    <row r="3346" spans="1:7" x14ac:dyDescent="0.3">
      <c r="A3346" s="2">
        <v>45281</v>
      </c>
      <c r="B3346" t="s">
        <v>2209</v>
      </c>
      <c r="C3346">
        <v>1631.25</v>
      </c>
      <c r="D3346" s="2">
        <v>45280</v>
      </c>
      <c r="E3346" t="s">
        <v>25</v>
      </c>
      <c r="F3346">
        <v>1631.25</v>
      </c>
      <c r="G3346">
        <v>0</v>
      </c>
    </row>
    <row r="3347" spans="1:7" x14ac:dyDescent="0.3">
      <c r="A3347" s="2">
        <v>45282</v>
      </c>
      <c r="B3347" t="s">
        <v>2210</v>
      </c>
      <c r="C3347">
        <v>1331.25</v>
      </c>
      <c r="D3347" s="2">
        <v>45281</v>
      </c>
      <c r="E3347" t="s">
        <v>25</v>
      </c>
      <c r="F3347">
        <v>1331.25</v>
      </c>
      <c r="G3347">
        <v>0</v>
      </c>
    </row>
    <row r="3348" spans="1:7" x14ac:dyDescent="0.3">
      <c r="A3348" s="2">
        <v>45282</v>
      </c>
      <c r="B3348" t="s">
        <v>2211</v>
      </c>
      <c r="C3348">
        <v>6500</v>
      </c>
      <c r="D3348" s="2">
        <v>45282</v>
      </c>
      <c r="E3348" t="s">
        <v>25</v>
      </c>
      <c r="F3348">
        <v>6500</v>
      </c>
      <c r="G3348">
        <v>0</v>
      </c>
    </row>
    <row r="3349" spans="1:7" x14ac:dyDescent="0.3">
      <c r="A3349" s="2">
        <v>45286</v>
      </c>
      <c r="B3349" t="s">
        <v>2212</v>
      </c>
      <c r="C3349">
        <v>-44.17</v>
      </c>
      <c r="D3349" s="2">
        <v>45286</v>
      </c>
      <c r="E3349" t="s">
        <v>2004</v>
      </c>
      <c r="F3349">
        <v>-44.17</v>
      </c>
      <c r="G3349">
        <v>0</v>
      </c>
    </row>
    <row r="3350" spans="1:7" x14ac:dyDescent="0.3">
      <c r="A3350" s="2">
        <v>45286</v>
      </c>
      <c r="B3350" t="s">
        <v>2213</v>
      </c>
      <c r="C3350">
        <v>495</v>
      </c>
      <c r="D3350" s="2">
        <v>45284</v>
      </c>
      <c r="E3350" t="s">
        <v>25</v>
      </c>
      <c r="F3350">
        <v>495</v>
      </c>
      <c r="G3350">
        <v>0</v>
      </c>
    </row>
    <row r="3351" spans="1:7" x14ac:dyDescent="0.3">
      <c r="A3351" s="2">
        <v>45286</v>
      </c>
      <c r="B3351" t="s">
        <v>2214</v>
      </c>
      <c r="C3351">
        <v>1196.25</v>
      </c>
      <c r="D3351" s="2">
        <v>45283</v>
      </c>
      <c r="E3351" t="s">
        <v>25</v>
      </c>
      <c r="F3351">
        <v>1196.25</v>
      </c>
      <c r="G3351">
        <v>0</v>
      </c>
    </row>
    <row r="3352" spans="1:7" x14ac:dyDescent="0.3">
      <c r="A3352" s="2">
        <v>45288</v>
      </c>
      <c r="B3352" t="s">
        <v>2215</v>
      </c>
      <c r="C3352">
        <v>1402.5</v>
      </c>
      <c r="D3352" s="2">
        <v>45287</v>
      </c>
      <c r="E3352" t="s">
        <v>25</v>
      </c>
      <c r="F3352">
        <v>1402.5</v>
      </c>
      <c r="G3352">
        <v>0</v>
      </c>
    </row>
    <row r="3353" spans="1:7" x14ac:dyDescent="0.3">
      <c r="A3353" s="2">
        <v>45289</v>
      </c>
      <c r="B3353" t="s">
        <v>2216</v>
      </c>
      <c r="C3353">
        <v>1035</v>
      </c>
      <c r="D3353" s="2">
        <v>45288</v>
      </c>
      <c r="E3353" t="s">
        <v>25</v>
      </c>
      <c r="F3353">
        <v>1035</v>
      </c>
      <c r="G3353">
        <v>0</v>
      </c>
    </row>
    <row r="3354" spans="1:7" x14ac:dyDescent="0.3">
      <c r="A3354" s="2">
        <v>45293</v>
      </c>
      <c r="B3354" t="s">
        <v>2217</v>
      </c>
      <c r="C3354">
        <v>-4568.8500000000004</v>
      </c>
      <c r="D3354" s="2">
        <v>45293</v>
      </c>
      <c r="E3354" t="s">
        <v>2004</v>
      </c>
      <c r="F3354">
        <v>-4568.8500000000004</v>
      </c>
      <c r="G3354">
        <v>0</v>
      </c>
    </row>
    <row r="3355" spans="1:7" x14ac:dyDescent="0.3">
      <c r="A3355" s="2">
        <v>45293</v>
      </c>
      <c r="B3355" t="s">
        <v>2218</v>
      </c>
      <c r="C3355">
        <v>-34</v>
      </c>
      <c r="D3355" s="2">
        <v>45293</v>
      </c>
      <c r="E3355" t="s">
        <v>2004</v>
      </c>
      <c r="F3355">
        <v>-34</v>
      </c>
      <c r="G3355">
        <v>0</v>
      </c>
    </row>
    <row r="3356" spans="1:7" x14ac:dyDescent="0.3">
      <c r="A3356" s="2">
        <v>45293</v>
      </c>
      <c r="B3356" t="s">
        <v>2219</v>
      </c>
      <c r="C3356">
        <v>-65.33</v>
      </c>
      <c r="D3356" s="2">
        <v>45293</v>
      </c>
      <c r="E3356" t="s">
        <v>2004</v>
      </c>
      <c r="F3356">
        <v>-65.33</v>
      </c>
      <c r="G3356">
        <v>0</v>
      </c>
    </row>
    <row r="3357" spans="1:7" x14ac:dyDescent="0.3">
      <c r="A3357" s="2">
        <v>45293</v>
      </c>
      <c r="B3357" t="s">
        <v>2220</v>
      </c>
      <c r="C3357">
        <v>3066.25</v>
      </c>
      <c r="D3357" s="2">
        <v>45290</v>
      </c>
      <c r="E3357" t="s">
        <v>25</v>
      </c>
      <c r="F3357">
        <v>3066.25</v>
      </c>
      <c r="G3357">
        <v>0</v>
      </c>
    </row>
    <row r="3358" spans="1:7" x14ac:dyDescent="0.3">
      <c r="A3358" s="2">
        <v>45293</v>
      </c>
      <c r="B3358" t="s">
        <v>2221</v>
      </c>
      <c r="C3358">
        <v>7300</v>
      </c>
      <c r="D3358" s="2">
        <v>45293</v>
      </c>
      <c r="E3358" t="s">
        <v>25</v>
      </c>
      <c r="F3358">
        <v>7300</v>
      </c>
      <c r="G3358">
        <v>0</v>
      </c>
    </row>
    <row r="3359" spans="1:7" x14ac:dyDescent="0.3">
      <c r="A3359" s="2">
        <v>45293</v>
      </c>
      <c r="B3359" t="s">
        <v>2222</v>
      </c>
      <c r="C3359">
        <v>11940</v>
      </c>
      <c r="D3359" s="2">
        <v>45291</v>
      </c>
      <c r="E3359" t="s">
        <v>25</v>
      </c>
      <c r="F3359">
        <v>11940</v>
      </c>
      <c r="G3359">
        <v>0</v>
      </c>
    </row>
    <row r="3360" spans="1:7" x14ac:dyDescent="0.3">
      <c r="A3360" s="2">
        <v>45293</v>
      </c>
      <c r="B3360" t="s">
        <v>2223</v>
      </c>
      <c r="C3360">
        <v>14840</v>
      </c>
      <c r="D3360" s="2">
        <v>45292</v>
      </c>
      <c r="E3360" t="s">
        <v>25</v>
      </c>
      <c r="F3360">
        <v>14840</v>
      </c>
      <c r="G3360">
        <v>0</v>
      </c>
    </row>
    <row r="3361" spans="1:7" x14ac:dyDescent="0.3">
      <c r="A3361" s="2">
        <v>45294</v>
      </c>
      <c r="B3361" t="s">
        <v>2224</v>
      </c>
      <c r="C3361">
        <v>-157.87</v>
      </c>
      <c r="D3361" s="2">
        <v>45294</v>
      </c>
      <c r="E3361" t="s">
        <v>2004</v>
      </c>
      <c r="F3361">
        <v>-157.87</v>
      </c>
      <c r="G3361">
        <v>0</v>
      </c>
    </row>
    <row r="3362" spans="1:7" x14ac:dyDescent="0.3">
      <c r="A3362" s="2">
        <v>45294</v>
      </c>
      <c r="B3362" t="s">
        <v>2225</v>
      </c>
      <c r="C3362">
        <v>5950</v>
      </c>
      <c r="D3362" s="2">
        <v>45293</v>
      </c>
      <c r="E3362" t="s">
        <v>25</v>
      </c>
      <c r="F3362">
        <v>5950</v>
      </c>
      <c r="G3362">
        <v>0</v>
      </c>
    </row>
    <row r="3363" spans="1:7" x14ac:dyDescent="0.3">
      <c r="A3363" s="2">
        <v>45295</v>
      </c>
      <c r="B3363" t="s">
        <v>2226</v>
      </c>
      <c r="C3363">
        <v>18210</v>
      </c>
      <c r="D3363" s="2">
        <v>45294</v>
      </c>
      <c r="E3363" t="s">
        <v>25</v>
      </c>
      <c r="F3363">
        <v>18210</v>
      </c>
      <c r="G3363">
        <v>0</v>
      </c>
    </row>
    <row r="3364" spans="1:7" x14ac:dyDescent="0.3">
      <c r="A3364" s="2">
        <v>45296</v>
      </c>
      <c r="B3364" t="s">
        <v>2227</v>
      </c>
      <c r="C3364">
        <v>27620</v>
      </c>
      <c r="D3364" s="2">
        <v>45295</v>
      </c>
      <c r="E3364" t="s">
        <v>25</v>
      </c>
      <c r="F3364">
        <v>27620</v>
      </c>
      <c r="G3364">
        <v>0</v>
      </c>
    </row>
    <row r="3365" spans="1:7" x14ac:dyDescent="0.3">
      <c r="A3365" s="2">
        <v>45299</v>
      </c>
      <c r="B3365" t="s">
        <v>2228</v>
      </c>
      <c r="C3365">
        <v>4750</v>
      </c>
      <c r="D3365" s="2">
        <v>45298</v>
      </c>
      <c r="E3365" t="s">
        <v>25</v>
      </c>
      <c r="F3365">
        <v>4750</v>
      </c>
      <c r="G3365">
        <v>0</v>
      </c>
    </row>
    <row r="3366" spans="1:7" x14ac:dyDescent="0.3">
      <c r="A3366" s="2">
        <v>45299</v>
      </c>
      <c r="B3366" t="s">
        <v>2229</v>
      </c>
      <c r="C3366">
        <v>8835</v>
      </c>
      <c r="D3366" s="2">
        <v>45297</v>
      </c>
      <c r="E3366" t="s">
        <v>25</v>
      </c>
      <c r="F3366">
        <v>8835</v>
      </c>
      <c r="G3366">
        <v>0</v>
      </c>
    </row>
    <row r="3367" spans="1:7" x14ac:dyDescent="0.3">
      <c r="A3367" s="2">
        <v>45299</v>
      </c>
      <c r="B3367" t="s">
        <v>2230</v>
      </c>
      <c r="C3367">
        <v>12035</v>
      </c>
      <c r="D3367" s="2">
        <v>45296</v>
      </c>
      <c r="E3367" t="s">
        <v>25</v>
      </c>
      <c r="F3367">
        <v>12035</v>
      </c>
      <c r="G3367">
        <v>0</v>
      </c>
    </row>
    <row r="3368" spans="1:7" x14ac:dyDescent="0.3">
      <c r="A3368" s="2">
        <v>45300</v>
      </c>
      <c r="B3368" t="s">
        <v>2231</v>
      </c>
      <c r="C3368">
        <v>300</v>
      </c>
      <c r="D3368" s="2">
        <v>45300</v>
      </c>
      <c r="E3368" t="s">
        <v>25</v>
      </c>
      <c r="F3368">
        <v>300</v>
      </c>
      <c r="G3368">
        <v>0</v>
      </c>
    </row>
    <row r="3369" spans="1:7" x14ac:dyDescent="0.3">
      <c r="A3369" s="2">
        <v>45300</v>
      </c>
      <c r="B3369" t="s">
        <v>2232</v>
      </c>
      <c r="C3369">
        <v>2090</v>
      </c>
      <c r="D3369" s="2">
        <v>45299</v>
      </c>
      <c r="E3369" t="s">
        <v>25</v>
      </c>
      <c r="F3369">
        <v>2090</v>
      </c>
      <c r="G3369">
        <v>0</v>
      </c>
    </row>
    <row r="3370" spans="1:7" x14ac:dyDescent="0.3">
      <c r="A3370" s="2">
        <v>45301</v>
      </c>
      <c r="B3370" t="s">
        <v>2233</v>
      </c>
      <c r="C3370">
        <v>-217.75</v>
      </c>
      <c r="D3370" s="2">
        <v>45301</v>
      </c>
      <c r="E3370" t="s">
        <v>2004</v>
      </c>
      <c r="F3370">
        <v>-217.75</v>
      </c>
      <c r="G3370">
        <v>0</v>
      </c>
    </row>
    <row r="3371" spans="1:7" x14ac:dyDescent="0.3">
      <c r="A3371" s="2">
        <v>45301</v>
      </c>
      <c r="B3371" t="s">
        <v>2234</v>
      </c>
      <c r="C3371">
        <v>4645</v>
      </c>
      <c r="D3371" s="2">
        <v>45300</v>
      </c>
      <c r="E3371" t="s">
        <v>25</v>
      </c>
      <c r="F3371">
        <v>4645</v>
      </c>
      <c r="G3371">
        <v>0</v>
      </c>
    </row>
    <row r="3372" spans="1:7" x14ac:dyDescent="0.3">
      <c r="A3372" s="2">
        <v>45301</v>
      </c>
      <c r="B3372" t="s">
        <v>2053</v>
      </c>
      <c r="C3372">
        <v>5500</v>
      </c>
      <c r="D3372" s="2">
        <v>45301</v>
      </c>
      <c r="E3372" t="s">
        <v>25</v>
      </c>
      <c r="F3372">
        <v>5500</v>
      </c>
      <c r="G3372">
        <v>0</v>
      </c>
    </row>
    <row r="3373" spans="1:7" x14ac:dyDescent="0.3">
      <c r="A3373" s="2">
        <v>45301</v>
      </c>
      <c r="B3373" t="s">
        <v>2053</v>
      </c>
      <c r="C3373">
        <v>7300</v>
      </c>
      <c r="D3373" s="2">
        <v>45301</v>
      </c>
      <c r="E3373" t="s">
        <v>25</v>
      </c>
      <c r="F3373">
        <v>7300</v>
      </c>
      <c r="G3373">
        <v>0</v>
      </c>
    </row>
    <row r="3374" spans="1:7" x14ac:dyDescent="0.3">
      <c r="A3374" s="2">
        <v>45301</v>
      </c>
      <c r="B3374" t="s">
        <v>2053</v>
      </c>
      <c r="C3374">
        <v>7300</v>
      </c>
      <c r="D3374" s="2">
        <v>45301</v>
      </c>
      <c r="E3374" t="s">
        <v>25</v>
      </c>
      <c r="F3374">
        <v>7300</v>
      </c>
      <c r="G3374">
        <v>0</v>
      </c>
    </row>
    <row r="3375" spans="1:7" x14ac:dyDescent="0.3">
      <c r="A3375" s="2">
        <v>45302</v>
      </c>
      <c r="B3375" t="s">
        <v>2235</v>
      </c>
      <c r="C3375">
        <v>5125</v>
      </c>
      <c r="D3375" s="2">
        <v>45301</v>
      </c>
      <c r="E3375" t="s">
        <v>25</v>
      </c>
      <c r="F3375">
        <v>5125</v>
      </c>
      <c r="G3375">
        <v>0</v>
      </c>
    </row>
    <row r="3376" spans="1:7" x14ac:dyDescent="0.3">
      <c r="A3376" s="2">
        <v>45303</v>
      </c>
      <c r="B3376" t="s">
        <v>2236</v>
      </c>
      <c r="C3376">
        <v>5215</v>
      </c>
      <c r="D3376" s="2">
        <v>45302</v>
      </c>
      <c r="E3376" t="s">
        <v>25</v>
      </c>
      <c r="F3376">
        <v>5215</v>
      </c>
      <c r="G3376">
        <v>0</v>
      </c>
    </row>
    <row r="3377" spans="1:7" x14ac:dyDescent="0.3">
      <c r="A3377" s="2">
        <v>45307</v>
      </c>
      <c r="B3377" t="s">
        <v>2237</v>
      </c>
      <c r="C3377">
        <v>1060</v>
      </c>
      <c r="D3377" s="2">
        <v>45305</v>
      </c>
      <c r="E3377" t="s">
        <v>25</v>
      </c>
      <c r="F3377">
        <v>1060</v>
      </c>
      <c r="G3377">
        <v>0</v>
      </c>
    </row>
    <row r="3378" spans="1:7" x14ac:dyDescent="0.3">
      <c r="A3378" s="2">
        <v>45307</v>
      </c>
      <c r="B3378" t="s">
        <v>2238</v>
      </c>
      <c r="C3378">
        <v>1335</v>
      </c>
      <c r="D3378" s="2">
        <v>45306</v>
      </c>
      <c r="E3378" t="s">
        <v>25</v>
      </c>
      <c r="F3378">
        <v>1335</v>
      </c>
      <c r="G3378">
        <v>0</v>
      </c>
    </row>
    <row r="3379" spans="1:7" x14ac:dyDescent="0.3">
      <c r="A3379" s="2">
        <v>45307</v>
      </c>
      <c r="B3379" t="s">
        <v>2239</v>
      </c>
      <c r="C3379">
        <v>2595</v>
      </c>
      <c r="D3379" s="2">
        <v>45304</v>
      </c>
      <c r="E3379" t="s">
        <v>25</v>
      </c>
      <c r="F3379">
        <v>2595</v>
      </c>
      <c r="G3379">
        <v>0</v>
      </c>
    </row>
    <row r="3380" spans="1:7" x14ac:dyDescent="0.3">
      <c r="A3380" s="2">
        <v>45308</v>
      </c>
      <c r="B3380" t="s">
        <v>2240</v>
      </c>
      <c r="C3380">
        <v>-13600</v>
      </c>
      <c r="D3380" s="2">
        <v>45306</v>
      </c>
      <c r="E3380" t="s">
        <v>27</v>
      </c>
      <c r="F3380">
        <v>-13600</v>
      </c>
      <c r="G3380">
        <v>0</v>
      </c>
    </row>
    <row r="3381" spans="1:7" x14ac:dyDescent="0.3">
      <c r="A3381" s="2">
        <v>45308</v>
      </c>
      <c r="B3381" t="s">
        <v>2241</v>
      </c>
      <c r="C3381">
        <v>-5849.82</v>
      </c>
      <c r="D3381" s="2">
        <v>45308</v>
      </c>
      <c r="E3381" t="s">
        <v>27</v>
      </c>
      <c r="F3381">
        <v>-5849.82</v>
      </c>
      <c r="G3381">
        <v>0</v>
      </c>
    </row>
    <row r="3382" spans="1:7" x14ac:dyDescent="0.3">
      <c r="A3382" s="2">
        <v>45308</v>
      </c>
      <c r="B3382" t="s">
        <v>2242</v>
      </c>
      <c r="C3382">
        <v>-204</v>
      </c>
      <c r="D3382" s="2">
        <v>45306</v>
      </c>
      <c r="E3382" t="s">
        <v>27</v>
      </c>
      <c r="F3382">
        <v>-204</v>
      </c>
      <c r="G3382">
        <v>0</v>
      </c>
    </row>
    <row r="3383" spans="1:7" x14ac:dyDescent="0.3">
      <c r="A3383" s="2">
        <v>45308</v>
      </c>
      <c r="B3383" t="s">
        <v>2243</v>
      </c>
      <c r="C3383">
        <v>-10.88</v>
      </c>
      <c r="D3383" s="2">
        <v>45306</v>
      </c>
      <c r="E3383" t="s">
        <v>27</v>
      </c>
      <c r="F3383">
        <v>-10.88</v>
      </c>
      <c r="G3383">
        <v>0</v>
      </c>
    </row>
    <row r="3384" spans="1:7" x14ac:dyDescent="0.3">
      <c r="A3384" s="2">
        <v>45308</v>
      </c>
      <c r="B3384" t="s">
        <v>2244</v>
      </c>
      <c r="C3384">
        <v>2380</v>
      </c>
      <c r="D3384" s="2">
        <v>45307</v>
      </c>
      <c r="E3384" t="s">
        <v>25</v>
      </c>
      <c r="F3384">
        <v>2380</v>
      </c>
      <c r="G3384">
        <v>0</v>
      </c>
    </row>
    <row r="3385" spans="1:7" x14ac:dyDescent="0.3">
      <c r="A3385" s="2">
        <v>45309</v>
      </c>
      <c r="B3385" t="s">
        <v>2245</v>
      </c>
      <c r="C3385">
        <v>23890</v>
      </c>
      <c r="D3385" s="2">
        <v>45308</v>
      </c>
      <c r="E3385" t="s">
        <v>25</v>
      </c>
      <c r="F3385">
        <v>23890</v>
      </c>
      <c r="G3385">
        <v>0</v>
      </c>
    </row>
    <row r="3386" spans="1:7" x14ac:dyDescent="0.3">
      <c r="A3386" s="2">
        <v>45310</v>
      </c>
      <c r="B3386" t="s">
        <v>2246</v>
      </c>
      <c r="C3386">
        <v>-41.64</v>
      </c>
      <c r="D3386" s="2">
        <v>45310</v>
      </c>
      <c r="E3386" t="s">
        <v>2004</v>
      </c>
      <c r="F3386">
        <v>-41.64</v>
      </c>
      <c r="G3386">
        <v>0</v>
      </c>
    </row>
    <row r="3387" spans="1:7" x14ac:dyDescent="0.3">
      <c r="A3387" s="2">
        <v>45310</v>
      </c>
      <c r="B3387" t="s">
        <v>2247</v>
      </c>
      <c r="C3387">
        <v>6985</v>
      </c>
      <c r="D3387" s="2">
        <v>45309</v>
      </c>
      <c r="E3387" t="s">
        <v>25</v>
      </c>
      <c r="F3387">
        <v>6985</v>
      </c>
      <c r="G3387">
        <v>0</v>
      </c>
    </row>
    <row r="3388" spans="1:7" x14ac:dyDescent="0.3">
      <c r="A3388" s="2">
        <v>45313</v>
      </c>
      <c r="B3388" t="s">
        <v>2248</v>
      </c>
      <c r="C3388">
        <v>1495</v>
      </c>
      <c r="D3388" s="2">
        <v>45312</v>
      </c>
      <c r="E3388" t="s">
        <v>25</v>
      </c>
      <c r="F3388">
        <v>1495</v>
      </c>
      <c r="G3388">
        <v>0</v>
      </c>
    </row>
    <row r="3389" spans="1:7" x14ac:dyDescent="0.3">
      <c r="A3389" s="2">
        <v>45313</v>
      </c>
      <c r="B3389" t="s">
        <v>2249</v>
      </c>
      <c r="C3389">
        <v>10315</v>
      </c>
      <c r="D3389" s="2">
        <v>45311</v>
      </c>
      <c r="E3389" t="s">
        <v>25</v>
      </c>
      <c r="F3389">
        <v>10315</v>
      </c>
      <c r="G3389">
        <v>0</v>
      </c>
    </row>
    <row r="3390" spans="1:7" x14ac:dyDescent="0.3">
      <c r="A3390" s="2">
        <v>45313</v>
      </c>
      <c r="B3390" t="s">
        <v>2250</v>
      </c>
      <c r="C3390">
        <v>10910</v>
      </c>
      <c r="D3390" s="2">
        <v>45310</v>
      </c>
      <c r="E3390" t="s">
        <v>25</v>
      </c>
      <c r="F3390">
        <v>10910</v>
      </c>
      <c r="G3390">
        <v>0</v>
      </c>
    </row>
    <row r="3391" spans="1:7" x14ac:dyDescent="0.3">
      <c r="A3391" s="2">
        <v>45314</v>
      </c>
      <c r="B3391" t="s">
        <v>2251</v>
      </c>
      <c r="C3391">
        <v>1840</v>
      </c>
      <c r="D3391" s="2">
        <v>45313</v>
      </c>
      <c r="E3391" t="s">
        <v>25</v>
      </c>
      <c r="F3391">
        <v>1840</v>
      </c>
      <c r="G3391">
        <v>0</v>
      </c>
    </row>
    <row r="3392" spans="1:7" x14ac:dyDescent="0.3">
      <c r="A3392" s="2">
        <v>45315</v>
      </c>
      <c r="B3392" t="s">
        <v>2252</v>
      </c>
      <c r="C3392">
        <v>1350</v>
      </c>
      <c r="D3392" s="2">
        <v>45314</v>
      </c>
      <c r="E3392" t="s">
        <v>25</v>
      </c>
      <c r="F3392">
        <v>1350</v>
      </c>
      <c r="G3392">
        <v>0</v>
      </c>
    </row>
    <row r="3393" spans="1:7" x14ac:dyDescent="0.3">
      <c r="A3393" s="2">
        <v>45316</v>
      </c>
      <c r="B3393" t="s">
        <v>2253</v>
      </c>
      <c r="C3393">
        <v>5630</v>
      </c>
      <c r="D3393" s="2">
        <v>45315</v>
      </c>
      <c r="E3393" t="s">
        <v>25</v>
      </c>
      <c r="F3393">
        <v>5630</v>
      </c>
      <c r="G3393">
        <v>0</v>
      </c>
    </row>
    <row r="3394" spans="1:7" x14ac:dyDescent="0.3">
      <c r="A3394" s="2">
        <v>45317</v>
      </c>
      <c r="B3394" t="s">
        <v>2254</v>
      </c>
      <c r="C3394">
        <v>2775</v>
      </c>
      <c r="D3394" s="2">
        <v>45316</v>
      </c>
      <c r="E3394" t="s">
        <v>25</v>
      </c>
      <c r="F3394">
        <v>2775</v>
      </c>
      <c r="G3394">
        <v>0</v>
      </c>
    </row>
    <row r="3395" spans="1:7" x14ac:dyDescent="0.3">
      <c r="A3395" s="2">
        <v>45320</v>
      </c>
      <c r="B3395" t="s">
        <v>2255</v>
      </c>
      <c r="C3395">
        <v>330</v>
      </c>
      <c r="D3395" s="2">
        <v>45319</v>
      </c>
      <c r="E3395" t="s">
        <v>25</v>
      </c>
      <c r="F3395">
        <v>330</v>
      </c>
      <c r="G3395">
        <v>0</v>
      </c>
    </row>
    <row r="3396" spans="1:7" x14ac:dyDescent="0.3">
      <c r="A3396" s="2">
        <v>45320</v>
      </c>
      <c r="B3396" t="s">
        <v>2256</v>
      </c>
      <c r="C3396">
        <v>5295</v>
      </c>
      <c r="D3396" s="2">
        <v>45318</v>
      </c>
      <c r="E3396" t="s">
        <v>25</v>
      </c>
      <c r="F3396">
        <v>5295</v>
      </c>
      <c r="G3396">
        <v>0</v>
      </c>
    </row>
    <row r="3397" spans="1:7" x14ac:dyDescent="0.3">
      <c r="A3397" s="2">
        <v>45320</v>
      </c>
      <c r="B3397" t="s">
        <v>2257</v>
      </c>
      <c r="C3397">
        <v>5760</v>
      </c>
      <c r="D3397" s="2">
        <v>45317</v>
      </c>
      <c r="E3397" t="s">
        <v>25</v>
      </c>
      <c r="F3397">
        <v>5760</v>
      </c>
      <c r="G3397">
        <v>0</v>
      </c>
    </row>
    <row r="3398" spans="1:7" x14ac:dyDescent="0.3">
      <c r="A3398" s="2">
        <v>45321</v>
      </c>
      <c r="B3398" t="s">
        <v>2258</v>
      </c>
      <c r="C3398">
        <v>2520</v>
      </c>
      <c r="D3398" s="2">
        <v>45320</v>
      </c>
      <c r="E3398" t="s">
        <v>25</v>
      </c>
      <c r="F3398">
        <v>2520</v>
      </c>
      <c r="G3398">
        <v>0</v>
      </c>
    </row>
    <row r="3399" spans="1:7" x14ac:dyDescent="0.3">
      <c r="A3399" s="2">
        <v>45323</v>
      </c>
      <c r="B3399" t="s">
        <v>2259</v>
      </c>
      <c r="C3399">
        <v>-65.33</v>
      </c>
      <c r="D3399" s="2">
        <v>45323</v>
      </c>
      <c r="E3399" t="s">
        <v>2004</v>
      </c>
      <c r="F3399">
        <v>-65.33</v>
      </c>
      <c r="G3399">
        <v>0</v>
      </c>
    </row>
    <row r="3400" spans="1:7" x14ac:dyDescent="0.3">
      <c r="A3400" s="2">
        <v>45323</v>
      </c>
      <c r="B3400" t="s">
        <v>2260</v>
      </c>
      <c r="C3400">
        <v>-34</v>
      </c>
      <c r="D3400" s="2">
        <v>45323</v>
      </c>
      <c r="E3400" t="s">
        <v>2004</v>
      </c>
      <c r="F3400">
        <v>-34</v>
      </c>
      <c r="G3400">
        <v>0</v>
      </c>
    </row>
    <row r="3401" spans="1:7" x14ac:dyDescent="0.3">
      <c r="A3401" s="2">
        <v>45323</v>
      </c>
      <c r="B3401" t="s">
        <v>2261</v>
      </c>
      <c r="C3401">
        <v>9190</v>
      </c>
      <c r="D3401" s="2">
        <v>45322</v>
      </c>
      <c r="E3401" t="s">
        <v>25</v>
      </c>
      <c r="F3401">
        <v>9190</v>
      </c>
      <c r="G3401">
        <v>0</v>
      </c>
    </row>
    <row r="3402" spans="1:7" x14ac:dyDescent="0.3">
      <c r="A3402" s="2">
        <v>45324</v>
      </c>
      <c r="B3402" t="s">
        <v>2262</v>
      </c>
      <c r="C3402">
        <v>-8603.32</v>
      </c>
      <c r="D3402" s="2">
        <v>45324</v>
      </c>
      <c r="E3402" t="s">
        <v>2004</v>
      </c>
      <c r="F3402">
        <v>-8603.32</v>
      </c>
      <c r="G3402">
        <v>0</v>
      </c>
    </row>
    <row r="3403" spans="1:7" x14ac:dyDescent="0.3">
      <c r="A3403" s="2">
        <v>45327</v>
      </c>
      <c r="B3403" t="s">
        <v>2263</v>
      </c>
      <c r="C3403">
        <v>-157.87</v>
      </c>
      <c r="D3403" s="2">
        <v>45327</v>
      </c>
      <c r="E3403" t="s">
        <v>2004</v>
      </c>
      <c r="F3403">
        <v>-157.87</v>
      </c>
      <c r="G3403">
        <v>0</v>
      </c>
    </row>
    <row r="3404" spans="1:7" x14ac:dyDescent="0.3">
      <c r="A3404" s="2">
        <v>45327</v>
      </c>
      <c r="B3404" t="s">
        <v>2264</v>
      </c>
      <c r="C3404">
        <v>1130</v>
      </c>
      <c r="D3404" s="2">
        <v>45326</v>
      </c>
      <c r="E3404" t="s">
        <v>25</v>
      </c>
      <c r="F3404">
        <v>1130</v>
      </c>
      <c r="G3404">
        <v>0</v>
      </c>
    </row>
    <row r="3405" spans="1:7" x14ac:dyDescent="0.3">
      <c r="A3405" s="2">
        <v>45327</v>
      </c>
      <c r="B3405" t="s">
        <v>2265</v>
      </c>
      <c r="C3405">
        <v>2385</v>
      </c>
      <c r="D3405" s="2">
        <v>45324</v>
      </c>
      <c r="E3405" t="s">
        <v>25</v>
      </c>
      <c r="F3405">
        <v>2385</v>
      </c>
      <c r="G3405">
        <v>0</v>
      </c>
    </row>
    <row r="3406" spans="1:7" x14ac:dyDescent="0.3">
      <c r="A3406" s="2">
        <v>45327</v>
      </c>
      <c r="B3406" t="s">
        <v>2266</v>
      </c>
      <c r="C3406">
        <v>4430</v>
      </c>
      <c r="D3406" s="2">
        <v>45325</v>
      </c>
      <c r="E3406" t="s">
        <v>25</v>
      </c>
      <c r="F3406">
        <v>4430</v>
      </c>
      <c r="G3406">
        <v>0</v>
      </c>
    </row>
    <row r="3407" spans="1:7" x14ac:dyDescent="0.3">
      <c r="A3407" s="2">
        <v>45328</v>
      </c>
      <c r="B3407" t="s">
        <v>2267</v>
      </c>
      <c r="C3407">
        <v>1640</v>
      </c>
      <c r="D3407" s="2">
        <v>45327</v>
      </c>
      <c r="E3407" t="s">
        <v>25</v>
      </c>
      <c r="F3407">
        <v>1640</v>
      </c>
      <c r="G3407">
        <v>0</v>
      </c>
    </row>
    <row r="3408" spans="1:7" x14ac:dyDescent="0.3">
      <c r="A3408" s="2">
        <v>45329</v>
      </c>
      <c r="B3408" t="s">
        <v>2268</v>
      </c>
      <c r="C3408">
        <v>6125</v>
      </c>
      <c r="D3408" s="2">
        <v>45328</v>
      </c>
      <c r="E3408" t="s">
        <v>25</v>
      </c>
      <c r="F3408">
        <v>6125</v>
      </c>
      <c r="G3408">
        <v>0</v>
      </c>
    </row>
    <row r="3409" spans="1:7" x14ac:dyDescent="0.3">
      <c r="A3409" s="2">
        <v>45330</v>
      </c>
      <c r="B3409" t="s">
        <v>2269</v>
      </c>
      <c r="C3409">
        <v>21415</v>
      </c>
      <c r="D3409" s="2">
        <v>45329</v>
      </c>
      <c r="E3409" t="s">
        <v>25</v>
      </c>
      <c r="F3409">
        <v>21415</v>
      </c>
      <c r="G3409">
        <v>0</v>
      </c>
    </row>
    <row r="3410" spans="1:7" x14ac:dyDescent="0.3">
      <c r="A3410" s="2">
        <v>45331</v>
      </c>
      <c r="B3410" t="s">
        <v>2270</v>
      </c>
      <c r="C3410">
        <v>22330</v>
      </c>
      <c r="D3410" s="2">
        <v>45330</v>
      </c>
      <c r="E3410" t="s">
        <v>25</v>
      </c>
      <c r="F3410">
        <v>22330</v>
      </c>
      <c r="G3410">
        <v>0</v>
      </c>
    </row>
    <row r="3411" spans="1:7" x14ac:dyDescent="0.3">
      <c r="A3411" s="2">
        <v>45334</v>
      </c>
      <c r="B3411" t="s">
        <v>2271</v>
      </c>
      <c r="C3411">
        <v>-217.75</v>
      </c>
      <c r="D3411" s="2">
        <v>45334</v>
      </c>
      <c r="E3411" t="s">
        <v>2004</v>
      </c>
      <c r="F3411">
        <v>-217.75</v>
      </c>
      <c r="G3411">
        <v>0</v>
      </c>
    </row>
    <row r="3412" spans="1:7" x14ac:dyDescent="0.3">
      <c r="A3412" s="2">
        <v>45334</v>
      </c>
      <c r="B3412" t="s">
        <v>2272</v>
      </c>
      <c r="C3412">
        <v>915</v>
      </c>
      <c r="D3412" s="2">
        <v>45333</v>
      </c>
      <c r="E3412" t="s">
        <v>25</v>
      </c>
      <c r="F3412">
        <v>915</v>
      </c>
      <c r="G3412">
        <v>0</v>
      </c>
    </row>
    <row r="3413" spans="1:7" x14ac:dyDescent="0.3">
      <c r="A3413" s="2">
        <v>45334</v>
      </c>
      <c r="B3413" t="s">
        <v>2273</v>
      </c>
      <c r="C3413">
        <v>3140</v>
      </c>
      <c r="D3413" s="2">
        <v>45332</v>
      </c>
      <c r="E3413" t="s">
        <v>25</v>
      </c>
      <c r="F3413">
        <v>3140</v>
      </c>
      <c r="G3413">
        <v>0</v>
      </c>
    </row>
    <row r="3414" spans="1:7" x14ac:dyDescent="0.3">
      <c r="A3414" s="2">
        <v>45334</v>
      </c>
      <c r="B3414" t="s">
        <v>2274</v>
      </c>
      <c r="C3414">
        <v>9150</v>
      </c>
      <c r="D3414" s="2">
        <v>45331</v>
      </c>
      <c r="E3414" t="s">
        <v>25</v>
      </c>
      <c r="F3414">
        <v>9150</v>
      </c>
      <c r="G3414">
        <v>0</v>
      </c>
    </row>
    <row r="3415" spans="1:7" x14ac:dyDescent="0.3">
      <c r="A3415" s="2">
        <v>45335</v>
      </c>
      <c r="B3415" t="s">
        <v>2275</v>
      </c>
      <c r="C3415">
        <v>-119.88</v>
      </c>
      <c r="D3415" s="2">
        <v>45335</v>
      </c>
      <c r="E3415" t="s">
        <v>2004</v>
      </c>
      <c r="F3415">
        <v>-119.88</v>
      </c>
      <c r="G3415">
        <v>0</v>
      </c>
    </row>
    <row r="3416" spans="1:7" x14ac:dyDescent="0.3">
      <c r="A3416" s="2">
        <v>45335</v>
      </c>
      <c r="B3416" t="s">
        <v>2276</v>
      </c>
      <c r="C3416">
        <v>280</v>
      </c>
      <c r="D3416" s="2">
        <v>45334</v>
      </c>
      <c r="E3416" t="s">
        <v>25</v>
      </c>
      <c r="F3416">
        <v>280</v>
      </c>
      <c r="G3416">
        <v>0</v>
      </c>
    </row>
    <row r="3417" spans="1:7" x14ac:dyDescent="0.3">
      <c r="A3417" s="2">
        <v>45335</v>
      </c>
      <c r="B3417" t="s">
        <v>2277</v>
      </c>
      <c r="C3417">
        <v>1200</v>
      </c>
      <c r="D3417" s="2">
        <v>45335</v>
      </c>
      <c r="E3417" t="s">
        <v>25</v>
      </c>
      <c r="F3417">
        <v>1200</v>
      </c>
      <c r="G3417">
        <v>0</v>
      </c>
    </row>
    <row r="3418" spans="1:7" x14ac:dyDescent="0.3">
      <c r="A3418" s="2">
        <v>45336</v>
      </c>
      <c r="B3418" t="s">
        <v>2278</v>
      </c>
      <c r="C3418">
        <v>2740</v>
      </c>
      <c r="D3418" s="2">
        <v>45335</v>
      </c>
      <c r="E3418" t="s">
        <v>25</v>
      </c>
      <c r="F3418">
        <v>2740</v>
      </c>
      <c r="G3418">
        <v>0</v>
      </c>
    </row>
    <row r="3419" spans="1:7" x14ac:dyDescent="0.3">
      <c r="A3419" s="2">
        <v>45337</v>
      </c>
      <c r="B3419" t="s">
        <v>2279</v>
      </c>
      <c r="C3419">
        <v>-97.27</v>
      </c>
      <c r="D3419" s="2">
        <v>45337</v>
      </c>
      <c r="E3419" t="s">
        <v>2004</v>
      </c>
      <c r="F3419">
        <v>-97.27</v>
      </c>
      <c r="G3419">
        <v>0</v>
      </c>
    </row>
    <row r="3420" spans="1:7" x14ac:dyDescent="0.3">
      <c r="A3420" s="2">
        <v>45337</v>
      </c>
      <c r="B3420" t="s">
        <v>2279</v>
      </c>
      <c r="C3420">
        <v>-80.900000000000006</v>
      </c>
      <c r="D3420" s="2">
        <v>45337</v>
      </c>
      <c r="E3420" t="s">
        <v>2004</v>
      </c>
      <c r="F3420">
        <v>-80.900000000000006</v>
      </c>
      <c r="G3420">
        <v>0</v>
      </c>
    </row>
    <row r="3421" spans="1:7" x14ac:dyDescent="0.3">
      <c r="A3421" s="2">
        <v>45337</v>
      </c>
      <c r="B3421" t="s">
        <v>2280</v>
      </c>
      <c r="C3421">
        <v>1495</v>
      </c>
      <c r="D3421" s="2">
        <v>45336</v>
      </c>
      <c r="E3421" t="s">
        <v>25</v>
      </c>
      <c r="F3421">
        <v>1495</v>
      </c>
      <c r="G3421">
        <v>0</v>
      </c>
    </row>
    <row r="3422" spans="1:7" x14ac:dyDescent="0.3">
      <c r="A3422" s="2">
        <v>45338</v>
      </c>
      <c r="B3422" t="s">
        <v>2281</v>
      </c>
      <c r="C3422">
        <v>2390</v>
      </c>
      <c r="D3422" s="2">
        <v>45337</v>
      </c>
      <c r="E3422" t="s">
        <v>25</v>
      </c>
      <c r="F3422">
        <v>2390</v>
      </c>
      <c r="G3422">
        <v>0</v>
      </c>
    </row>
    <row r="3423" spans="1:7" x14ac:dyDescent="0.3">
      <c r="A3423" s="2">
        <v>45342</v>
      </c>
      <c r="B3423" t="s">
        <v>2282</v>
      </c>
      <c r="C3423">
        <v>-25</v>
      </c>
      <c r="D3423" s="2">
        <v>45342</v>
      </c>
      <c r="E3423" t="s">
        <v>2004</v>
      </c>
      <c r="F3423">
        <v>-25</v>
      </c>
      <c r="G3423">
        <v>0</v>
      </c>
    </row>
    <row r="3424" spans="1:7" x14ac:dyDescent="0.3">
      <c r="A3424" s="2">
        <v>45342</v>
      </c>
      <c r="B3424" t="s">
        <v>2283</v>
      </c>
      <c r="C3424">
        <v>-108.64</v>
      </c>
      <c r="D3424" s="2">
        <v>45342</v>
      </c>
      <c r="E3424" t="s">
        <v>2004</v>
      </c>
      <c r="F3424">
        <v>-108.64</v>
      </c>
      <c r="G3424">
        <v>0</v>
      </c>
    </row>
    <row r="3425" spans="1:7" x14ac:dyDescent="0.3">
      <c r="A3425" s="2">
        <v>45342</v>
      </c>
      <c r="B3425" t="s">
        <v>2284</v>
      </c>
      <c r="C3425">
        <v>-10.88</v>
      </c>
      <c r="D3425" s="2">
        <v>45342</v>
      </c>
      <c r="E3425" t="s">
        <v>2004</v>
      </c>
      <c r="F3425">
        <v>-10.88</v>
      </c>
      <c r="G3425">
        <v>0</v>
      </c>
    </row>
    <row r="3426" spans="1:7" x14ac:dyDescent="0.3">
      <c r="A3426" s="2">
        <v>45342</v>
      </c>
      <c r="B3426" t="s">
        <v>2285</v>
      </c>
      <c r="C3426">
        <v>115</v>
      </c>
      <c r="D3426" s="2">
        <v>45341</v>
      </c>
      <c r="E3426" t="s">
        <v>25</v>
      </c>
      <c r="F3426">
        <v>115</v>
      </c>
      <c r="G3426">
        <v>0</v>
      </c>
    </row>
    <row r="3427" spans="1:7" x14ac:dyDescent="0.3">
      <c r="A3427" s="2">
        <v>45342</v>
      </c>
      <c r="B3427" t="s">
        <v>2286</v>
      </c>
      <c r="C3427">
        <v>515</v>
      </c>
      <c r="D3427" s="2">
        <v>45340</v>
      </c>
      <c r="E3427" t="s">
        <v>25</v>
      </c>
      <c r="F3427">
        <v>515</v>
      </c>
      <c r="G3427">
        <v>0</v>
      </c>
    </row>
    <row r="3428" spans="1:7" x14ac:dyDescent="0.3">
      <c r="A3428" s="2">
        <v>45342</v>
      </c>
      <c r="B3428" t="s">
        <v>2287</v>
      </c>
      <c r="C3428">
        <v>695</v>
      </c>
      <c r="D3428" s="2">
        <v>45339</v>
      </c>
      <c r="E3428" t="s">
        <v>25</v>
      </c>
      <c r="F3428">
        <v>695</v>
      </c>
      <c r="G3428">
        <v>0</v>
      </c>
    </row>
    <row r="3429" spans="1:7" x14ac:dyDescent="0.3">
      <c r="A3429" s="2">
        <v>45343</v>
      </c>
      <c r="B3429" t="s">
        <v>2288</v>
      </c>
      <c r="C3429">
        <v>-109</v>
      </c>
      <c r="D3429" s="2">
        <v>45343</v>
      </c>
      <c r="E3429" t="s">
        <v>2004</v>
      </c>
      <c r="F3429">
        <v>-109</v>
      </c>
      <c r="G3429">
        <v>0</v>
      </c>
    </row>
    <row r="3430" spans="1:7" x14ac:dyDescent="0.3">
      <c r="A3430" s="2">
        <v>45343</v>
      </c>
      <c r="B3430" t="s">
        <v>2289</v>
      </c>
      <c r="C3430">
        <v>1215</v>
      </c>
      <c r="D3430" s="2">
        <v>45342</v>
      </c>
      <c r="E3430" t="s">
        <v>25</v>
      </c>
      <c r="F3430">
        <v>1215</v>
      </c>
      <c r="G3430">
        <v>0</v>
      </c>
    </row>
    <row r="3431" spans="1:7" x14ac:dyDescent="0.3">
      <c r="A3431" s="2">
        <v>45344</v>
      </c>
      <c r="B3431" t="s">
        <v>2290</v>
      </c>
      <c r="C3431">
        <v>2295</v>
      </c>
      <c r="D3431" s="2">
        <v>45343</v>
      </c>
      <c r="E3431" t="s">
        <v>25</v>
      </c>
      <c r="F3431">
        <v>2295</v>
      </c>
      <c r="G3431">
        <v>0</v>
      </c>
    </row>
    <row r="3432" spans="1:7" x14ac:dyDescent="0.3">
      <c r="A3432" s="2">
        <v>45345</v>
      </c>
      <c r="B3432" t="s">
        <v>2291</v>
      </c>
      <c r="C3432">
        <v>2950</v>
      </c>
      <c r="D3432" s="2">
        <v>45344</v>
      </c>
      <c r="E3432" t="s">
        <v>25</v>
      </c>
      <c r="F3432">
        <v>2950</v>
      </c>
      <c r="G3432">
        <v>0</v>
      </c>
    </row>
    <row r="3433" spans="1:7" x14ac:dyDescent="0.3">
      <c r="A3433" s="2">
        <v>45348</v>
      </c>
      <c r="B3433" t="s">
        <v>2292</v>
      </c>
      <c r="C3433">
        <v>-14.99</v>
      </c>
      <c r="D3433" s="2">
        <v>45348</v>
      </c>
      <c r="E3433" t="s">
        <v>2004</v>
      </c>
      <c r="F3433">
        <v>-14.99</v>
      </c>
      <c r="G3433">
        <v>0</v>
      </c>
    </row>
    <row r="3434" spans="1:7" x14ac:dyDescent="0.3">
      <c r="A3434" s="2">
        <v>45348</v>
      </c>
      <c r="B3434" t="s">
        <v>2293</v>
      </c>
      <c r="C3434">
        <v>-144.80000000000001</v>
      </c>
      <c r="D3434" s="2">
        <v>45348</v>
      </c>
      <c r="E3434" t="s">
        <v>2004</v>
      </c>
      <c r="F3434">
        <v>-144.80000000000001</v>
      </c>
      <c r="G3434">
        <v>0</v>
      </c>
    </row>
    <row r="3435" spans="1:7" x14ac:dyDescent="0.3">
      <c r="A3435" s="2">
        <v>45348</v>
      </c>
      <c r="B3435" t="s">
        <v>2294</v>
      </c>
      <c r="C3435">
        <v>-3656.5</v>
      </c>
      <c r="D3435" s="2">
        <v>45348</v>
      </c>
      <c r="E3435" t="s">
        <v>2004</v>
      </c>
      <c r="F3435">
        <v>-3656.5</v>
      </c>
      <c r="G3435">
        <v>0</v>
      </c>
    </row>
    <row r="3436" spans="1:7" x14ac:dyDescent="0.3">
      <c r="A3436" s="2">
        <v>45348</v>
      </c>
      <c r="B3436" t="s">
        <v>2295</v>
      </c>
      <c r="C3436">
        <v>580</v>
      </c>
      <c r="D3436" s="2">
        <v>45347</v>
      </c>
      <c r="E3436" t="s">
        <v>25</v>
      </c>
      <c r="F3436">
        <v>580</v>
      </c>
      <c r="G3436">
        <v>0</v>
      </c>
    </row>
    <row r="3437" spans="1:7" x14ac:dyDescent="0.3">
      <c r="A3437" s="2">
        <v>45348</v>
      </c>
      <c r="B3437" t="s">
        <v>2296</v>
      </c>
      <c r="C3437">
        <v>2770</v>
      </c>
      <c r="D3437" s="2">
        <v>45346</v>
      </c>
      <c r="E3437" t="s">
        <v>25</v>
      </c>
      <c r="F3437">
        <v>2770</v>
      </c>
      <c r="G3437">
        <v>0</v>
      </c>
    </row>
    <row r="3438" spans="1:7" x14ac:dyDescent="0.3">
      <c r="A3438" s="2">
        <v>45349</v>
      </c>
      <c r="B3438" t="s">
        <v>2297</v>
      </c>
      <c r="C3438">
        <v>-266</v>
      </c>
      <c r="D3438" s="2">
        <v>45349</v>
      </c>
      <c r="E3438" t="s">
        <v>2004</v>
      </c>
      <c r="F3438">
        <v>-266</v>
      </c>
      <c r="G3438">
        <v>0</v>
      </c>
    </row>
    <row r="3439" spans="1:7" x14ac:dyDescent="0.3">
      <c r="A3439" s="2">
        <v>45349</v>
      </c>
      <c r="B3439" t="s">
        <v>2298</v>
      </c>
      <c r="C3439">
        <v>480</v>
      </c>
      <c r="D3439" s="2">
        <v>45348</v>
      </c>
      <c r="E3439" t="s">
        <v>25</v>
      </c>
      <c r="F3439">
        <v>480</v>
      </c>
      <c r="G3439">
        <v>0</v>
      </c>
    </row>
    <row r="3440" spans="1:7" x14ac:dyDescent="0.3">
      <c r="A3440" s="2">
        <v>45350</v>
      </c>
      <c r="B3440" t="s">
        <v>2299</v>
      </c>
      <c r="C3440">
        <v>-6120.45</v>
      </c>
      <c r="D3440" s="2">
        <v>45350</v>
      </c>
      <c r="E3440" t="s">
        <v>2004</v>
      </c>
      <c r="F3440">
        <v>-6120.45</v>
      </c>
      <c r="G3440">
        <v>0</v>
      </c>
    </row>
    <row r="3441" spans="1:7" x14ac:dyDescent="0.3">
      <c r="A3441" s="2">
        <v>45350</v>
      </c>
      <c r="B3441" t="s">
        <v>2300</v>
      </c>
      <c r="C3441">
        <v>-650.98</v>
      </c>
      <c r="D3441" s="2">
        <v>45350</v>
      </c>
      <c r="E3441" t="s">
        <v>2004</v>
      </c>
      <c r="F3441">
        <v>-650.98</v>
      </c>
      <c r="G3441">
        <v>0</v>
      </c>
    </row>
    <row r="3442" spans="1:7" x14ac:dyDescent="0.3">
      <c r="A3442" s="2">
        <v>45350</v>
      </c>
      <c r="B3442" t="s">
        <v>2301</v>
      </c>
      <c r="C3442">
        <v>6880</v>
      </c>
      <c r="D3442" s="2">
        <v>45349</v>
      </c>
      <c r="E3442" t="s">
        <v>25</v>
      </c>
      <c r="F3442">
        <v>6880</v>
      </c>
      <c r="G3442">
        <v>0</v>
      </c>
    </row>
    <row r="3443" spans="1:7" x14ac:dyDescent="0.3">
      <c r="A3443" s="2">
        <v>45351</v>
      </c>
      <c r="B3443" t="s">
        <v>2302</v>
      </c>
      <c r="C3443">
        <v>-63331.96</v>
      </c>
      <c r="D3443" s="2">
        <v>45351</v>
      </c>
      <c r="E3443" t="s">
        <v>2004</v>
      </c>
      <c r="F3443">
        <v>-63331.96</v>
      </c>
      <c r="G3443">
        <v>0</v>
      </c>
    </row>
    <row r="3444" spans="1:7" x14ac:dyDescent="0.3">
      <c r="A3444" s="2">
        <v>45351</v>
      </c>
      <c r="B3444" t="s">
        <v>2303</v>
      </c>
      <c r="C3444">
        <v>-92.17</v>
      </c>
      <c r="D3444" s="2">
        <v>45351</v>
      </c>
      <c r="E3444" t="s">
        <v>2004</v>
      </c>
      <c r="F3444">
        <v>-92.17</v>
      </c>
      <c r="G3444">
        <v>0</v>
      </c>
    </row>
    <row r="3445" spans="1:7" x14ac:dyDescent="0.3">
      <c r="A3445" s="2">
        <v>45351</v>
      </c>
      <c r="B3445" t="s">
        <v>2304</v>
      </c>
      <c r="C3445">
        <v>5550</v>
      </c>
      <c r="D3445" s="2">
        <v>45350</v>
      </c>
      <c r="E3445" t="s">
        <v>25</v>
      </c>
      <c r="F3445">
        <v>5550</v>
      </c>
      <c r="G3445">
        <v>0</v>
      </c>
    </row>
    <row r="3446" spans="1:7" x14ac:dyDescent="0.3">
      <c r="A3446" s="2">
        <v>45352</v>
      </c>
      <c r="B3446" t="s">
        <v>2305</v>
      </c>
      <c r="C3446">
        <v>-1081.5</v>
      </c>
      <c r="D3446" s="2">
        <v>45352</v>
      </c>
      <c r="E3446" t="s">
        <v>2004</v>
      </c>
      <c r="F3446">
        <v>-1081.5</v>
      </c>
      <c r="G3446">
        <v>0</v>
      </c>
    </row>
    <row r="3447" spans="1:7" x14ac:dyDescent="0.3">
      <c r="A3447" s="2">
        <v>45352</v>
      </c>
      <c r="B3447" t="s">
        <v>2306</v>
      </c>
      <c r="C3447">
        <v>-50</v>
      </c>
      <c r="D3447" s="2">
        <v>45352</v>
      </c>
      <c r="E3447" t="s">
        <v>2004</v>
      </c>
      <c r="F3447">
        <v>-50</v>
      </c>
      <c r="G3447">
        <v>0</v>
      </c>
    </row>
    <row r="3448" spans="1:7" x14ac:dyDescent="0.3">
      <c r="A3448" s="2">
        <v>45352</v>
      </c>
      <c r="B3448" t="s">
        <v>2307</v>
      </c>
      <c r="C3448">
        <v>-423.09</v>
      </c>
      <c r="D3448" s="2">
        <v>45352</v>
      </c>
      <c r="E3448" t="s">
        <v>2004</v>
      </c>
      <c r="F3448">
        <v>-423.09</v>
      </c>
      <c r="G3448">
        <v>0</v>
      </c>
    </row>
    <row r="3449" spans="1:7" x14ac:dyDescent="0.3">
      <c r="A3449" s="2">
        <v>45352</v>
      </c>
      <c r="B3449" t="s">
        <v>2308</v>
      </c>
      <c r="C3449">
        <v>-65.33</v>
      </c>
      <c r="D3449" s="2">
        <v>45352</v>
      </c>
      <c r="E3449" t="s">
        <v>2004</v>
      </c>
      <c r="F3449">
        <v>-65.33</v>
      </c>
      <c r="G3449">
        <v>0</v>
      </c>
    </row>
    <row r="3450" spans="1:7" x14ac:dyDescent="0.3">
      <c r="A3450" s="2">
        <v>45352</v>
      </c>
      <c r="B3450" t="s">
        <v>2309</v>
      </c>
      <c r="C3450">
        <v>-34</v>
      </c>
      <c r="D3450" s="2">
        <v>45352</v>
      </c>
      <c r="E3450" t="s">
        <v>2004</v>
      </c>
      <c r="F3450">
        <v>-34</v>
      </c>
      <c r="G3450">
        <v>0</v>
      </c>
    </row>
    <row r="3451" spans="1:7" x14ac:dyDescent="0.3">
      <c r="A3451" s="2">
        <v>45352</v>
      </c>
      <c r="B3451" t="s">
        <v>2310</v>
      </c>
      <c r="C3451">
        <v>2645</v>
      </c>
      <c r="D3451" s="2">
        <v>45351</v>
      </c>
      <c r="E3451" t="s">
        <v>25</v>
      </c>
      <c r="F3451">
        <v>2645</v>
      </c>
      <c r="G3451">
        <v>0</v>
      </c>
    </row>
    <row r="3452" spans="1:7" x14ac:dyDescent="0.3">
      <c r="A3452" s="2">
        <v>45355</v>
      </c>
      <c r="B3452" t="s">
        <v>2311</v>
      </c>
      <c r="C3452">
        <v>-28.05</v>
      </c>
      <c r="D3452" s="2">
        <v>45355</v>
      </c>
      <c r="E3452" t="s">
        <v>2004</v>
      </c>
      <c r="F3452">
        <v>-28.05</v>
      </c>
      <c r="G3452">
        <v>0</v>
      </c>
    </row>
    <row r="3453" spans="1:7" x14ac:dyDescent="0.3">
      <c r="A3453" s="2">
        <v>45355</v>
      </c>
      <c r="B3453" t="s">
        <v>2312</v>
      </c>
      <c r="C3453">
        <v>-10</v>
      </c>
      <c r="D3453" s="2">
        <v>45355</v>
      </c>
      <c r="E3453" t="s">
        <v>2004</v>
      </c>
      <c r="F3453">
        <v>-10</v>
      </c>
      <c r="G3453">
        <v>0</v>
      </c>
    </row>
    <row r="3454" spans="1:7" x14ac:dyDescent="0.3">
      <c r="A3454" s="2">
        <v>45355</v>
      </c>
      <c r="B3454" t="s">
        <v>2312</v>
      </c>
      <c r="C3454">
        <v>-15</v>
      </c>
      <c r="D3454" s="2">
        <v>45355</v>
      </c>
      <c r="E3454" t="s">
        <v>2004</v>
      </c>
      <c r="F3454">
        <v>-15</v>
      </c>
      <c r="G3454">
        <v>0</v>
      </c>
    </row>
    <row r="3455" spans="1:7" x14ac:dyDescent="0.3">
      <c r="A3455" s="2">
        <v>45355</v>
      </c>
      <c r="B3455" t="s">
        <v>2313</v>
      </c>
      <c r="C3455">
        <v>-20</v>
      </c>
      <c r="D3455" s="2">
        <v>45355</v>
      </c>
      <c r="E3455" t="s">
        <v>2004</v>
      </c>
      <c r="F3455">
        <v>-20</v>
      </c>
      <c r="G3455">
        <v>0</v>
      </c>
    </row>
    <row r="3456" spans="1:7" x14ac:dyDescent="0.3">
      <c r="A3456" s="2">
        <v>45355</v>
      </c>
      <c r="B3456" t="s">
        <v>2314</v>
      </c>
      <c r="C3456">
        <v>-48.01</v>
      </c>
      <c r="D3456" s="2">
        <v>45355</v>
      </c>
      <c r="E3456" t="s">
        <v>2004</v>
      </c>
      <c r="F3456">
        <v>-48.01</v>
      </c>
      <c r="G3456">
        <v>0</v>
      </c>
    </row>
    <row r="3457" spans="1:7" x14ac:dyDescent="0.3">
      <c r="A3457" s="2">
        <v>45355</v>
      </c>
      <c r="B3457" t="s">
        <v>2311</v>
      </c>
      <c r="C3457">
        <v>-181.15</v>
      </c>
      <c r="D3457" s="2">
        <v>45355</v>
      </c>
      <c r="E3457" t="s">
        <v>2004</v>
      </c>
      <c r="F3457">
        <v>-181.15</v>
      </c>
      <c r="G3457">
        <v>0</v>
      </c>
    </row>
    <row r="3458" spans="1:7" x14ac:dyDescent="0.3">
      <c r="A3458" s="2">
        <v>45355</v>
      </c>
      <c r="B3458" t="s">
        <v>2315</v>
      </c>
      <c r="C3458">
        <v>-92.03</v>
      </c>
      <c r="D3458" s="2">
        <v>45355</v>
      </c>
      <c r="E3458" t="s">
        <v>2004</v>
      </c>
      <c r="F3458">
        <v>-92.03</v>
      </c>
      <c r="G3458">
        <v>0</v>
      </c>
    </row>
    <row r="3459" spans="1:7" x14ac:dyDescent="0.3">
      <c r="A3459" s="2">
        <v>45355</v>
      </c>
      <c r="B3459" t="s">
        <v>2315</v>
      </c>
      <c r="C3459">
        <v>-324.57</v>
      </c>
      <c r="D3459" s="2">
        <v>45355</v>
      </c>
      <c r="E3459" t="s">
        <v>2004</v>
      </c>
      <c r="F3459">
        <v>-324.57</v>
      </c>
      <c r="G3459">
        <v>0</v>
      </c>
    </row>
    <row r="3460" spans="1:7" x14ac:dyDescent="0.3">
      <c r="A3460" s="2">
        <v>45355</v>
      </c>
      <c r="B3460" t="s">
        <v>2316</v>
      </c>
      <c r="C3460">
        <v>-6.23</v>
      </c>
      <c r="D3460" s="2">
        <v>45355</v>
      </c>
      <c r="E3460" t="s">
        <v>2004</v>
      </c>
      <c r="F3460">
        <v>-6.23</v>
      </c>
      <c r="G3460">
        <v>0</v>
      </c>
    </row>
    <row r="3461" spans="1:7" x14ac:dyDescent="0.3">
      <c r="A3461" s="2">
        <v>45355</v>
      </c>
      <c r="B3461" t="s">
        <v>2316</v>
      </c>
      <c r="C3461">
        <v>-54.19</v>
      </c>
      <c r="D3461" s="2">
        <v>45355</v>
      </c>
      <c r="E3461" t="s">
        <v>2004</v>
      </c>
      <c r="F3461">
        <v>-54.19</v>
      </c>
      <c r="G3461">
        <v>0</v>
      </c>
    </row>
    <row r="3462" spans="1:7" x14ac:dyDescent="0.3">
      <c r="A3462" s="2">
        <v>45355</v>
      </c>
      <c r="B3462" t="s">
        <v>2316</v>
      </c>
      <c r="C3462">
        <v>-58.77</v>
      </c>
      <c r="D3462" s="2">
        <v>45355</v>
      </c>
      <c r="E3462" t="s">
        <v>2004</v>
      </c>
      <c r="F3462">
        <v>-58.77</v>
      </c>
      <c r="G3462">
        <v>0</v>
      </c>
    </row>
    <row r="3463" spans="1:7" x14ac:dyDescent="0.3">
      <c r="A3463" s="2">
        <v>45355</v>
      </c>
      <c r="B3463" t="s">
        <v>2317</v>
      </c>
      <c r="C3463">
        <v>-22.55</v>
      </c>
      <c r="D3463" s="2">
        <v>45355</v>
      </c>
      <c r="E3463" t="s">
        <v>2004</v>
      </c>
      <c r="F3463">
        <v>-22.55</v>
      </c>
      <c r="G3463">
        <v>0</v>
      </c>
    </row>
    <row r="3464" spans="1:7" x14ac:dyDescent="0.3">
      <c r="A3464" s="2">
        <v>45355</v>
      </c>
      <c r="B3464" t="s">
        <v>2318</v>
      </c>
      <c r="C3464">
        <v>-157.87</v>
      </c>
      <c r="D3464" s="2">
        <v>45355</v>
      </c>
      <c r="E3464" t="s">
        <v>2004</v>
      </c>
      <c r="F3464">
        <v>-157.87</v>
      </c>
      <c r="G3464">
        <v>0</v>
      </c>
    </row>
    <row r="3465" spans="1:7" x14ac:dyDescent="0.3">
      <c r="A3465" s="2">
        <v>45355</v>
      </c>
      <c r="B3465" t="s">
        <v>2319</v>
      </c>
      <c r="C3465">
        <v>-20.3</v>
      </c>
      <c r="D3465" s="2">
        <v>45355</v>
      </c>
      <c r="E3465" t="s">
        <v>2004</v>
      </c>
      <c r="F3465">
        <v>-20.3</v>
      </c>
      <c r="G3465">
        <v>0</v>
      </c>
    </row>
    <row r="3466" spans="1:7" x14ac:dyDescent="0.3">
      <c r="A3466" s="2">
        <v>45355</v>
      </c>
      <c r="B3466" t="s">
        <v>2320</v>
      </c>
      <c r="C3466">
        <v>-4909.3</v>
      </c>
      <c r="D3466" s="2">
        <v>45355</v>
      </c>
      <c r="E3466" t="s">
        <v>2004</v>
      </c>
      <c r="F3466">
        <v>-4909.3</v>
      </c>
      <c r="G3466">
        <v>0</v>
      </c>
    </row>
    <row r="3467" spans="1:7" x14ac:dyDescent="0.3">
      <c r="A3467" s="2">
        <v>45355</v>
      </c>
      <c r="B3467" t="s">
        <v>2311</v>
      </c>
      <c r="C3467">
        <v>-24.41</v>
      </c>
      <c r="D3467" s="2">
        <v>45355</v>
      </c>
      <c r="E3467" t="s">
        <v>2004</v>
      </c>
      <c r="F3467">
        <v>-24.41</v>
      </c>
      <c r="G3467">
        <v>0</v>
      </c>
    </row>
    <row r="3468" spans="1:7" x14ac:dyDescent="0.3">
      <c r="A3468" s="2">
        <v>45355</v>
      </c>
      <c r="B3468" t="s">
        <v>2321</v>
      </c>
      <c r="C3468">
        <v>-27.21</v>
      </c>
      <c r="D3468" s="2">
        <v>45355</v>
      </c>
      <c r="E3468" t="s">
        <v>2004</v>
      </c>
      <c r="F3468">
        <v>-27.21</v>
      </c>
      <c r="G3468">
        <v>0</v>
      </c>
    </row>
    <row r="3469" spans="1:7" x14ac:dyDescent="0.3">
      <c r="A3469" s="2">
        <v>45355</v>
      </c>
      <c r="B3469" t="s">
        <v>2322</v>
      </c>
      <c r="C3469">
        <v>-40.46</v>
      </c>
      <c r="D3469" s="2">
        <v>45355</v>
      </c>
      <c r="E3469" t="s">
        <v>2004</v>
      </c>
      <c r="F3469">
        <v>-40.46</v>
      </c>
      <c r="G3469">
        <v>0</v>
      </c>
    </row>
    <row r="3470" spans="1:7" x14ac:dyDescent="0.3">
      <c r="A3470" s="2">
        <v>45355</v>
      </c>
      <c r="B3470" t="s">
        <v>2311</v>
      </c>
      <c r="C3470">
        <v>-156.05000000000001</v>
      </c>
      <c r="D3470" s="2">
        <v>45355</v>
      </c>
      <c r="E3470" t="s">
        <v>2004</v>
      </c>
      <c r="F3470">
        <v>-156.05000000000001</v>
      </c>
      <c r="G3470">
        <v>0</v>
      </c>
    </row>
    <row r="3471" spans="1:7" x14ac:dyDescent="0.3">
      <c r="A3471" s="2">
        <v>45355</v>
      </c>
      <c r="B3471" t="s">
        <v>2323</v>
      </c>
      <c r="C3471">
        <v>400</v>
      </c>
      <c r="D3471" s="2">
        <v>45354</v>
      </c>
      <c r="E3471" t="s">
        <v>25</v>
      </c>
      <c r="F3471">
        <v>400</v>
      </c>
      <c r="G3471">
        <v>0</v>
      </c>
    </row>
    <row r="3472" spans="1:7" x14ac:dyDescent="0.3">
      <c r="A3472" s="2">
        <v>45355</v>
      </c>
      <c r="B3472" t="s">
        <v>2324</v>
      </c>
      <c r="C3472">
        <v>445</v>
      </c>
      <c r="D3472" s="2">
        <v>45352</v>
      </c>
      <c r="E3472" t="s">
        <v>25</v>
      </c>
      <c r="F3472">
        <v>445</v>
      </c>
      <c r="G3472">
        <v>0</v>
      </c>
    </row>
    <row r="3473" spans="1:7" x14ac:dyDescent="0.3">
      <c r="A3473" s="2">
        <v>45355</v>
      </c>
      <c r="B3473" t="s">
        <v>2325</v>
      </c>
      <c r="C3473">
        <v>1505</v>
      </c>
      <c r="D3473" s="2">
        <v>45353</v>
      </c>
      <c r="E3473" t="s">
        <v>25</v>
      </c>
      <c r="F3473">
        <v>1505</v>
      </c>
      <c r="G3473">
        <v>0</v>
      </c>
    </row>
    <row r="3474" spans="1:7" x14ac:dyDescent="0.3">
      <c r="A3474" s="2">
        <v>45356</v>
      </c>
      <c r="B3474" t="s">
        <v>2326</v>
      </c>
      <c r="C3474">
        <v>-137.15</v>
      </c>
      <c r="D3474" s="2">
        <v>45356</v>
      </c>
      <c r="E3474" t="s">
        <v>2004</v>
      </c>
      <c r="F3474">
        <v>-137.15</v>
      </c>
      <c r="G3474">
        <v>0</v>
      </c>
    </row>
    <row r="3475" spans="1:7" x14ac:dyDescent="0.3">
      <c r="A3475" s="2">
        <v>45356</v>
      </c>
      <c r="B3475" t="s">
        <v>2327</v>
      </c>
      <c r="C3475">
        <v>165</v>
      </c>
      <c r="D3475" s="2">
        <v>45355</v>
      </c>
      <c r="E3475" t="s">
        <v>25</v>
      </c>
      <c r="F3475">
        <v>165</v>
      </c>
      <c r="G3475">
        <v>0</v>
      </c>
    </row>
    <row r="3476" spans="1:7" x14ac:dyDescent="0.3">
      <c r="A3476" s="2">
        <v>45357</v>
      </c>
      <c r="B3476" t="s">
        <v>2328</v>
      </c>
      <c r="C3476">
        <v>-30.06</v>
      </c>
      <c r="D3476" s="2">
        <v>45357</v>
      </c>
      <c r="E3476" t="s">
        <v>2004</v>
      </c>
      <c r="F3476">
        <v>-30.06</v>
      </c>
      <c r="G3476">
        <v>0</v>
      </c>
    </row>
    <row r="3477" spans="1:7" x14ac:dyDescent="0.3">
      <c r="A3477" s="2">
        <v>45357</v>
      </c>
      <c r="B3477" t="s">
        <v>2329</v>
      </c>
      <c r="C3477">
        <v>-12.52</v>
      </c>
      <c r="D3477" s="2">
        <v>45357</v>
      </c>
      <c r="E3477" t="s">
        <v>2004</v>
      </c>
      <c r="F3477">
        <v>-12.52</v>
      </c>
      <c r="G3477">
        <v>0</v>
      </c>
    </row>
    <row r="3478" spans="1:7" x14ac:dyDescent="0.3">
      <c r="A3478" s="2">
        <v>45357</v>
      </c>
      <c r="B3478" t="s">
        <v>2330</v>
      </c>
      <c r="C3478">
        <v>-586.02</v>
      </c>
      <c r="D3478" s="2">
        <v>45357</v>
      </c>
      <c r="E3478" t="s">
        <v>2004</v>
      </c>
      <c r="F3478">
        <v>-586.02</v>
      </c>
      <c r="G3478">
        <v>0</v>
      </c>
    </row>
    <row r="3479" spans="1:7" x14ac:dyDescent="0.3">
      <c r="A3479" s="2">
        <v>45357</v>
      </c>
      <c r="B3479" t="s">
        <v>2331</v>
      </c>
      <c r="C3479">
        <v>2260</v>
      </c>
      <c r="D3479" s="2">
        <v>45356</v>
      </c>
      <c r="E3479" t="s">
        <v>25</v>
      </c>
      <c r="F3479">
        <v>2260</v>
      </c>
      <c r="G3479">
        <v>0</v>
      </c>
    </row>
    <row r="3480" spans="1:7" x14ac:dyDescent="0.3">
      <c r="A3480" s="2">
        <v>45358</v>
      </c>
      <c r="B3480" t="s">
        <v>2332</v>
      </c>
      <c r="C3480">
        <v>230</v>
      </c>
      <c r="D3480" s="2">
        <v>45358</v>
      </c>
      <c r="E3480" t="s">
        <v>25</v>
      </c>
      <c r="F3480">
        <v>230</v>
      </c>
      <c r="G3480">
        <v>0</v>
      </c>
    </row>
    <row r="3481" spans="1:7" x14ac:dyDescent="0.3">
      <c r="A3481" s="2">
        <v>45358</v>
      </c>
      <c r="B3481" t="s">
        <v>2333</v>
      </c>
      <c r="C3481">
        <v>360</v>
      </c>
      <c r="D3481" s="2">
        <v>45357</v>
      </c>
      <c r="E3481" t="s">
        <v>25</v>
      </c>
      <c r="F3481">
        <v>360</v>
      </c>
      <c r="G3481">
        <v>0</v>
      </c>
    </row>
    <row r="3482" spans="1:7" x14ac:dyDescent="0.3">
      <c r="A3482" s="2">
        <v>45358</v>
      </c>
      <c r="B3482" t="s">
        <v>2334</v>
      </c>
      <c r="C3482">
        <v>1800</v>
      </c>
      <c r="D3482" s="2">
        <v>45358</v>
      </c>
      <c r="E3482" t="s">
        <v>25</v>
      </c>
      <c r="F3482">
        <v>1800</v>
      </c>
      <c r="G3482">
        <v>0</v>
      </c>
    </row>
    <row r="3483" spans="1:7" x14ac:dyDescent="0.3">
      <c r="A3483" s="2">
        <v>45358</v>
      </c>
      <c r="B3483" t="s">
        <v>2335</v>
      </c>
      <c r="C3483">
        <v>20</v>
      </c>
      <c r="D3483" s="2">
        <v>45358</v>
      </c>
      <c r="E3483" t="s">
        <v>25</v>
      </c>
      <c r="F3483">
        <v>20</v>
      </c>
      <c r="G3483">
        <v>0</v>
      </c>
    </row>
    <row r="3484" spans="1:7" x14ac:dyDescent="0.3">
      <c r="A3484" s="2">
        <v>45359</v>
      </c>
      <c r="B3484" t="s">
        <v>2336</v>
      </c>
      <c r="C3484">
        <v>-49383.22</v>
      </c>
      <c r="D3484" s="2">
        <v>45359</v>
      </c>
      <c r="E3484" t="s">
        <v>2004</v>
      </c>
      <c r="F3484">
        <v>-49383.22</v>
      </c>
      <c r="G3484">
        <v>0</v>
      </c>
    </row>
    <row r="3485" spans="1:7" x14ac:dyDescent="0.3">
      <c r="A3485" s="2">
        <v>45362</v>
      </c>
      <c r="B3485" t="s">
        <v>2337</v>
      </c>
      <c r="C3485">
        <v>-217.75</v>
      </c>
      <c r="D3485" s="2">
        <v>45362</v>
      </c>
      <c r="E3485" t="s">
        <v>2004</v>
      </c>
      <c r="F3485">
        <v>-217.75</v>
      </c>
      <c r="G3485">
        <v>0</v>
      </c>
    </row>
    <row r="3486" spans="1:7" x14ac:dyDescent="0.3">
      <c r="A3486" s="2">
        <v>45362</v>
      </c>
      <c r="B3486" t="s">
        <v>2338</v>
      </c>
      <c r="C3486">
        <v>85</v>
      </c>
      <c r="D3486" s="2">
        <v>45359</v>
      </c>
      <c r="E3486" t="s">
        <v>25</v>
      </c>
      <c r="F3486">
        <v>85</v>
      </c>
      <c r="G3486">
        <v>0</v>
      </c>
    </row>
    <row r="3487" spans="1:7" x14ac:dyDescent="0.3">
      <c r="A3487" s="2">
        <v>45362</v>
      </c>
      <c r="B3487" t="s">
        <v>2339</v>
      </c>
      <c r="C3487">
        <v>165</v>
      </c>
      <c r="D3487" s="2">
        <v>45361</v>
      </c>
      <c r="E3487" t="s">
        <v>25</v>
      </c>
      <c r="F3487">
        <v>165</v>
      </c>
      <c r="G3487">
        <v>0</v>
      </c>
    </row>
    <row r="3488" spans="1:7" x14ac:dyDescent="0.3">
      <c r="A3488" s="2">
        <v>45362</v>
      </c>
      <c r="B3488" t="s">
        <v>2340</v>
      </c>
      <c r="C3488">
        <v>495</v>
      </c>
      <c r="D3488" s="2">
        <v>45360</v>
      </c>
      <c r="E3488" t="s">
        <v>25</v>
      </c>
      <c r="F3488">
        <v>495</v>
      </c>
      <c r="G3488">
        <v>0</v>
      </c>
    </row>
    <row r="3489" spans="1:7" x14ac:dyDescent="0.3">
      <c r="A3489" s="2">
        <v>45363</v>
      </c>
      <c r="B3489" t="s">
        <v>2341</v>
      </c>
      <c r="C3489">
        <v>255</v>
      </c>
      <c r="D3489" s="2">
        <v>45362</v>
      </c>
      <c r="E3489" t="s">
        <v>25</v>
      </c>
      <c r="F3489">
        <v>255</v>
      </c>
      <c r="G3489">
        <v>0</v>
      </c>
    </row>
    <row r="3490" spans="1:7" x14ac:dyDescent="0.3">
      <c r="A3490" s="2">
        <v>45364</v>
      </c>
      <c r="B3490" t="s">
        <v>2342</v>
      </c>
      <c r="C3490">
        <v>330</v>
      </c>
      <c r="D3490" s="2">
        <v>45363</v>
      </c>
      <c r="E3490" t="s">
        <v>25</v>
      </c>
      <c r="F3490">
        <v>330</v>
      </c>
      <c r="G3490">
        <v>0</v>
      </c>
    </row>
    <row r="3491" spans="1:7" x14ac:dyDescent="0.3">
      <c r="A3491" s="2">
        <v>45365</v>
      </c>
      <c r="B3491" t="s">
        <v>2343</v>
      </c>
      <c r="C3491">
        <v>-106</v>
      </c>
      <c r="D3491" s="2">
        <v>45365</v>
      </c>
      <c r="E3491" t="s">
        <v>2004</v>
      </c>
      <c r="F3491">
        <v>-106</v>
      </c>
      <c r="G3491">
        <v>0</v>
      </c>
    </row>
    <row r="3492" spans="1:7" x14ac:dyDescent="0.3">
      <c r="A3492" s="2">
        <v>45365</v>
      </c>
      <c r="B3492" t="s">
        <v>2344</v>
      </c>
      <c r="C3492">
        <v>-17000</v>
      </c>
      <c r="D3492" s="2">
        <v>45365</v>
      </c>
      <c r="E3492" t="s">
        <v>2004</v>
      </c>
      <c r="F3492">
        <v>-17000</v>
      </c>
      <c r="G3492">
        <v>0</v>
      </c>
    </row>
    <row r="3493" spans="1:7" x14ac:dyDescent="0.3">
      <c r="A3493" s="2">
        <v>45365</v>
      </c>
      <c r="B3493" t="s">
        <v>2345</v>
      </c>
      <c r="C3493">
        <v>-1330</v>
      </c>
      <c r="D3493" s="2">
        <v>45365</v>
      </c>
      <c r="E3493" t="s">
        <v>2004</v>
      </c>
      <c r="F3493">
        <v>-1330</v>
      </c>
      <c r="G3493">
        <v>0</v>
      </c>
    </row>
    <row r="3494" spans="1:7" x14ac:dyDescent="0.3">
      <c r="A3494" s="2">
        <v>45366</v>
      </c>
      <c r="B3494" t="s">
        <v>2346</v>
      </c>
      <c r="C3494">
        <v>-41000</v>
      </c>
      <c r="D3494" s="2">
        <v>45366</v>
      </c>
      <c r="E3494" t="s">
        <v>2004</v>
      </c>
      <c r="F3494">
        <v>-41000</v>
      </c>
      <c r="G3494">
        <v>0</v>
      </c>
    </row>
    <row r="3495" spans="1:7" x14ac:dyDescent="0.3">
      <c r="A3495" s="2">
        <v>45366</v>
      </c>
      <c r="B3495" t="s">
        <v>2347</v>
      </c>
      <c r="C3495">
        <v>-13600</v>
      </c>
      <c r="D3495" s="2">
        <v>45366</v>
      </c>
      <c r="E3495" t="s">
        <v>27</v>
      </c>
      <c r="F3495">
        <v>-13600</v>
      </c>
      <c r="G3495">
        <v>0</v>
      </c>
    </row>
    <row r="3496" spans="1:7" x14ac:dyDescent="0.3">
      <c r="A3496" s="2">
        <v>45366</v>
      </c>
      <c r="B3496" t="s">
        <v>2348</v>
      </c>
      <c r="C3496">
        <v>-327.5</v>
      </c>
      <c r="D3496" s="2">
        <v>45366</v>
      </c>
      <c r="E3496" t="s">
        <v>2004</v>
      </c>
      <c r="F3496">
        <v>-327.5</v>
      </c>
      <c r="G3496">
        <v>0</v>
      </c>
    </row>
    <row r="3497" spans="1:7" x14ac:dyDescent="0.3">
      <c r="A3497" s="2">
        <v>45366</v>
      </c>
      <c r="B3497" t="s">
        <v>2348</v>
      </c>
      <c r="C3497">
        <v>-16.37</v>
      </c>
      <c r="D3497" s="2">
        <v>45366</v>
      </c>
      <c r="E3497" t="s">
        <v>2004</v>
      </c>
      <c r="F3497">
        <v>-16.37</v>
      </c>
      <c r="G3497">
        <v>0</v>
      </c>
    </row>
    <row r="3498" spans="1:7" x14ac:dyDescent="0.3">
      <c r="A3498" s="2">
        <v>45366</v>
      </c>
      <c r="B3498" t="s">
        <v>2349</v>
      </c>
      <c r="C3498">
        <v>220</v>
      </c>
      <c r="D3498" s="2">
        <v>45365</v>
      </c>
      <c r="E3498" t="s">
        <v>25</v>
      </c>
      <c r="F3498">
        <v>220</v>
      </c>
      <c r="G3498">
        <v>0</v>
      </c>
    </row>
    <row r="3499" spans="1:7" x14ac:dyDescent="0.3">
      <c r="A3499" s="2">
        <v>45369</v>
      </c>
      <c r="B3499" t="s">
        <v>2350</v>
      </c>
      <c r="C3499">
        <v>-10.88</v>
      </c>
      <c r="D3499" s="2">
        <v>45369</v>
      </c>
      <c r="E3499" t="s">
        <v>2004</v>
      </c>
      <c r="F3499">
        <v>-10.88</v>
      </c>
      <c r="G3499">
        <v>0</v>
      </c>
    </row>
    <row r="3500" spans="1:7" x14ac:dyDescent="0.3">
      <c r="A3500" s="2">
        <v>45369</v>
      </c>
      <c r="B3500" t="s">
        <v>2351</v>
      </c>
      <c r="C3500">
        <v>600</v>
      </c>
      <c r="D3500" s="2">
        <v>45366</v>
      </c>
      <c r="E3500" t="s">
        <v>25</v>
      </c>
      <c r="F3500">
        <v>600</v>
      </c>
      <c r="G3500">
        <v>0</v>
      </c>
    </row>
    <row r="3501" spans="1:7" x14ac:dyDescent="0.3">
      <c r="A3501" s="2">
        <v>45369</v>
      </c>
      <c r="B3501" t="s">
        <v>2352</v>
      </c>
      <c r="C3501">
        <v>835</v>
      </c>
      <c r="D3501" s="2">
        <v>45367</v>
      </c>
      <c r="E3501" t="s">
        <v>25</v>
      </c>
      <c r="F3501">
        <v>835</v>
      </c>
      <c r="G3501">
        <v>0</v>
      </c>
    </row>
    <row r="3502" spans="1:7" x14ac:dyDescent="0.3">
      <c r="A3502" s="2">
        <v>45370</v>
      </c>
      <c r="B3502" t="s">
        <v>2353</v>
      </c>
      <c r="C3502">
        <v>-3500</v>
      </c>
      <c r="D3502" s="2">
        <v>45370</v>
      </c>
      <c r="E3502" t="s">
        <v>2004</v>
      </c>
      <c r="F3502">
        <v>-3500</v>
      </c>
      <c r="G3502">
        <v>0</v>
      </c>
    </row>
    <row r="3503" spans="1:7" x14ac:dyDescent="0.3">
      <c r="A3503" s="2">
        <v>45370</v>
      </c>
      <c r="B3503" t="s">
        <v>2354</v>
      </c>
      <c r="C3503">
        <v>-914.52</v>
      </c>
      <c r="D3503" s="2">
        <v>45370</v>
      </c>
      <c r="E3503" t="s">
        <v>2004</v>
      </c>
      <c r="F3503">
        <v>-914.52</v>
      </c>
      <c r="G3503">
        <v>0</v>
      </c>
    </row>
    <row r="3504" spans="1:7" x14ac:dyDescent="0.3">
      <c r="A3504" s="2">
        <v>45370</v>
      </c>
      <c r="B3504" t="s">
        <v>2355</v>
      </c>
      <c r="C3504">
        <v>165</v>
      </c>
      <c r="D3504" s="2">
        <v>45369</v>
      </c>
      <c r="E3504" t="s">
        <v>25</v>
      </c>
      <c r="F3504">
        <v>165</v>
      </c>
      <c r="G3504">
        <v>0</v>
      </c>
    </row>
    <row r="3505" spans="1:7" x14ac:dyDescent="0.3">
      <c r="A3505" s="2">
        <v>45371</v>
      </c>
      <c r="B3505" t="s">
        <v>2356</v>
      </c>
      <c r="C3505">
        <v>-597.5</v>
      </c>
      <c r="D3505" s="2">
        <v>45371</v>
      </c>
      <c r="E3505" t="s">
        <v>2004</v>
      </c>
      <c r="F3505">
        <v>-597.5</v>
      </c>
      <c r="G3505">
        <v>0</v>
      </c>
    </row>
    <row r="3506" spans="1:7" x14ac:dyDescent="0.3">
      <c r="A3506" s="2">
        <v>45371</v>
      </c>
      <c r="B3506" t="s">
        <v>2357</v>
      </c>
      <c r="C3506">
        <v>660</v>
      </c>
      <c r="D3506" s="2">
        <v>45370</v>
      </c>
      <c r="E3506" t="s">
        <v>25</v>
      </c>
      <c r="F3506">
        <v>660</v>
      </c>
      <c r="G3506">
        <v>0</v>
      </c>
    </row>
    <row r="3507" spans="1:7" x14ac:dyDescent="0.3">
      <c r="A3507" s="2">
        <v>45372</v>
      </c>
      <c r="B3507" t="s">
        <v>2358</v>
      </c>
      <c r="C3507">
        <v>-109</v>
      </c>
      <c r="D3507" s="2">
        <v>45372</v>
      </c>
      <c r="E3507" t="s">
        <v>2004</v>
      </c>
      <c r="F3507">
        <v>-109</v>
      </c>
      <c r="G3507">
        <v>0</v>
      </c>
    </row>
    <row r="3508" spans="1:7" x14ac:dyDescent="0.3">
      <c r="A3508" s="2">
        <v>45372</v>
      </c>
      <c r="B3508" t="s">
        <v>2359</v>
      </c>
      <c r="C3508">
        <v>115</v>
      </c>
      <c r="D3508" s="2">
        <v>45372</v>
      </c>
      <c r="E3508" t="s">
        <v>25</v>
      </c>
      <c r="F3508">
        <v>115</v>
      </c>
      <c r="G3508">
        <v>0</v>
      </c>
    </row>
    <row r="3509" spans="1:7" x14ac:dyDescent="0.3">
      <c r="A3509" s="2">
        <v>45373</v>
      </c>
      <c r="B3509" t="s">
        <v>2360</v>
      </c>
      <c r="C3509">
        <v>165</v>
      </c>
      <c r="D3509" s="2">
        <v>45372</v>
      </c>
      <c r="E3509" t="s">
        <v>25</v>
      </c>
      <c r="F3509">
        <v>165</v>
      </c>
      <c r="G3509">
        <v>0</v>
      </c>
    </row>
    <row r="3510" spans="1:7" x14ac:dyDescent="0.3">
      <c r="A3510" s="2">
        <v>45376</v>
      </c>
      <c r="B3510" t="s">
        <v>2361</v>
      </c>
      <c r="C3510">
        <v>-29.39</v>
      </c>
      <c r="D3510" s="2">
        <v>45376</v>
      </c>
      <c r="E3510" t="s">
        <v>2004</v>
      </c>
      <c r="F3510">
        <v>-29.39</v>
      </c>
      <c r="G3510">
        <v>0</v>
      </c>
    </row>
    <row r="3511" spans="1:7" x14ac:dyDescent="0.3">
      <c r="A3511" s="2">
        <v>45376</v>
      </c>
      <c r="B3511" t="s">
        <v>2362</v>
      </c>
      <c r="C3511">
        <v>165</v>
      </c>
      <c r="D3511" s="2">
        <v>45374</v>
      </c>
      <c r="E3511" t="s">
        <v>25</v>
      </c>
      <c r="F3511">
        <v>165</v>
      </c>
      <c r="G3511">
        <v>0</v>
      </c>
    </row>
    <row r="3512" spans="1:7" x14ac:dyDescent="0.3">
      <c r="A3512" s="2">
        <v>45376</v>
      </c>
      <c r="B3512" t="s">
        <v>2363</v>
      </c>
      <c r="C3512">
        <v>300</v>
      </c>
      <c r="D3512" s="2">
        <v>45373</v>
      </c>
      <c r="E3512" t="s">
        <v>25</v>
      </c>
      <c r="F3512">
        <v>300</v>
      </c>
      <c r="G3512">
        <v>0</v>
      </c>
    </row>
    <row r="3513" spans="1:7" x14ac:dyDescent="0.3">
      <c r="A3513" s="2">
        <v>45377</v>
      </c>
      <c r="B3513" t="s">
        <v>2364</v>
      </c>
      <c r="C3513">
        <v>165</v>
      </c>
      <c r="D3513" s="2">
        <v>45376</v>
      </c>
      <c r="E3513" t="s">
        <v>25</v>
      </c>
      <c r="F3513">
        <v>165</v>
      </c>
      <c r="G3513">
        <v>0</v>
      </c>
    </row>
    <row r="3514" spans="1:7" x14ac:dyDescent="0.3">
      <c r="A3514" s="2">
        <v>45378</v>
      </c>
      <c r="B3514" t="s">
        <v>2365</v>
      </c>
      <c r="C3514">
        <v>-1508.89</v>
      </c>
      <c r="D3514" s="2">
        <v>45378</v>
      </c>
      <c r="E3514" t="s">
        <v>2004</v>
      </c>
      <c r="F3514">
        <v>-1508.89</v>
      </c>
      <c r="G3514">
        <v>0</v>
      </c>
    </row>
    <row r="3515" spans="1:7" x14ac:dyDescent="0.3">
      <c r="A3515" s="2">
        <v>45378</v>
      </c>
      <c r="B3515" t="s">
        <v>2366</v>
      </c>
      <c r="C3515">
        <v>390</v>
      </c>
      <c r="D3515" s="2">
        <v>45377</v>
      </c>
      <c r="E3515" t="s">
        <v>25</v>
      </c>
      <c r="F3515">
        <v>390</v>
      </c>
      <c r="G3515">
        <v>0</v>
      </c>
    </row>
    <row r="3516" spans="1:7" x14ac:dyDescent="0.3">
      <c r="A3516" s="2">
        <v>45380</v>
      </c>
      <c r="B3516" t="s">
        <v>2367</v>
      </c>
      <c r="C3516">
        <v>165</v>
      </c>
      <c r="D3516" s="2">
        <v>45377</v>
      </c>
      <c r="E3516" t="s">
        <v>25</v>
      </c>
      <c r="F3516">
        <v>165</v>
      </c>
      <c r="G3516">
        <v>0</v>
      </c>
    </row>
    <row r="3517" spans="1:7" x14ac:dyDescent="0.3">
      <c r="A3517" s="2">
        <v>45383</v>
      </c>
      <c r="B3517" t="s">
        <v>2368</v>
      </c>
      <c r="C3517">
        <v>-36500</v>
      </c>
      <c r="D3517" s="2">
        <v>45383</v>
      </c>
      <c r="E3517" t="s">
        <v>2004</v>
      </c>
      <c r="F3517">
        <v>-36500</v>
      </c>
      <c r="G3517">
        <v>0</v>
      </c>
    </row>
    <row r="3518" spans="1:7" x14ac:dyDescent="0.3">
      <c r="A3518" s="2">
        <v>45383</v>
      </c>
      <c r="B3518" t="s">
        <v>2369</v>
      </c>
      <c r="C3518">
        <v>-34</v>
      </c>
      <c r="D3518" s="2">
        <v>45383</v>
      </c>
      <c r="E3518" t="s">
        <v>2004</v>
      </c>
      <c r="F3518">
        <v>-34</v>
      </c>
      <c r="G3518">
        <v>0</v>
      </c>
    </row>
    <row r="3519" spans="1:7" x14ac:dyDescent="0.3">
      <c r="A3519" s="2">
        <v>45383</v>
      </c>
      <c r="B3519" t="s">
        <v>2370</v>
      </c>
      <c r="C3519">
        <v>-70.38</v>
      </c>
      <c r="D3519" s="2">
        <v>45383</v>
      </c>
      <c r="E3519" t="s">
        <v>2004</v>
      </c>
      <c r="F3519">
        <v>-70.38</v>
      </c>
      <c r="G3519">
        <v>0</v>
      </c>
    </row>
    <row r="3520" spans="1:7" x14ac:dyDescent="0.3">
      <c r="A3520" s="2">
        <v>45384</v>
      </c>
      <c r="B3520" t="s">
        <v>2371</v>
      </c>
      <c r="C3520">
        <v>-1295</v>
      </c>
      <c r="D3520" s="2">
        <v>45384</v>
      </c>
      <c r="E3520" t="s">
        <v>2004</v>
      </c>
      <c r="F3520">
        <v>-1295</v>
      </c>
      <c r="G3520">
        <v>0</v>
      </c>
    </row>
    <row r="3521" spans="1:7" x14ac:dyDescent="0.3">
      <c r="A3521" s="2">
        <v>45384</v>
      </c>
      <c r="B3521" t="s">
        <v>2372</v>
      </c>
      <c r="C3521">
        <v>-527.14</v>
      </c>
      <c r="D3521" s="2">
        <v>45384</v>
      </c>
      <c r="E3521" t="s">
        <v>2004</v>
      </c>
      <c r="F3521">
        <v>-527.14</v>
      </c>
      <c r="G3521">
        <v>0</v>
      </c>
    </row>
    <row r="3522" spans="1:7" x14ac:dyDescent="0.3">
      <c r="A3522" s="2">
        <v>45385</v>
      </c>
      <c r="B3522" t="s">
        <v>2373</v>
      </c>
      <c r="C3522">
        <v>-175</v>
      </c>
      <c r="D3522" s="2">
        <v>45385</v>
      </c>
      <c r="E3522" t="s">
        <v>2004</v>
      </c>
      <c r="F3522">
        <v>-175</v>
      </c>
      <c r="G3522">
        <v>0</v>
      </c>
    </row>
    <row r="3523" spans="1:7" x14ac:dyDescent="0.3">
      <c r="A3523" s="2">
        <v>45385</v>
      </c>
      <c r="B3523" t="s">
        <v>2374</v>
      </c>
      <c r="C3523">
        <v>-157.87</v>
      </c>
      <c r="D3523" s="2">
        <v>45385</v>
      </c>
      <c r="E3523" t="s">
        <v>2004</v>
      </c>
      <c r="F3523">
        <v>-157.87</v>
      </c>
      <c r="G3523">
        <v>0</v>
      </c>
    </row>
    <row r="3524" spans="1:7" x14ac:dyDescent="0.3">
      <c r="A3524" s="2">
        <v>45385</v>
      </c>
      <c r="B3524" t="s">
        <v>2375</v>
      </c>
      <c r="C3524">
        <v>-85.79</v>
      </c>
      <c r="D3524" s="2">
        <v>45385</v>
      </c>
      <c r="E3524" t="s">
        <v>2004</v>
      </c>
      <c r="F3524">
        <v>-85.79</v>
      </c>
      <c r="G3524">
        <v>0</v>
      </c>
    </row>
    <row r="3525" spans="1:7" x14ac:dyDescent="0.3">
      <c r="A3525" s="2">
        <v>45385</v>
      </c>
      <c r="B3525" t="s">
        <v>2376</v>
      </c>
      <c r="C3525">
        <v>165</v>
      </c>
      <c r="D3525" s="2">
        <v>45384</v>
      </c>
      <c r="E3525" t="s">
        <v>25</v>
      </c>
      <c r="F3525">
        <v>165</v>
      </c>
      <c r="G3525">
        <v>0</v>
      </c>
    </row>
    <row r="3526" spans="1:7" x14ac:dyDescent="0.3">
      <c r="A3526" s="2">
        <v>45386</v>
      </c>
      <c r="B3526" t="s">
        <v>2377</v>
      </c>
      <c r="C3526">
        <v>412.5</v>
      </c>
      <c r="D3526" s="2">
        <v>45385</v>
      </c>
      <c r="E3526" t="s">
        <v>25</v>
      </c>
      <c r="F3526">
        <v>412.5</v>
      </c>
      <c r="G3526">
        <v>0</v>
      </c>
    </row>
    <row r="3527" spans="1:7" x14ac:dyDescent="0.3">
      <c r="A3527" s="2">
        <v>45387</v>
      </c>
      <c r="B3527" t="s">
        <v>2378</v>
      </c>
      <c r="C3527">
        <v>-3740</v>
      </c>
      <c r="D3527" s="2">
        <v>45387</v>
      </c>
      <c r="E3527" t="s">
        <v>2004</v>
      </c>
      <c r="F3527">
        <v>-3740</v>
      </c>
      <c r="G3527">
        <v>0</v>
      </c>
    </row>
    <row r="3528" spans="1:7" x14ac:dyDescent="0.3">
      <c r="A3528" s="2">
        <v>45387</v>
      </c>
      <c r="B3528" t="s">
        <v>2379</v>
      </c>
      <c r="C3528">
        <v>-600</v>
      </c>
      <c r="D3528" s="2">
        <v>45387</v>
      </c>
      <c r="E3528" t="s">
        <v>2004</v>
      </c>
      <c r="F3528">
        <v>-600</v>
      </c>
      <c r="G3528">
        <v>0</v>
      </c>
    </row>
    <row r="3529" spans="1:7" x14ac:dyDescent="0.3">
      <c r="A3529" s="2">
        <v>45390</v>
      </c>
      <c r="B3529" t="s">
        <v>2380</v>
      </c>
      <c r="C3529">
        <v>-2170</v>
      </c>
      <c r="D3529" s="2">
        <v>45390</v>
      </c>
      <c r="E3529" t="s">
        <v>2004</v>
      </c>
      <c r="F3529">
        <v>-2170</v>
      </c>
      <c r="G3529">
        <v>0</v>
      </c>
    </row>
    <row r="3530" spans="1:7" x14ac:dyDescent="0.3">
      <c r="A3530" s="2">
        <v>45390</v>
      </c>
      <c r="B3530" t="s">
        <v>2381</v>
      </c>
      <c r="C3530">
        <v>-379.74</v>
      </c>
      <c r="D3530" s="2">
        <v>45390</v>
      </c>
      <c r="E3530" t="s">
        <v>2004</v>
      </c>
      <c r="F3530">
        <v>-379.74</v>
      </c>
      <c r="G3530">
        <v>0</v>
      </c>
    </row>
    <row r="3531" spans="1:7" x14ac:dyDescent="0.3">
      <c r="A3531" s="2">
        <v>45390</v>
      </c>
      <c r="B3531" t="s">
        <v>2382</v>
      </c>
      <c r="C3531">
        <v>123.75</v>
      </c>
      <c r="D3531" s="2">
        <v>45387</v>
      </c>
      <c r="E3531" t="s">
        <v>25</v>
      </c>
      <c r="F3531">
        <v>123.75</v>
      </c>
      <c r="G3531">
        <v>0</v>
      </c>
    </row>
    <row r="3532" spans="1:7" x14ac:dyDescent="0.3">
      <c r="A3532" s="2">
        <v>45390</v>
      </c>
      <c r="B3532" t="s">
        <v>2383</v>
      </c>
      <c r="C3532">
        <v>300</v>
      </c>
      <c r="D3532" s="2">
        <v>45390</v>
      </c>
      <c r="E3532" t="s">
        <v>25</v>
      </c>
      <c r="F3532">
        <v>300</v>
      </c>
      <c r="G3532">
        <v>0</v>
      </c>
    </row>
    <row r="3533" spans="1:7" x14ac:dyDescent="0.3">
      <c r="A3533" s="2">
        <v>45390</v>
      </c>
      <c r="B3533" t="s">
        <v>2384</v>
      </c>
      <c r="C3533">
        <v>400</v>
      </c>
      <c r="D3533" s="2">
        <v>45390</v>
      </c>
      <c r="E3533" t="s">
        <v>25</v>
      </c>
      <c r="F3533">
        <v>400</v>
      </c>
      <c r="G3533">
        <v>0</v>
      </c>
    </row>
    <row r="3534" spans="1:7" x14ac:dyDescent="0.3">
      <c r="A3534" s="2">
        <v>45390</v>
      </c>
      <c r="B3534" t="s">
        <v>2385</v>
      </c>
      <c r="C3534">
        <v>4125</v>
      </c>
      <c r="D3534" s="2">
        <v>45390</v>
      </c>
      <c r="E3534" t="s">
        <v>25</v>
      </c>
      <c r="F3534">
        <v>4125</v>
      </c>
      <c r="G3534">
        <v>0</v>
      </c>
    </row>
    <row r="3535" spans="1:7" x14ac:dyDescent="0.3">
      <c r="A3535" s="2">
        <v>45390</v>
      </c>
      <c r="B3535" t="s">
        <v>2053</v>
      </c>
      <c r="C3535">
        <v>230</v>
      </c>
      <c r="D3535" s="2">
        <v>45390</v>
      </c>
      <c r="E3535" t="s">
        <v>25</v>
      </c>
      <c r="F3535">
        <v>230</v>
      </c>
      <c r="G3535">
        <v>0</v>
      </c>
    </row>
    <row r="3536" spans="1:7" x14ac:dyDescent="0.3">
      <c r="A3536" s="2">
        <v>45390</v>
      </c>
      <c r="B3536" t="s">
        <v>2053</v>
      </c>
      <c r="C3536">
        <v>920</v>
      </c>
      <c r="D3536" s="2">
        <v>45390</v>
      </c>
      <c r="E3536" t="s">
        <v>25</v>
      </c>
      <c r="F3536">
        <v>920</v>
      </c>
      <c r="G3536">
        <v>0</v>
      </c>
    </row>
    <row r="3537" spans="1:7" x14ac:dyDescent="0.3">
      <c r="A3537" s="2">
        <v>45390</v>
      </c>
      <c r="B3537" t="s">
        <v>2053</v>
      </c>
      <c r="C3537">
        <v>1200</v>
      </c>
      <c r="D3537" s="2">
        <v>45390</v>
      </c>
      <c r="E3537" t="s">
        <v>25</v>
      </c>
      <c r="F3537">
        <v>1200</v>
      </c>
      <c r="G3537">
        <v>0</v>
      </c>
    </row>
    <row r="3538" spans="1:7" x14ac:dyDescent="0.3">
      <c r="A3538" s="2">
        <v>45390</v>
      </c>
      <c r="B3538" t="s">
        <v>2053</v>
      </c>
      <c r="C3538">
        <v>1850</v>
      </c>
      <c r="D3538" s="2">
        <v>45390</v>
      </c>
      <c r="E3538" t="s">
        <v>25</v>
      </c>
      <c r="F3538">
        <v>1850</v>
      </c>
      <c r="G3538">
        <v>0</v>
      </c>
    </row>
    <row r="3539" spans="1:7" x14ac:dyDescent="0.3">
      <c r="A3539" s="2">
        <v>45390</v>
      </c>
      <c r="B3539" t="s">
        <v>2053</v>
      </c>
      <c r="C3539">
        <v>3600</v>
      </c>
      <c r="D3539" s="2">
        <v>45390</v>
      </c>
      <c r="E3539" t="s">
        <v>25</v>
      </c>
      <c r="F3539">
        <v>3600</v>
      </c>
      <c r="G3539">
        <v>0</v>
      </c>
    </row>
    <row r="3540" spans="1:7" x14ac:dyDescent="0.3">
      <c r="A3540" s="2">
        <v>45392</v>
      </c>
      <c r="B3540" t="s">
        <v>2386</v>
      </c>
      <c r="C3540">
        <v>-217.75</v>
      </c>
      <c r="D3540" s="2">
        <v>45392</v>
      </c>
      <c r="E3540" t="s">
        <v>2004</v>
      </c>
      <c r="F3540">
        <v>-217.75</v>
      </c>
      <c r="G3540">
        <v>0</v>
      </c>
    </row>
    <row r="3541" spans="1:7" x14ac:dyDescent="0.3">
      <c r="A3541" s="2">
        <v>45394</v>
      </c>
      <c r="B3541" t="s">
        <v>2387</v>
      </c>
      <c r="C3541">
        <v>-531.48</v>
      </c>
      <c r="D3541" s="2">
        <v>45394</v>
      </c>
      <c r="E3541" t="s">
        <v>2004</v>
      </c>
      <c r="F3541">
        <v>-531.48</v>
      </c>
      <c r="G3541">
        <v>0</v>
      </c>
    </row>
    <row r="3542" spans="1:7" x14ac:dyDescent="0.3">
      <c r="A3542" s="2">
        <v>45394</v>
      </c>
      <c r="B3542" t="s">
        <v>2388</v>
      </c>
      <c r="C3542">
        <v>-5</v>
      </c>
      <c r="D3542" s="2">
        <v>45394</v>
      </c>
      <c r="E3542" t="s">
        <v>2004</v>
      </c>
      <c r="F3542">
        <v>-5</v>
      </c>
      <c r="G3542">
        <v>0</v>
      </c>
    </row>
    <row r="3543" spans="1:7" x14ac:dyDescent="0.3">
      <c r="A3543" s="2">
        <v>45394</v>
      </c>
      <c r="B3543" t="s">
        <v>2389</v>
      </c>
      <c r="C3543">
        <v>-41.45</v>
      </c>
      <c r="D3543" s="2">
        <v>45394</v>
      </c>
      <c r="E3543" t="s">
        <v>2004</v>
      </c>
      <c r="F3543">
        <v>-41.45</v>
      </c>
      <c r="G3543">
        <v>0</v>
      </c>
    </row>
    <row r="3544" spans="1:7" x14ac:dyDescent="0.3">
      <c r="A3544" s="2">
        <v>45394</v>
      </c>
      <c r="B3544" t="s">
        <v>2390</v>
      </c>
      <c r="C3544">
        <v>123.75</v>
      </c>
      <c r="D3544" s="2">
        <v>45393</v>
      </c>
      <c r="E3544" t="s">
        <v>25</v>
      </c>
      <c r="F3544">
        <v>123.75</v>
      </c>
      <c r="G3544">
        <v>0</v>
      </c>
    </row>
    <row r="3545" spans="1:7" x14ac:dyDescent="0.3">
      <c r="A3545" s="2">
        <v>45397</v>
      </c>
      <c r="B3545" t="s">
        <v>2391</v>
      </c>
      <c r="C3545">
        <v>-1950</v>
      </c>
      <c r="D3545" s="2">
        <v>45397</v>
      </c>
      <c r="E3545" t="s">
        <v>2004</v>
      </c>
      <c r="F3545">
        <v>-1950</v>
      </c>
      <c r="G3545">
        <v>0</v>
      </c>
    </row>
    <row r="3546" spans="1:7" x14ac:dyDescent="0.3">
      <c r="A3546" s="2">
        <v>45397</v>
      </c>
      <c r="B3546" t="s">
        <v>2392</v>
      </c>
      <c r="C3546">
        <v>292.5</v>
      </c>
      <c r="D3546" s="2">
        <v>45394</v>
      </c>
      <c r="E3546" t="s">
        <v>25</v>
      </c>
      <c r="F3546">
        <v>292.5</v>
      </c>
      <c r="G3546">
        <v>0</v>
      </c>
    </row>
    <row r="3547" spans="1:7" x14ac:dyDescent="0.3">
      <c r="A3547" s="2">
        <v>45398</v>
      </c>
      <c r="B3547" t="s">
        <v>2393</v>
      </c>
      <c r="C3547">
        <v>-16.37</v>
      </c>
      <c r="D3547" s="2">
        <v>45398</v>
      </c>
      <c r="E3547" t="s">
        <v>2004</v>
      </c>
      <c r="F3547">
        <v>-16.37</v>
      </c>
      <c r="G3547">
        <v>0</v>
      </c>
    </row>
    <row r="3548" spans="1:7" x14ac:dyDescent="0.3">
      <c r="A3548" s="2">
        <v>45398</v>
      </c>
      <c r="B3548" t="s">
        <v>2394</v>
      </c>
      <c r="C3548">
        <v>300</v>
      </c>
      <c r="D3548" s="2">
        <v>45398</v>
      </c>
      <c r="E3548" t="s">
        <v>25</v>
      </c>
      <c r="F3548">
        <v>300</v>
      </c>
      <c r="G3548">
        <v>0</v>
      </c>
    </row>
    <row r="3549" spans="1:7" x14ac:dyDescent="0.3">
      <c r="A3549" s="2">
        <v>45399</v>
      </c>
      <c r="B3549" t="s">
        <v>2395</v>
      </c>
      <c r="C3549">
        <v>-39.340000000000003</v>
      </c>
      <c r="D3549" s="2">
        <v>45399</v>
      </c>
      <c r="E3549" t="s">
        <v>2004</v>
      </c>
      <c r="F3549">
        <v>-39.340000000000003</v>
      </c>
      <c r="G3549">
        <v>0</v>
      </c>
    </row>
    <row r="3550" spans="1:7" x14ac:dyDescent="0.3">
      <c r="A3550" s="2">
        <v>45399</v>
      </c>
      <c r="B3550" t="s">
        <v>2396</v>
      </c>
      <c r="C3550">
        <v>288.75</v>
      </c>
      <c r="D3550" s="2">
        <v>45398</v>
      </c>
      <c r="E3550" t="s">
        <v>25</v>
      </c>
      <c r="F3550">
        <v>288.75</v>
      </c>
      <c r="G3550">
        <v>0</v>
      </c>
    </row>
    <row r="3551" spans="1:7" x14ac:dyDescent="0.3">
      <c r="A3551" s="2">
        <v>45400</v>
      </c>
      <c r="B3551" t="s">
        <v>2397</v>
      </c>
      <c r="C3551">
        <v>-10.88</v>
      </c>
      <c r="D3551" s="2">
        <v>45400</v>
      </c>
      <c r="E3551" t="s">
        <v>2004</v>
      </c>
      <c r="F3551">
        <v>-10.88</v>
      </c>
      <c r="G3551">
        <v>0</v>
      </c>
    </row>
    <row r="3552" spans="1:7" x14ac:dyDescent="0.3">
      <c r="A3552" s="2">
        <v>45400</v>
      </c>
      <c r="B3552" t="s">
        <v>2398</v>
      </c>
      <c r="C3552">
        <v>165</v>
      </c>
      <c r="D3552" s="2">
        <v>45399</v>
      </c>
      <c r="E3552" t="s">
        <v>25</v>
      </c>
      <c r="F3552">
        <v>165</v>
      </c>
      <c r="G3552">
        <v>0</v>
      </c>
    </row>
    <row r="3553" spans="1:7" x14ac:dyDescent="0.3">
      <c r="A3553" s="2">
        <v>45401</v>
      </c>
      <c r="B3553" t="s">
        <v>2399</v>
      </c>
      <c r="C3553">
        <v>160</v>
      </c>
      <c r="D3553" s="2">
        <v>45400</v>
      </c>
      <c r="E3553" t="s">
        <v>25</v>
      </c>
      <c r="F3553">
        <v>160</v>
      </c>
      <c r="G3553">
        <v>0</v>
      </c>
    </row>
    <row r="3554" spans="1:7" x14ac:dyDescent="0.3">
      <c r="A3554" s="2">
        <v>45404</v>
      </c>
      <c r="B3554" t="s">
        <v>2400</v>
      </c>
      <c r="C3554">
        <v>-109</v>
      </c>
      <c r="D3554" s="2">
        <v>45404</v>
      </c>
      <c r="E3554" t="s">
        <v>2004</v>
      </c>
      <c r="F3554">
        <v>-109</v>
      </c>
      <c r="G3554">
        <v>0</v>
      </c>
    </row>
    <row r="3555" spans="1:7" x14ac:dyDescent="0.3">
      <c r="A3555" s="2">
        <v>45404</v>
      </c>
      <c r="B3555" t="s">
        <v>2401</v>
      </c>
      <c r="C3555">
        <v>80</v>
      </c>
      <c r="D3555" s="2">
        <v>45401</v>
      </c>
      <c r="E3555" t="s">
        <v>25</v>
      </c>
      <c r="F3555">
        <v>80</v>
      </c>
      <c r="G3555">
        <v>0</v>
      </c>
    </row>
    <row r="3556" spans="1:7" x14ac:dyDescent="0.3">
      <c r="A3556" s="2">
        <v>45406</v>
      </c>
      <c r="B3556" t="s">
        <v>2402</v>
      </c>
      <c r="C3556">
        <v>-25.15</v>
      </c>
      <c r="D3556" s="2">
        <v>45406</v>
      </c>
      <c r="E3556" t="s">
        <v>2004</v>
      </c>
      <c r="F3556">
        <v>-25.15</v>
      </c>
      <c r="G3556">
        <v>0</v>
      </c>
    </row>
    <row r="3557" spans="1:7" x14ac:dyDescent="0.3">
      <c r="A3557" s="2">
        <v>45406</v>
      </c>
      <c r="B3557" t="s">
        <v>2403</v>
      </c>
      <c r="C3557">
        <v>1888.75</v>
      </c>
      <c r="D3557" s="2">
        <v>45405</v>
      </c>
      <c r="E3557" t="s">
        <v>25</v>
      </c>
      <c r="F3557">
        <v>1888.75</v>
      </c>
      <c r="G3557">
        <v>0</v>
      </c>
    </row>
    <row r="3558" spans="1:7" x14ac:dyDescent="0.3">
      <c r="A3558" s="2">
        <v>45407</v>
      </c>
      <c r="B3558" t="s">
        <v>2404</v>
      </c>
      <c r="C3558">
        <v>327.5</v>
      </c>
      <c r="D3558" s="2">
        <v>45406</v>
      </c>
      <c r="E3558" t="s">
        <v>25</v>
      </c>
      <c r="F3558">
        <v>327.5</v>
      </c>
      <c r="G3558">
        <v>0</v>
      </c>
    </row>
    <row r="3559" spans="1:7" x14ac:dyDescent="0.3">
      <c r="A3559" s="2">
        <v>45408</v>
      </c>
      <c r="B3559" t="s">
        <v>2405</v>
      </c>
      <c r="C3559">
        <v>0.01</v>
      </c>
      <c r="D3559" s="2">
        <v>45408</v>
      </c>
      <c r="E3559" t="s">
        <v>25</v>
      </c>
      <c r="F3559">
        <v>0.01</v>
      </c>
      <c r="G3559">
        <v>0</v>
      </c>
    </row>
    <row r="3560" spans="1:7" x14ac:dyDescent="0.3">
      <c r="A3560" s="2">
        <v>45408</v>
      </c>
      <c r="B3560" t="s">
        <v>2406</v>
      </c>
      <c r="C3560">
        <v>1375</v>
      </c>
      <c r="D3560" s="2">
        <v>45408</v>
      </c>
      <c r="E3560" t="s">
        <v>25</v>
      </c>
      <c r="F3560">
        <v>1375</v>
      </c>
      <c r="G3560">
        <v>0</v>
      </c>
    </row>
    <row r="3561" spans="1:7" x14ac:dyDescent="0.3">
      <c r="A3561" s="2">
        <v>45408</v>
      </c>
      <c r="B3561" t="s">
        <v>2407</v>
      </c>
      <c r="C3561">
        <v>3772.5</v>
      </c>
      <c r="D3561" s="2">
        <v>45407</v>
      </c>
      <c r="E3561" t="s">
        <v>25</v>
      </c>
      <c r="F3561">
        <v>3772.5</v>
      </c>
      <c r="G3561">
        <v>0</v>
      </c>
    </row>
    <row r="3562" spans="1:7" x14ac:dyDescent="0.3">
      <c r="A3562" s="2">
        <v>45411</v>
      </c>
      <c r="B3562" t="s">
        <v>2408</v>
      </c>
      <c r="C3562">
        <v>-1124.1300000000001</v>
      </c>
      <c r="D3562" s="2">
        <v>45411</v>
      </c>
      <c r="E3562" t="s">
        <v>2004</v>
      </c>
      <c r="F3562">
        <v>-1124.1300000000001</v>
      </c>
      <c r="G3562">
        <v>0</v>
      </c>
    </row>
    <row r="3563" spans="1:7" x14ac:dyDescent="0.3">
      <c r="A3563" s="2">
        <v>45411</v>
      </c>
      <c r="B3563" t="s">
        <v>2409</v>
      </c>
      <c r="C3563">
        <v>123.75</v>
      </c>
      <c r="D3563" s="2">
        <v>45410</v>
      </c>
      <c r="E3563" t="s">
        <v>25</v>
      </c>
      <c r="F3563">
        <v>123.75</v>
      </c>
      <c r="G3563">
        <v>0</v>
      </c>
    </row>
    <row r="3564" spans="1:7" x14ac:dyDescent="0.3">
      <c r="A3564" s="2">
        <v>45411</v>
      </c>
      <c r="B3564" t="s">
        <v>2410</v>
      </c>
      <c r="C3564">
        <v>160</v>
      </c>
      <c r="D3564" s="2">
        <v>45408</v>
      </c>
      <c r="E3564" t="s">
        <v>25</v>
      </c>
      <c r="F3564">
        <v>160</v>
      </c>
      <c r="G3564">
        <v>0</v>
      </c>
    </row>
    <row r="3565" spans="1:7" x14ac:dyDescent="0.3">
      <c r="A3565" s="2">
        <v>45411</v>
      </c>
      <c r="B3565" t="s">
        <v>2411</v>
      </c>
      <c r="C3565">
        <v>327.5</v>
      </c>
      <c r="D3565" s="2">
        <v>45409</v>
      </c>
      <c r="E3565" t="s">
        <v>25</v>
      </c>
      <c r="F3565">
        <v>327.5</v>
      </c>
      <c r="G3565">
        <v>0</v>
      </c>
    </row>
    <row r="3566" spans="1:7" x14ac:dyDescent="0.3">
      <c r="A3566" s="2">
        <v>45412</v>
      </c>
      <c r="B3566" t="s">
        <v>2412</v>
      </c>
      <c r="C3566">
        <v>-650</v>
      </c>
      <c r="D3566" s="2">
        <v>45412</v>
      </c>
      <c r="E3566" t="s">
        <v>2004</v>
      </c>
      <c r="F3566">
        <v>-650</v>
      </c>
      <c r="G3566">
        <v>0</v>
      </c>
    </row>
    <row r="3567" spans="1:7" x14ac:dyDescent="0.3">
      <c r="A3567" s="2">
        <v>45412</v>
      </c>
      <c r="B3567" t="s">
        <v>2413</v>
      </c>
      <c r="C3567">
        <v>-3000</v>
      </c>
      <c r="D3567" s="2">
        <v>45412</v>
      </c>
      <c r="E3567" t="s">
        <v>2004</v>
      </c>
      <c r="F3567">
        <v>-3000</v>
      </c>
      <c r="G3567">
        <v>0</v>
      </c>
    </row>
    <row r="3568" spans="1:7" x14ac:dyDescent="0.3">
      <c r="A3568" s="2">
        <v>45412</v>
      </c>
      <c r="B3568" t="s">
        <v>2414</v>
      </c>
      <c r="C3568">
        <v>123.75</v>
      </c>
      <c r="D3568" s="2">
        <v>45411</v>
      </c>
      <c r="E3568" t="s">
        <v>25</v>
      </c>
      <c r="F3568">
        <v>123.75</v>
      </c>
      <c r="G3568">
        <v>0</v>
      </c>
    </row>
    <row r="3569" spans="1:7" x14ac:dyDescent="0.3">
      <c r="A3569" s="2">
        <v>45412</v>
      </c>
      <c r="B3569" t="s">
        <v>2053</v>
      </c>
      <c r="C3569">
        <v>5500</v>
      </c>
      <c r="D3569" s="2">
        <v>45412</v>
      </c>
      <c r="E3569" t="s">
        <v>25</v>
      </c>
      <c r="F3569">
        <v>5500</v>
      </c>
      <c r="G3569">
        <v>0</v>
      </c>
    </row>
    <row r="3570" spans="1:7" x14ac:dyDescent="0.3">
      <c r="A3570" s="2">
        <v>45413</v>
      </c>
      <c r="B3570" t="s">
        <v>2415</v>
      </c>
      <c r="C3570">
        <v>-78.39</v>
      </c>
      <c r="D3570" s="2">
        <v>45413</v>
      </c>
      <c r="E3570" t="s">
        <v>2004</v>
      </c>
      <c r="F3570">
        <v>-78.39</v>
      </c>
      <c r="G3570">
        <v>0</v>
      </c>
    </row>
    <row r="3571" spans="1:7" x14ac:dyDescent="0.3">
      <c r="A3571" s="2">
        <v>45413</v>
      </c>
      <c r="B3571" t="s">
        <v>2416</v>
      </c>
      <c r="C3571">
        <v>-34</v>
      </c>
      <c r="D3571" s="2">
        <v>45413</v>
      </c>
      <c r="E3571" t="s">
        <v>2004</v>
      </c>
      <c r="F3571">
        <v>-34</v>
      </c>
      <c r="G3571">
        <v>0</v>
      </c>
    </row>
    <row r="3572" spans="1:7" x14ac:dyDescent="0.3">
      <c r="A3572" s="2">
        <v>45413</v>
      </c>
      <c r="B3572" t="s">
        <v>2417</v>
      </c>
      <c r="C3572">
        <v>247.5</v>
      </c>
      <c r="D3572" s="2">
        <v>45412</v>
      </c>
      <c r="E3572" t="s">
        <v>25</v>
      </c>
      <c r="F3572">
        <v>247.5</v>
      </c>
      <c r="G3572">
        <v>0</v>
      </c>
    </row>
    <row r="3573" spans="1:7" x14ac:dyDescent="0.3">
      <c r="A3573" s="2">
        <v>45414</v>
      </c>
      <c r="B3573" t="s">
        <v>2418</v>
      </c>
      <c r="C3573">
        <v>618.75</v>
      </c>
      <c r="D3573" s="2">
        <v>45413</v>
      </c>
      <c r="E3573" t="s">
        <v>25</v>
      </c>
      <c r="F3573">
        <v>618.75</v>
      </c>
      <c r="G3573">
        <v>0</v>
      </c>
    </row>
    <row r="3574" spans="1:7" x14ac:dyDescent="0.3">
      <c r="A3574" s="2">
        <v>45414</v>
      </c>
      <c r="B3574" t="s">
        <v>2419</v>
      </c>
      <c r="C3574">
        <v>5500</v>
      </c>
      <c r="D3574" s="2">
        <v>45414</v>
      </c>
      <c r="E3574" t="s">
        <v>25</v>
      </c>
      <c r="F3574">
        <v>5500</v>
      </c>
      <c r="G3574">
        <v>0</v>
      </c>
    </row>
    <row r="3575" spans="1:7" x14ac:dyDescent="0.3">
      <c r="A3575" s="2">
        <v>45415</v>
      </c>
      <c r="B3575" t="s">
        <v>2420</v>
      </c>
      <c r="C3575">
        <v>-170</v>
      </c>
      <c r="D3575" s="2">
        <v>45415</v>
      </c>
      <c r="E3575" t="s">
        <v>2004</v>
      </c>
      <c r="F3575">
        <v>-170</v>
      </c>
      <c r="G3575">
        <v>0</v>
      </c>
    </row>
    <row r="3576" spans="1:7" x14ac:dyDescent="0.3">
      <c r="A3576" s="2">
        <v>45415</v>
      </c>
      <c r="B3576" t="s">
        <v>2421</v>
      </c>
      <c r="C3576">
        <v>-157.87</v>
      </c>
      <c r="D3576" s="2">
        <v>45415</v>
      </c>
      <c r="E3576" t="s">
        <v>2004</v>
      </c>
      <c r="F3576">
        <v>-157.87</v>
      </c>
      <c r="G3576">
        <v>0</v>
      </c>
    </row>
    <row r="3577" spans="1:7" x14ac:dyDescent="0.3">
      <c r="A3577" s="2">
        <v>45418</v>
      </c>
      <c r="B3577" t="s">
        <v>2422</v>
      </c>
      <c r="C3577">
        <v>123.75</v>
      </c>
      <c r="D3577" s="2">
        <v>45417</v>
      </c>
      <c r="E3577" t="s">
        <v>25</v>
      </c>
      <c r="F3577">
        <v>123.75</v>
      </c>
      <c r="G3577">
        <v>0</v>
      </c>
    </row>
    <row r="3578" spans="1:7" x14ac:dyDescent="0.3">
      <c r="A3578" s="2">
        <v>45418</v>
      </c>
      <c r="B3578" t="s">
        <v>2423</v>
      </c>
      <c r="C3578">
        <v>327.5</v>
      </c>
      <c r="D3578" s="2">
        <v>45416</v>
      </c>
      <c r="E3578" t="s">
        <v>25</v>
      </c>
      <c r="F3578">
        <v>327.5</v>
      </c>
      <c r="G3578">
        <v>0</v>
      </c>
    </row>
    <row r="3579" spans="1:7" x14ac:dyDescent="0.3">
      <c r="A3579" s="2">
        <v>45418</v>
      </c>
      <c r="B3579" t="s">
        <v>2424</v>
      </c>
      <c r="C3579">
        <v>390</v>
      </c>
      <c r="D3579" s="2">
        <v>45415</v>
      </c>
      <c r="E3579" t="s">
        <v>25</v>
      </c>
      <c r="F3579">
        <v>390</v>
      </c>
      <c r="G3579">
        <v>0</v>
      </c>
    </row>
    <row r="3580" spans="1:7" x14ac:dyDescent="0.3">
      <c r="A3580" s="2">
        <v>45419</v>
      </c>
      <c r="B3580" t="s">
        <v>2425</v>
      </c>
      <c r="C3580">
        <v>-21750</v>
      </c>
      <c r="D3580" s="2">
        <v>45419</v>
      </c>
      <c r="E3580" t="s">
        <v>27</v>
      </c>
      <c r="F3580">
        <v>-21750</v>
      </c>
      <c r="G3580">
        <v>0</v>
      </c>
    </row>
    <row r="3581" spans="1:7" x14ac:dyDescent="0.3">
      <c r="A3581" s="2">
        <v>45419</v>
      </c>
      <c r="B3581" t="s">
        <v>2426</v>
      </c>
      <c r="C3581">
        <v>-625</v>
      </c>
      <c r="D3581" s="2">
        <v>45419</v>
      </c>
      <c r="E3581" t="s">
        <v>27</v>
      </c>
      <c r="F3581">
        <v>-625</v>
      </c>
      <c r="G3581">
        <v>0</v>
      </c>
    </row>
    <row r="3582" spans="1:7" x14ac:dyDescent="0.3">
      <c r="A3582" s="2">
        <v>45419</v>
      </c>
      <c r="B3582" t="s">
        <v>2427</v>
      </c>
      <c r="C3582">
        <v>-500</v>
      </c>
      <c r="D3582" s="2">
        <v>45419</v>
      </c>
      <c r="E3582" t="s">
        <v>2004</v>
      </c>
      <c r="F3582">
        <v>-500</v>
      </c>
      <c r="G3582">
        <v>0</v>
      </c>
    </row>
    <row r="3583" spans="1:7" x14ac:dyDescent="0.3">
      <c r="A3583" s="2">
        <v>45419</v>
      </c>
      <c r="B3583" t="s">
        <v>2428</v>
      </c>
      <c r="C3583">
        <v>-679.33</v>
      </c>
      <c r="D3583" s="2">
        <v>45419</v>
      </c>
      <c r="E3583" t="s">
        <v>2004</v>
      </c>
      <c r="F3583">
        <v>-679.33</v>
      </c>
      <c r="G3583">
        <v>0</v>
      </c>
    </row>
    <row r="3584" spans="1:7" x14ac:dyDescent="0.3">
      <c r="A3584" s="2">
        <v>45419</v>
      </c>
      <c r="B3584" t="s">
        <v>2429</v>
      </c>
      <c r="C3584">
        <v>80</v>
      </c>
      <c r="D3584" s="2">
        <v>45418</v>
      </c>
      <c r="E3584" t="s">
        <v>25</v>
      </c>
      <c r="F3584">
        <v>80</v>
      </c>
      <c r="G3584">
        <v>0</v>
      </c>
    </row>
    <row r="3585" spans="1:7" x14ac:dyDescent="0.3">
      <c r="A3585" s="2">
        <v>45419</v>
      </c>
      <c r="B3585" t="s">
        <v>2430</v>
      </c>
      <c r="C3585">
        <v>240</v>
      </c>
      <c r="D3585" s="2">
        <v>45419</v>
      </c>
      <c r="E3585" t="s">
        <v>25</v>
      </c>
      <c r="F3585">
        <v>240</v>
      </c>
      <c r="G3585">
        <v>0</v>
      </c>
    </row>
    <row r="3586" spans="1:7" x14ac:dyDescent="0.3">
      <c r="A3586" s="2">
        <v>45420</v>
      </c>
      <c r="B3586" t="s">
        <v>2431</v>
      </c>
      <c r="C3586">
        <v>-5067.6499999999996</v>
      </c>
      <c r="D3586" s="2">
        <v>45420</v>
      </c>
      <c r="E3586" t="s">
        <v>2004</v>
      </c>
      <c r="F3586">
        <v>-5067.6499999999996</v>
      </c>
      <c r="G3586">
        <v>0</v>
      </c>
    </row>
    <row r="3587" spans="1:7" x14ac:dyDescent="0.3">
      <c r="A3587" s="2">
        <v>45420</v>
      </c>
      <c r="B3587" t="s">
        <v>2432</v>
      </c>
      <c r="C3587">
        <v>80</v>
      </c>
      <c r="D3587" s="2">
        <v>45419</v>
      </c>
      <c r="E3587" t="s">
        <v>25</v>
      </c>
      <c r="F3587">
        <v>80</v>
      </c>
      <c r="G3587">
        <v>0</v>
      </c>
    </row>
    <row r="3588" spans="1:7" x14ac:dyDescent="0.3">
      <c r="A3588" s="2">
        <v>45421</v>
      </c>
      <c r="B3588" t="s">
        <v>2433</v>
      </c>
      <c r="C3588">
        <v>123.75</v>
      </c>
      <c r="D3588" s="2">
        <v>45420</v>
      </c>
      <c r="E3588" t="s">
        <v>25</v>
      </c>
      <c r="F3588">
        <v>123.75</v>
      </c>
      <c r="G3588">
        <v>0</v>
      </c>
    </row>
    <row r="3589" spans="1:7" x14ac:dyDescent="0.3">
      <c r="A3589" s="2">
        <v>45422</v>
      </c>
      <c r="B3589" t="s">
        <v>2434</v>
      </c>
      <c r="C3589">
        <v>-13600</v>
      </c>
      <c r="D3589" s="2">
        <v>45422</v>
      </c>
      <c r="E3589" t="s">
        <v>27</v>
      </c>
      <c r="F3589">
        <v>-13600</v>
      </c>
      <c r="G3589">
        <v>0</v>
      </c>
    </row>
    <row r="3590" spans="1:7" x14ac:dyDescent="0.3">
      <c r="A3590" s="2">
        <v>45422</v>
      </c>
      <c r="B3590" t="s">
        <v>2435</v>
      </c>
      <c r="C3590">
        <v>-217.75</v>
      </c>
      <c r="D3590" s="2">
        <v>45422</v>
      </c>
      <c r="E3590" t="s">
        <v>2004</v>
      </c>
      <c r="F3590">
        <v>-217.75</v>
      </c>
      <c r="G3590">
        <v>0</v>
      </c>
    </row>
    <row r="3591" spans="1:7" x14ac:dyDescent="0.3">
      <c r="A3591" s="2">
        <v>45422</v>
      </c>
      <c r="B3591" t="s">
        <v>2436</v>
      </c>
      <c r="C3591">
        <v>410</v>
      </c>
      <c r="D3591" s="2">
        <v>45421</v>
      </c>
      <c r="E3591" t="s">
        <v>25</v>
      </c>
      <c r="F3591">
        <v>410</v>
      </c>
      <c r="G3591">
        <v>0</v>
      </c>
    </row>
    <row r="3592" spans="1:7" x14ac:dyDescent="0.3">
      <c r="A3592" s="2">
        <v>45425</v>
      </c>
      <c r="B3592" t="s">
        <v>2437</v>
      </c>
      <c r="C3592">
        <v>-50.97</v>
      </c>
      <c r="D3592" s="2">
        <v>45425</v>
      </c>
      <c r="E3592" t="s">
        <v>2004</v>
      </c>
      <c r="F3592">
        <v>-50.97</v>
      </c>
      <c r="G3592">
        <v>0</v>
      </c>
    </row>
    <row r="3593" spans="1:7" x14ac:dyDescent="0.3">
      <c r="A3593" s="2">
        <v>45425</v>
      </c>
      <c r="B3593" t="s">
        <v>2438</v>
      </c>
      <c r="C3593">
        <v>80</v>
      </c>
      <c r="D3593" s="2">
        <v>45424</v>
      </c>
      <c r="E3593" t="s">
        <v>25</v>
      </c>
      <c r="F3593">
        <v>80</v>
      </c>
      <c r="G3593">
        <v>0</v>
      </c>
    </row>
    <row r="3594" spans="1:7" x14ac:dyDescent="0.3">
      <c r="A3594" s="2">
        <v>45425</v>
      </c>
      <c r="B3594" t="s">
        <v>2439</v>
      </c>
      <c r="C3594">
        <v>123.75</v>
      </c>
      <c r="D3594" s="2">
        <v>45423</v>
      </c>
      <c r="E3594" t="s">
        <v>25</v>
      </c>
      <c r="F3594">
        <v>123.75</v>
      </c>
      <c r="G3594">
        <v>0</v>
      </c>
    </row>
    <row r="3595" spans="1:7" x14ac:dyDescent="0.3">
      <c r="A3595" s="2">
        <v>45428</v>
      </c>
      <c r="B3595" t="s">
        <v>2440</v>
      </c>
      <c r="C3595">
        <v>-16.37</v>
      </c>
      <c r="D3595" s="2">
        <v>45428</v>
      </c>
      <c r="E3595" t="s">
        <v>2004</v>
      </c>
      <c r="F3595">
        <v>-16.37</v>
      </c>
      <c r="G3595">
        <v>0</v>
      </c>
    </row>
    <row r="3596" spans="1:7" x14ac:dyDescent="0.3">
      <c r="A3596" s="2">
        <v>45428</v>
      </c>
      <c r="B3596" t="s">
        <v>2441</v>
      </c>
      <c r="C3596">
        <v>327.5</v>
      </c>
      <c r="D3596" s="2">
        <v>45427</v>
      </c>
      <c r="E3596" t="s">
        <v>25</v>
      </c>
      <c r="F3596">
        <v>327.5</v>
      </c>
      <c r="G3596">
        <v>0</v>
      </c>
    </row>
    <row r="3597" spans="1:7" x14ac:dyDescent="0.3">
      <c r="A3597" s="2">
        <v>45429</v>
      </c>
      <c r="B3597" t="s">
        <v>2442</v>
      </c>
      <c r="C3597">
        <v>123.75</v>
      </c>
      <c r="D3597" s="2">
        <v>45428</v>
      </c>
      <c r="E3597" t="s">
        <v>25</v>
      </c>
      <c r="F3597">
        <v>123.75</v>
      </c>
      <c r="G3597">
        <v>0</v>
      </c>
    </row>
    <row r="3598" spans="1:7" x14ac:dyDescent="0.3">
      <c r="A3598" s="2">
        <v>45432</v>
      </c>
      <c r="B3598" t="s">
        <v>2443</v>
      </c>
      <c r="C3598">
        <v>-10.88</v>
      </c>
      <c r="D3598" s="2">
        <v>45432</v>
      </c>
      <c r="E3598" t="s">
        <v>2004</v>
      </c>
      <c r="F3598">
        <v>-10.88</v>
      </c>
      <c r="G3598">
        <v>0</v>
      </c>
    </row>
    <row r="3599" spans="1:7" x14ac:dyDescent="0.3">
      <c r="A3599" s="2">
        <v>45432</v>
      </c>
      <c r="B3599" t="s">
        <v>2444</v>
      </c>
      <c r="C3599">
        <v>80</v>
      </c>
      <c r="D3599" s="2">
        <v>45431</v>
      </c>
      <c r="E3599" t="s">
        <v>25</v>
      </c>
      <c r="F3599">
        <v>80</v>
      </c>
      <c r="G3599">
        <v>0</v>
      </c>
    </row>
    <row r="3600" spans="1:7" x14ac:dyDescent="0.3">
      <c r="A3600" s="2">
        <v>45432</v>
      </c>
      <c r="B3600" t="s">
        <v>2445</v>
      </c>
      <c r="C3600">
        <v>123.75</v>
      </c>
      <c r="D3600" s="2">
        <v>45429</v>
      </c>
      <c r="E3600" t="s">
        <v>25</v>
      </c>
      <c r="F3600">
        <v>123.75</v>
      </c>
      <c r="G3600">
        <v>0</v>
      </c>
    </row>
    <row r="3601" spans="1:7" x14ac:dyDescent="0.3">
      <c r="A3601" s="2">
        <v>45432</v>
      </c>
      <c r="B3601" t="s">
        <v>2446</v>
      </c>
      <c r="C3601">
        <v>123.75</v>
      </c>
      <c r="D3601" s="2">
        <v>45430</v>
      </c>
      <c r="E3601" t="s">
        <v>25</v>
      </c>
      <c r="F3601">
        <v>123.75</v>
      </c>
      <c r="G3601">
        <v>0</v>
      </c>
    </row>
    <row r="3602" spans="1:7" x14ac:dyDescent="0.3">
      <c r="A3602" s="2">
        <v>45433</v>
      </c>
      <c r="B3602" t="s">
        <v>2447</v>
      </c>
      <c r="C3602">
        <v>-109</v>
      </c>
      <c r="D3602" s="2">
        <v>45433</v>
      </c>
      <c r="E3602" t="s">
        <v>2004</v>
      </c>
      <c r="F3602">
        <v>-109</v>
      </c>
      <c r="G3602">
        <v>0</v>
      </c>
    </row>
    <row r="3603" spans="1:7" x14ac:dyDescent="0.3">
      <c r="A3603" s="2">
        <v>45434</v>
      </c>
      <c r="B3603" t="s">
        <v>2448</v>
      </c>
      <c r="C3603">
        <v>-3433.41</v>
      </c>
      <c r="D3603" s="2">
        <v>45434</v>
      </c>
      <c r="E3603" t="s">
        <v>2004</v>
      </c>
      <c r="F3603">
        <v>-3433.41</v>
      </c>
      <c r="G3603">
        <v>0</v>
      </c>
    </row>
    <row r="3604" spans="1:7" x14ac:dyDescent="0.3">
      <c r="A3604" s="2">
        <v>45434</v>
      </c>
      <c r="B3604" t="s">
        <v>2449</v>
      </c>
      <c r="C3604">
        <v>123.75</v>
      </c>
      <c r="D3604" s="2">
        <v>45432</v>
      </c>
      <c r="E3604" t="s">
        <v>25</v>
      </c>
      <c r="F3604">
        <v>123.75</v>
      </c>
      <c r="G3604">
        <v>0</v>
      </c>
    </row>
    <row r="3605" spans="1:7" x14ac:dyDescent="0.3">
      <c r="A3605" s="2">
        <v>45440</v>
      </c>
      <c r="B3605" t="s">
        <v>2450</v>
      </c>
      <c r="C3605">
        <v>80</v>
      </c>
      <c r="D3605" s="2">
        <v>45437</v>
      </c>
      <c r="E3605" t="s">
        <v>25</v>
      </c>
      <c r="F3605">
        <v>80</v>
      </c>
      <c r="G3605">
        <v>0</v>
      </c>
    </row>
    <row r="3606" spans="1:7" x14ac:dyDescent="0.3">
      <c r="A3606" s="2">
        <v>45440</v>
      </c>
      <c r="B3606" t="s">
        <v>2451</v>
      </c>
      <c r="C3606">
        <v>80</v>
      </c>
      <c r="D3606" s="2">
        <v>45439</v>
      </c>
      <c r="E3606" t="s">
        <v>25</v>
      </c>
      <c r="F3606">
        <v>80</v>
      </c>
      <c r="G3606">
        <v>0</v>
      </c>
    </row>
    <row r="3607" spans="1:7" x14ac:dyDescent="0.3">
      <c r="A3607" s="2">
        <v>45443</v>
      </c>
      <c r="B3607" t="s">
        <v>2452</v>
      </c>
      <c r="C3607">
        <v>240</v>
      </c>
      <c r="D3607" s="2">
        <v>45442</v>
      </c>
      <c r="E3607" t="s">
        <v>25</v>
      </c>
      <c r="F3607">
        <v>240</v>
      </c>
      <c r="G3607">
        <v>0</v>
      </c>
    </row>
    <row r="3608" spans="1:7" x14ac:dyDescent="0.3">
      <c r="A3608" s="2">
        <v>45446</v>
      </c>
      <c r="B3608" t="s">
        <v>2453</v>
      </c>
      <c r="C3608">
        <v>-666.03</v>
      </c>
      <c r="D3608" s="2">
        <v>45446</v>
      </c>
      <c r="E3608" t="s">
        <v>2004</v>
      </c>
      <c r="F3608">
        <v>-666.03</v>
      </c>
      <c r="G3608">
        <v>0</v>
      </c>
    </row>
    <row r="3609" spans="1:7" x14ac:dyDescent="0.3">
      <c r="A3609" s="2">
        <v>45446</v>
      </c>
      <c r="B3609" t="s">
        <v>2454</v>
      </c>
      <c r="C3609">
        <v>-706.6</v>
      </c>
      <c r="D3609" s="2">
        <v>45446</v>
      </c>
      <c r="E3609" t="s">
        <v>2004</v>
      </c>
      <c r="F3609">
        <v>-706.6</v>
      </c>
      <c r="G3609">
        <v>0</v>
      </c>
    </row>
    <row r="3610" spans="1:7" x14ac:dyDescent="0.3">
      <c r="A3610" s="2">
        <v>45446</v>
      </c>
      <c r="B3610" t="s">
        <v>2455</v>
      </c>
      <c r="C3610">
        <v>-157.87</v>
      </c>
      <c r="D3610" s="2">
        <v>45446</v>
      </c>
      <c r="E3610" t="s">
        <v>2004</v>
      </c>
      <c r="F3610">
        <v>-157.87</v>
      </c>
      <c r="G3610">
        <v>0</v>
      </c>
    </row>
    <row r="3611" spans="1:7" x14ac:dyDescent="0.3">
      <c r="A3611" s="2">
        <v>45446</v>
      </c>
      <c r="B3611" t="s">
        <v>2456</v>
      </c>
      <c r="C3611">
        <v>-78.88</v>
      </c>
      <c r="D3611" s="2">
        <v>45446</v>
      </c>
      <c r="E3611" t="s">
        <v>2004</v>
      </c>
      <c r="F3611">
        <v>-78.88</v>
      </c>
      <c r="G3611">
        <v>0</v>
      </c>
    </row>
    <row r="3612" spans="1:7" x14ac:dyDescent="0.3">
      <c r="A3612" s="2">
        <v>45446</v>
      </c>
      <c r="B3612" t="s">
        <v>2457</v>
      </c>
      <c r="C3612">
        <v>-34</v>
      </c>
      <c r="D3612" s="2">
        <v>45446</v>
      </c>
      <c r="E3612" t="s">
        <v>2004</v>
      </c>
      <c r="F3612">
        <v>-34</v>
      </c>
      <c r="G3612">
        <v>0</v>
      </c>
    </row>
    <row r="3613" spans="1:7" x14ac:dyDescent="0.3">
      <c r="A3613" s="2">
        <v>45446</v>
      </c>
      <c r="B3613" t="s">
        <v>2458</v>
      </c>
      <c r="C3613">
        <v>123.75</v>
      </c>
      <c r="D3613" s="2">
        <v>45445</v>
      </c>
      <c r="E3613" t="s">
        <v>25</v>
      </c>
      <c r="F3613">
        <v>123.75</v>
      </c>
      <c r="G3613">
        <v>0</v>
      </c>
    </row>
    <row r="3614" spans="1:7" x14ac:dyDescent="0.3">
      <c r="A3614" s="2">
        <v>45446</v>
      </c>
      <c r="B3614" t="s">
        <v>2459</v>
      </c>
      <c r="C3614">
        <v>240</v>
      </c>
      <c r="D3614" s="2">
        <v>45443</v>
      </c>
      <c r="E3614" t="s">
        <v>25</v>
      </c>
      <c r="F3614">
        <v>240</v>
      </c>
      <c r="G3614">
        <v>0</v>
      </c>
    </row>
    <row r="3615" spans="1:7" x14ac:dyDescent="0.3">
      <c r="A3615" s="2">
        <v>45447</v>
      </c>
      <c r="B3615" t="s">
        <v>2460</v>
      </c>
      <c r="C3615">
        <v>-1500</v>
      </c>
      <c r="D3615" s="2">
        <v>45447</v>
      </c>
      <c r="E3615" t="s">
        <v>2004</v>
      </c>
      <c r="F3615">
        <v>-1500</v>
      </c>
      <c r="G3615">
        <v>0</v>
      </c>
    </row>
    <row r="3616" spans="1:7" x14ac:dyDescent="0.3">
      <c r="A3616" s="2">
        <v>45448</v>
      </c>
      <c r="B3616" t="s">
        <v>2461</v>
      </c>
      <c r="C3616">
        <v>1485</v>
      </c>
      <c r="D3616" s="2">
        <v>45447</v>
      </c>
      <c r="E3616" t="s">
        <v>25</v>
      </c>
      <c r="F3616">
        <v>1485</v>
      </c>
      <c r="G3616">
        <v>0</v>
      </c>
    </row>
    <row r="3617" spans="1:7" x14ac:dyDescent="0.3">
      <c r="A3617" s="2">
        <v>45453</v>
      </c>
      <c r="B3617" t="s">
        <v>2462</v>
      </c>
      <c r="C3617">
        <v>-533.49</v>
      </c>
      <c r="D3617" s="2">
        <v>45453</v>
      </c>
      <c r="E3617" t="s">
        <v>2004</v>
      </c>
      <c r="F3617">
        <v>-533.49</v>
      </c>
      <c r="G3617">
        <v>0</v>
      </c>
    </row>
    <row r="3618" spans="1:7" x14ac:dyDescent="0.3">
      <c r="A3618" s="2">
        <v>45453</v>
      </c>
      <c r="B3618" t="s">
        <v>2463</v>
      </c>
      <c r="C3618">
        <v>-217.75</v>
      </c>
      <c r="D3618" s="2">
        <v>45453</v>
      </c>
      <c r="E3618" t="s">
        <v>2004</v>
      </c>
      <c r="F3618">
        <v>-217.75</v>
      </c>
      <c r="G3618">
        <v>0</v>
      </c>
    </row>
    <row r="3619" spans="1:7" x14ac:dyDescent="0.3">
      <c r="A3619" s="2">
        <v>45453</v>
      </c>
      <c r="B3619" t="s">
        <v>2464</v>
      </c>
      <c r="C3619">
        <v>-50.26</v>
      </c>
      <c r="D3619" s="2">
        <v>45453</v>
      </c>
      <c r="E3619" t="s">
        <v>2004</v>
      </c>
      <c r="F3619">
        <v>-50.26</v>
      </c>
      <c r="G3619">
        <v>0</v>
      </c>
    </row>
    <row r="3620" spans="1:7" x14ac:dyDescent="0.3">
      <c r="A3620" s="2">
        <v>45455</v>
      </c>
      <c r="B3620" t="s">
        <v>2465</v>
      </c>
      <c r="C3620">
        <v>-13600</v>
      </c>
      <c r="D3620" s="2">
        <v>45458</v>
      </c>
      <c r="E3620" t="s">
        <v>27</v>
      </c>
      <c r="F3620">
        <v>-13600</v>
      </c>
      <c r="G3620">
        <v>0</v>
      </c>
    </row>
    <row r="3621" spans="1:7" x14ac:dyDescent="0.3">
      <c r="A3621" s="2">
        <v>45455</v>
      </c>
      <c r="B3621" t="s">
        <v>2466</v>
      </c>
      <c r="C3621">
        <v>-98.42</v>
      </c>
      <c r="D3621" s="2">
        <v>45455</v>
      </c>
      <c r="E3621" t="s">
        <v>2004</v>
      </c>
      <c r="F3621">
        <v>-98.42</v>
      </c>
      <c r="G3621">
        <v>0</v>
      </c>
    </row>
    <row r="3622" spans="1:7" x14ac:dyDescent="0.3">
      <c r="A3622" s="2">
        <v>45456</v>
      </c>
      <c r="B3622" t="s">
        <v>2467</v>
      </c>
      <c r="C3622">
        <v>-7976.89</v>
      </c>
      <c r="D3622" s="2">
        <v>45456</v>
      </c>
      <c r="E3622" t="s">
        <v>2004</v>
      </c>
      <c r="F3622">
        <v>-7976.89</v>
      </c>
      <c r="G3622">
        <v>0</v>
      </c>
    </row>
    <row r="3623" spans="1:7" x14ac:dyDescent="0.3">
      <c r="A3623" s="2">
        <v>45460</v>
      </c>
      <c r="B3623" t="s">
        <v>2468</v>
      </c>
      <c r="C3623">
        <v>-16.37</v>
      </c>
      <c r="D3623" s="2">
        <v>45460</v>
      </c>
      <c r="E3623" t="s">
        <v>2004</v>
      </c>
      <c r="F3623">
        <v>-16.37</v>
      </c>
      <c r="G3623">
        <v>0</v>
      </c>
    </row>
    <row r="3624" spans="1:7" x14ac:dyDescent="0.3">
      <c r="A3624" s="2">
        <v>45461</v>
      </c>
      <c r="B3624" t="s">
        <v>2469</v>
      </c>
      <c r="C3624">
        <v>-10.88</v>
      </c>
      <c r="D3624" s="2">
        <v>45461</v>
      </c>
      <c r="E3624" t="s">
        <v>2004</v>
      </c>
      <c r="F3624">
        <v>-10.88</v>
      </c>
      <c r="G3624">
        <v>0</v>
      </c>
    </row>
    <row r="3625" spans="1:7" x14ac:dyDescent="0.3">
      <c r="A3625" s="2">
        <v>45464</v>
      </c>
      <c r="B3625" t="s">
        <v>2470</v>
      </c>
      <c r="C3625">
        <v>-109</v>
      </c>
      <c r="D3625" s="2">
        <v>45464</v>
      </c>
      <c r="E3625" t="s">
        <v>2004</v>
      </c>
      <c r="F3625">
        <v>-109</v>
      </c>
      <c r="G3625">
        <v>0</v>
      </c>
    </row>
    <row r="3626" spans="1:7" x14ac:dyDescent="0.3">
      <c r="A3626" s="2">
        <v>45464</v>
      </c>
      <c r="B3626" t="s">
        <v>2471</v>
      </c>
      <c r="C3626">
        <v>5479</v>
      </c>
      <c r="D3626" s="2">
        <v>45464</v>
      </c>
      <c r="E3626" t="s">
        <v>25</v>
      </c>
      <c r="F3626">
        <v>5479</v>
      </c>
      <c r="G3626">
        <v>0</v>
      </c>
    </row>
    <row r="3627" spans="1:7" x14ac:dyDescent="0.3">
      <c r="A3627" s="2">
        <v>45469</v>
      </c>
      <c r="B3627" t="s">
        <v>2472</v>
      </c>
      <c r="C3627">
        <v>283.5</v>
      </c>
      <c r="D3627" s="2">
        <v>45469</v>
      </c>
      <c r="E3627" t="s">
        <v>25</v>
      </c>
      <c r="F3627">
        <v>283.5</v>
      </c>
      <c r="G3627">
        <v>0</v>
      </c>
    </row>
    <row r="3628" spans="1:7" x14ac:dyDescent="0.3">
      <c r="A3628" s="2">
        <v>45470</v>
      </c>
      <c r="B3628" t="s">
        <v>2473</v>
      </c>
      <c r="C3628">
        <v>320</v>
      </c>
      <c r="D3628" s="2">
        <v>45469</v>
      </c>
      <c r="E3628" t="s">
        <v>25</v>
      </c>
      <c r="F3628">
        <v>320</v>
      </c>
      <c r="G3628">
        <v>0</v>
      </c>
    </row>
    <row r="3629" spans="1:7" x14ac:dyDescent="0.3">
      <c r="A3629" s="2">
        <v>45471</v>
      </c>
      <c r="B3629" t="s">
        <v>2474</v>
      </c>
      <c r="C3629">
        <v>1320</v>
      </c>
      <c r="D3629" s="2">
        <v>45470</v>
      </c>
      <c r="E3629" t="s">
        <v>25</v>
      </c>
      <c r="F3629">
        <v>1320</v>
      </c>
      <c r="G3629">
        <v>0</v>
      </c>
    </row>
    <row r="3630" spans="1:7" x14ac:dyDescent="0.3">
      <c r="A3630" s="2">
        <v>45474</v>
      </c>
      <c r="B3630" t="s">
        <v>2475</v>
      </c>
      <c r="C3630">
        <v>-34.020000000000003</v>
      </c>
      <c r="D3630" s="2">
        <v>45474</v>
      </c>
      <c r="E3630" t="s">
        <v>2004</v>
      </c>
      <c r="F3630">
        <v>-34.020000000000003</v>
      </c>
      <c r="G3630">
        <v>0</v>
      </c>
    </row>
    <row r="3631" spans="1:7" x14ac:dyDescent="0.3">
      <c r="A3631" s="2">
        <v>45474</v>
      </c>
      <c r="B3631" t="s">
        <v>2476</v>
      </c>
      <c r="C3631">
        <v>-78.39</v>
      </c>
      <c r="D3631" s="2">
        <v>45474</v>
      </c>
      <c r="E3631" t="s">
        <v>2004</v>
      </c>
      <c r="F3631">
        <v>-78.39</v>
      </c>
      <c r="G3631">
        <v>0</v>
      </c>
    </row>
    <row r="3632" spans="1:7" x14ac:dyDescent="0.3">
      <c r="A3632" s="2">
        <v>45474</v>
      </c>
      <c r="B3632" t="s">
        <v>2477</v>
      </c>
      <c r="C3632">
        <v>-453.75</v>
      </c>
      <c r="D3632" s="2">
        <v>45474</v>
      </c>
      <c r="E3632" t="s">
        <v>2004</v>
      </c>
      <c r="F3632">
        <v>-453.75</v>
      </c>
      <c r="G3632">
        <v>0</v>
      </c>
    </row>
    <row r="3633" spans="1:7" x14ac:dyDescent="0.3">
      <c r="A3633" s="2">
        <v>45474</v>
      </c>
      <c r="B3633" t="s">
        <v>2478</v>
      </c>
      <c r="C3633">
        <v>-30.04</v>
      </c>
      <c r="D3633" s="2">
        <v>45474</v>
      </c>
      <c r="E3633" t="s">
        <v>2004</v>
      </c>
      <c r="F3633">
        <v>-30.04</v>
      </c>
      <c r="G3633">
        <v>0</v>
      </c>
    </row>
    <row r="3634" spans="1:7" x14ac:dyDescent="0.3">
      <c r="A3634" s="2">
        <v>45474</v>
      </c>
      <c r="B3634" t="s">
        <v>2479</v>
      </c>
      <c r="C3634">
        <v>110</v>
      </c>
      <c r="D3634" s="2">
        <v>45473</v>
      </c>
      <c r="E3634" t="s">
        <v>25</v>
      </c>
      <c r="F3634">
        <v>110</v>
      </c>
      <c r="G3634">
        <v>0</v>
      </c>
    </row>
    <row r="3635" spans="1:7" x14ac:dyDescent="0.3">
      <c r="A3635" s="2">
        <v>45474</v>
      </c>
      <c r="B3635" t="s">
        <v>2480</v>
      </c>
      <c r="C3635">
        <v>1285</v>
      </c>
      <c r="D3635" s="2">
        <v>45472</v>
      </c>
      <c r="E3635" t="s">
        <v>25</v>
      </c>
      <c r="F3635">
        <v>1285</v>
      </c>
      <c r="G3635">
        <v>0</v>
      </c>
    </row>
    <row r="3636" spans="1:7" x14ac:dyDescent="0.3">
      <c r="A3636" s="2">
        <v>45474</v>
      </c>
      <c r="B3636" t="s">
        <v>2481</v>
      </c>
      <c r="C3636">
        <v>3533.75</v>
      </c>
      <c r="D3636" s="2">
        <v>45471</v>
      </c>
      <c r="E3636" t="s">
        <v>25</v>
      </c>
      <c r="F3636">
        <v>3533.75</v>
      </c>
      <c r="G3636">
        <v>0</v>
      </c>
    </row>
    <row r="3637" spans="1:7" x14ac:dyDescent="0.3">
      <c r="A3637" s="2">
        <v>45475</v>
      </c>
      <c r="B3637" t="s">
        <v>2482</v>
      </c>
      <c r="C3637">
        <v>-1343.85</v>
      </c>
      <c r="D3637" s="2">
        <v>45475</v>
      </c>
      <c r="E3637" t="s">
        <v>2004</v>
      </c>
      <c r="F3637">
        <v>-1343.85</v>
      </c>
      <c r="G3637">
        <v>0</v>
      </c>
    </row>
    <row r="3638" spans="1:7" x14ac:dyDescent="0.3">
      <c r="A3638" s="2">
        <v>45476</v>
      </c>
      <c r="B3638" t="s">
        <v>2483</v>
      </c>
      <c r="C3638">
        <v>-34</v>
      </c>
      <c r="D3638" s="2">
        <v>45476</v>
      </c>
      <c r="E3638" t="s">
        <v>2004</v>
      </c>
      <c r="F3638">
        <v>-34</v>
      </c>
      <c r="G3638">
        <v>0</v>
      </c>
    </row>
    <row r="3639" spans="1:7" x14ac:dyDescent="0.3">
      <c r="A3639" s="2">
        <v>45476</v>
      </c>
      <c r="B3639" t="s">
        <v>2484</v>
      </c>
      <c r="C3639">
        <v>-157.87</v>
      </c>
      <c r="D3639" s="2">
        <v>45476</v>
      </c>
      <c r="E3639" t="s">
        <v>2004</v>
      </c>
      <c r="F3639">
        <v>-157.87</v>
      </c>
      <c r="G3639">
        <v>0</v>
      </c>
    </row>
    <row r="3640" spans="1:7" x14ac:dyDescent="0.3">
      <c r="A3640" s="2">
        <v>45476</v>
      </c>
      <c r="B3640" t="s">
        <v>2485</v>
      </c>
      <c r="C3640">
        <v>1737.5</v>
      </c>
      <c r="D3640" s="2">
        <v>45475</v>
      </c>
      <c r="E3640" t="s">
        <v>25</v>
      </c>
      <c r="F3640">
        <v>1737.5</v>
      </c>
      <c r="G3640">
        <v>0</v>
      </c>
    </row>
    <row r="3641" spans="1:7" x14ac:dyDescent="0.3">
      <c r="A3641" s="2">
        <v>45478</v>
      </c>
      <c r="B3641" t="s">
        <v>2486</v>
      </c>
      <c r="C3641">
        <v>-6060</v>
      </c>
      <c r="D3641" s="2">
        <v>45478</v>
      </c>
      <c r="E3641" t="s">
        <v>2004</v>
      </c>
      <c r="F3641">
        <v>-6060</v>
      </c>
      <c r="G3641">
        <v>0</v>
      </c>
    </row>
    <row r="3642" spans="1:7" x14ac:dyDescent="0.3">
      <c r="A3642" s="2">
        <v>45478</v>
      </c>
      <c r="B3642" t="s">
        <v>2487</v>
      </c>
      <c r="C3642">
        <v>777.5</v>
      </c>
      <c r="D3642" s="2">
        <v>45477</v>
      </c>
      <c r="E3642" t="s">
        <v>25</v>
      </c>
      <c r="F3642">
        <v>777.5</v>
      </c>
      <c r="G3642">
        <v>0</v>
      </c>
    </row>
    <row r="3643" spans="1:7" x14ac:dyDescent="0.3">
      <c r="A3643" s="2">
        <v>45478</v>
      </c>
      <c r="B3643" t="s">
        <v>2488</v>
      </c>
      <c r="C3643">
        <v>4597.5</v>
      </c>
      <c r="D3643" s="2">
        <v>45476</v>
      </c>
      <c r="E3643" t="s">
        <v>25</v>
      </c>
      <c r="F3643">
        <v>4597.5</v>
      </c>
      <c r="G3643">
        <v>0</v>
      </c>
    </row>
    <row r="3644" spans="1:7" x14ac:dyDescent="0.3">
      <c r="A3644" s="2">
        <v>45481</v>
      </c>
      <c r="B3644" t="s">
        <v>2489</v>
      </c>
      <c r="C3644">
        <v>957.5</v>
      </c>
      <c r="D3644" s="2">
        <v>45480</v>
      </c>
      <c r="E3644" t="s">
        <v>25</v>
      </c>
      <c r="F3644">
        <v>957.5</v>
      </c>
      <c r="G3644">
        <v>0</v>
      </c>
    </row>
    <row r="3645" spans="1:7" x14ac:dyDescent="0.3">
      <c r="A3645" s="2">
        <v>45481</v>
      </c>
      <c r="B3645" t="s">
        <v>2490</v>
      </c>
      <c r="C3645">
        <v>1452.5</v>
      </c>
      <c r="D3645" s="2">
        <v>45479</v>
      </c>
      <c r="E3645" t="s">
        <v>25</v>
      </c>
      <c r="F3645">
        <v>1452.5</v>
      </c>
      <c r="G3645">
        <v>0</v>
      </c>
    </row>
    <row r="3646" spans="1:7" x14ac:dyDescent="0.3">
      <c r="A3646" s="2">
        <v>45481</v>
      </c>
      <c r="B3646" t="s">
        <v>2491</v>
      </c>
      <c r="C3646">
        <v>2632.5</v>
      </c>
      <c r="D3646" s="2">
        <v>45478</v>
      </c>
      <c r="E3646" t="s">
        <v>25</v>
      </c>
      <c r="F3646">
        <v>2632.5</v>
      </c>
      <c r="G3646">
        <v>0</v>
      </c>
    </row>
    <row r="3647" spans="1:7" x14ac:dyDescent="0.3">
      <c r="A3647" s="2">
        <v>45482</v>
      </c>
      <c r="B3647" t="s">
        <v>2492</v>
      </c>
      <c r="C3647">
        <v>932.5</v>
      </c>
      <c r="D3647" s="2">
        <v>45481</v>
      </c>
      <c r="E3647" t="s">
        <v>25</v>
      </c>
      <c r="F3647">
        <v>932.5</v>
      </c>
      <c r="G3647">
        <v>0</v>
      </c>
    </row>
    <row r="3648" spans="1:7" x14ac:dyDescent="0.3">
      <c r="A3648" s="2">
        <v>45483</v>
      </c>
      <c r="B3648" t="s">
        <v>2493</v>
      </c>
      <c r="C3648">
        <v>-217.75</v>
      </c>
      <c r="D3648" s="2">
        <v>45483</v>
      </c>
      <c r="E3648" t="s">
        <v>2004</v>
      </c>
      <c r="F3648">
        <v>-217.75</v>
      </c>
      <c r="G3648">
        <v>0</v>
      </c>
    </row>
    <row r="3649" spans="1:7" x14ac:dyDescent="0.3">
      <c r="A3649" s="2">
        <v>45483</v>
      </c>
      <c r="B3649" t="s">
        <v>2494</v>
      </c>
      <c r="C3649">
        <v>4430</v>
      </c>
      <c r="D3649" s="2">
        <v>45482</v>
      </c>
      <c r="E3649" t="s">
        <v>25</v>
      </c>
      <c r="F3649">
        <v>4430</v>
      </c>
      <c r="G3649">
        <v>0</v>
      </c>
    </row>
    <row r="3650" spans="1:7" x14ac:dyDescent="0.3">
      <c r="A3650" s="2">
        <v>45484</v>
      </c>
      <c r="B3650" t="s">
        <v>2495</v>
      </c>
      <c r="C3650">
        <v>4445</v>
      </c>
      <c r="D3650" s="2">
        <v>45483</v>
      </c>
      <c r="E3650" t="s">
        <v>25</v>
      </c>
      <c r="F3650">
        <v>4445</v>
      </c>
      <c r="G3650">
        <v>0</v>
      </c>
    </row>
    <row r="3651" spans="1:7" x14ac:dyDescent="0.3">
      <c r="A3651" s="2">
        <v>45485</v>
      </c>
      <c r="B3651" t="s">
        <v>2496</v>
      </c>
      <c r="C3651">
        <v>19037.5</v>
      </c>
      <c r="D3651" s="2">
        <v>45484</v>
      </c>
      <c r="E3651" t="s">
        <v>25</v>
      </c>
      <c r="F3651">
        <v>19037.5</v>
      </c>
      <c r="G3651">
        <v>0</v>
      </c>
    </row>
    <row r="3652" spans="1:7" x14ac:dyDescent="0.3">
      <c r="A3652" s="2">
        <v>45488</v>
      </c>
      <c r="B3652" t="s">
        <v>2497</v>
      </c>
      <c r="C3652">
        <v>-89.98</v>
      </c>
      <c r="D3652" s="2">
        <v>45488</v>
      </c>
      <c r="E3652" t="s">
        <v>2004</v>
      </c>
      <c r="F3652">
        <v>-89.98</v>
      </c>
      <c r="G3652">
        <v>0</v>
      </c>
    </row>
    <row r="3653" spans="1:7" x14ac:dyDescent="0.3">
      <c r="A3653" s="2">
        <v>45488</v>
      </c>
      <c r="B3653" t="s">
        <v>2498</v>
      </c>
      <c r="C3653">
        <v>522.5</v>
      </c>
      <c r="D3653" s="2">
        <v>45487</v>
      </c>
      <c r="E3653" t="s">
        <v>25</v>
      </c>
      <c r="F3653">
        <v>522.5</v>
      </c>
      <c r="G3653">
        <v>0</v>
      </c>
    </row>
    <row r="3654" spans="1:7" x14ac:dyDescent="0.3">
      <c r="A3654" s="2">
        <v>45488</v>
      </c>
      <c r="B3654" t="s">
        <v>2499</v>
      </c>
      <c r="C3654">
        <v>22760</v>
      </c>
      <c r="D3654" s="2">
        <v>45486</v>
      </c>
      <c r="E3654" t="s">
        <v>25</v>
      </c>
      <c r="F3654">
        <v>22760</v>
      </c>
      <c r="G3654">
        <v>0</v>
      </c>
    </row>
    <row r="3655" spans="1:7" x14ac:dyDescent="0.3">
      <c r="A3655" s="2">
        <v>45488</v>
      </c>
      <c r="B3655" t="s">
        <v>2500</v>
      </c>
      <c r="C3655">
        <v>48642.5</v>
      </c>
      <c r="D3655" s="2">
        <v>45485</v>
      </c>
      <c r="E3655" t="s">
        <v>25</v>
      </c>
      <c r="F3655">
        <v>48642.5</v>
      </c>
      <c r="G3655">
        <v>0</v>
      </c>
    </row>
    <row r="3656" spans="1:7" x14ac:dyDescent="0.3">
      <c r="A3656" s="2">
        <v>45489</v>
      </c>
      <c r="B3656" t="s">
        <v>2501</v>
      </c>
      <c r="C3656">
        <v>-16.37</v>
      </c>
      <c r="D3656" s="2">
        <v>45489</v>
      </c>
      <c r="E3656" t="s">
        <v>2004</v>
      </c>
      <c r="F3656">
        <v>-16.37</v>
      </c>
      <c r="G3656">
        <v>0</v>
      </c>
    </row>
    <row r="3657" spans="1:7" x14ac:dyDescent="0.3">
      <c r="A3657" s="2">
        <v>45489</v>
      </c>
      <c r="B3657" t="s">
        <v>2502</v>
      </c>
      <c r="C3657">
        <v>402.5</v>
      </c>
      <c r="D3657" s="2">
        <v>45488</v>
      </c>
      <c r="E3657" t="s">
        <v>25</v>
      </c>
      <c r="F3657">
        <v>402.5</v>
      </c>
      <c r="G3657">
        <v>0</v>
      </c>
    </row>
    <row r="3658" spans="1:7" x14ac:dyDescent="0.3">
      <c r="A3658" s="2">
        <v>45490</v>
      </c>
      <c r="B3658" t="s">
        <v>2503</v>
      </c>
      <c r="C3658">
        <v>-10.88</v>
      </c>
      <c r="D3658" s="2">
        <v>45490</v>
      </c>
      <c r="E3658" t="s">
        <v>2004</v>
      </c>
      <c r="F3658">
        <v>-10.88</v>
      </c>
      <c r="G3658">
        <v>0</v>
      </c>
    </row>
    <row r="3659" spans="1:7" x14ac:dyDescent="0.3">
      <c r="A3659" s="2">
        <v>45490</v>
      </c>
      <c r="B3659" t="s">
        <v>2504</v>
      </c>
      <c r="C3659">
        <v>7735</v>
      </c>
      <c r="D3659" s="2">
        <v>45489</v>
      </c>
      <c r="E3659" t="s">
        <v>25</v>
      </c>
      <c r="F3659">
        <v>7735</v>
      </c>
      <c r="G3659">
        <v>0</v>
      </c>
    </row>
    <row r="3660" spans="1:7" x14ac:dyDescent="0.3">
      <c r="A3660" s="2">
        <v>45490</v>
      </c>
      <c r="B3660" t="s">
        <v>2505</v>
      </c>
      <c r="C3660">
        <v>400.3</v>
      </c>
      <c r="D3660" s="2">
        <v>45490</v>
      </c>
      <c r="E3660" t="s">
        <v>25</v>
      </c>
      <c r="F3660">
        <v>400.3</v>
      </c>
      <c r="G3660">
        <v>0</v>
      </c>
    </row>
    <row r="3661" spans="1:7" x14ac:dyDescent="0.3">
      <c r="A3661" s="2">
        <v>45491</v>
      </c>
      <c r="B3661" t="s">
        <v>2506</v>
      </c>
      <c r="C3661">
        <v>2790</v>
      </c>
      <c r="D3661" s="2">
        <v>45490</v>
      </c>
      <c r="E3661" t="s">
        <v>25</v>
      </c>
      <c r="F3661">
        <v>2790</v>
      </c>
      <c r="G3661">
        <v>0</v>
      </c>
    </row>
    <row r="3662" spans="1:7" x14ac:dyDescent="0.3">
      <c r="A3662" s="2">
        <v>45492</v>
      </c>
      <c r="B3662" t="s">
        <v>2507</v>
      </c>
      <c r="C3662">
        <v>2327.5</v>
      </c>
      <c r="D3662" s="2">
        <v>45491</v>
      </c>
      <c r="E3662" t="s">
        <v>25</v>
      </c>
      <c r="F3662">
        <v>2327.5</v>
      </c>
      <c r="G3662">
        <v>0</v>
      </c>
    </row>
    <row r="3663" spans="1:7" x14ac:dyDescent="0.3">
      <c r="A3663" s="2">
        <v>45495</v>
      </c>
      <c r="B3663" t="s">
        <v>2508</v>
      </c>
      <c r="C3663">
        <v>-109</v>
      </c>
      <c r="D3663" s="2">
        <v>45495</v>
      </c>
      <c r="E3663" t="s">
        <v>2004</v>
      </c>
      <c r="F3663">
        <v>-109</v>
      </c>
      <c r="G3663">
        <v>0</v>
      </c>
    </row>
    <row r="3664" spans="1:7" x14ac:dyDescent="0.3">
      <c r="A3664" s="2">
        <v>45495</v>
      </c>
      <c r="B3664" t="s">
        <v>2509</v>
      </c>
      <c r="C3664">
        <v>260</v>
      </c>
      <c r="D3664" s="2">
        <v>45493</v>
      </c>
      <c r="E3664" t="s">
        <v>25</v>
      </c>
      <c r="F3664">
        <v>260</v>
      </c>
      <c r="G3664">
        <v>0</v>
      </c>
    </row>
    <row r="3665" spans="1:7" x14ac:dyDescent="0.3">
      <c r="A3665" s="2">
        <v>45495</v>
      </c>
      <c r="B3665" t="s">
        <v>2510</v>
      </c>
      <c r="C3665">
        <v>1620</v>
      </c>
      <c r="D3665" s="2">
        <v>45492</v>
      </c>
      <c r="E3665" t="s">
        <v>25</v>
      </c>
      <c r="F3665">
        <v>1620</v>
      </c>
      <c r="G3665">
        <v>0</v>
      </c>
    </row>
    <row r="3666" spans="1:7" x14ac:dyDescent="0.3">
      <c r="A3666" s="2">
        <v>45496</v>
      </c>
      <c r="B3666" t="s">
        <v>2511</v>
      </c>
      <c r="C3666">
        <v>82.5</v>
      </c>
      <c r="D3666" s="2">
        <v>45495</v>
      </c>
      <c r="E3666" t="s">
        <v>25</v>
      </c>
      <c r="F3666">
        <v>82.5</v>
      </c>
      <c r="G3666">
        <v>0</v>
      </c>
    </row>
    <row r="3667" spans="1:7" x14ac:dyDescent="0.3">
      <c r="A3667" s="2">
        <v>45497</v>
      </c>
      <c r="B3667" t="s">
        <v>2512</v>
      </c>
      <c r="C3667">
        <v>742.5</v>
      </c>
      <c r="D3667" s="2">
        <v>45496</v>
      </c>
      <c r="E3667" t="s">
        <v>25</v>
      </c>
      <c r="F3667">
        <v>742.5</v>
      </c>
      <c r="G3667">
        <v>0</v>
      </c>
    </row>
    <row r="3668" spans="1:7" x14ac:dyDescent="0.3">
      <c r="A3668" s="2">
        <v>45498</v>
      </c>
      <c r="B3668" t="s">
        <v>2513</v>
      </c>
      <c r="C3668">
        <v>-5000</v>
      </c>
      <c r="D3668" s="2">
        <v>45498</v>
      </c>
      <c r="E3668" t="s">
        <v>2004</v>
      </c>
      <c r="F3668">
        <v>-5000</v>
      </c>
      <c r="G3668">
        <v>0</v>
      </c>
    </row>
    <row r="3669" spans="1:7" x14ac:dyDescent="0.3">
      <c r="A3669" s="2">
        <v>45498</v>
      </c>
      <c r="B3669" t="s">
        <v>2514</v>
      </c>
      <c r="C3669">
        <v>82.5</v>
      </c>
      <c r="D3669" s="2">
        <v>45497</v>
      </c>
      <c r="E3669" t="s">
        <v>25</v>
      </c>
      <c r="F3669">
        <v>82.5</v>
      </c>
      <c r="G3669">
        <v>0</v>
      </c>
    </row>
    <row r="3670" spans="1:7" x14ac:dyDescent="0.3">
      <c r="A3670" s="2">
        <v>45499</v>
      </c>
      <c r="B3670" t="s">
        <v>2515</v>
      </c>
      <c r="C3670">
        <v>1070</v>
      </c>
      <c r="D3670" s="2">
        <v>45498</v>
      </c>
      <c r="E3670" t="s">
        <v>25</v>
      </c>
      <c r="F3670">
        <v>1070</v>
      </c>
      <c r="G3670">
        <v>0</v>
      </c>
    </row>
    <row r="3671" spans="1:7" x14ac:dyDescent="0.3">
      <c r="A3671" s="2">
        <v>45502</v>
      </c>
      <c r="B3671" t="s">
        <v>2516</v>
      </c>
      <c r="C3671">
        <v>-440</v>
      </c>
      <c r="D3671" s="2">
        <v>45502</v>
      </c>
      <c r="E3671" t="s">
        <v>2004</v>
      </c>
      <c r="F3671">
        <v>-440</v>
      </c>
      <c r="G3671">
        <v>0</v>
      </c>
    </row>
    <row r="3672" spans="1:7" x14ac:dyDescent="0.3">
      <c r="A3672" s="2">
        <v>45502</v>
      </c>
      <c r="B3672" t="s">
        <v>2517</v>
      </c>
      <c r="C3672">
        <v>610</v>
      </c>
      <c r="D3672" s="2">
        <v>45499</v>
      </c>
      <c r="E3672" t="s">
        <v>25</v>
      </c>
      <c r="F3672">
        <v>610</v>
      </c>
      <c r="G3672">
        <v>0</v>
      </c>
    </row>
    <row r="3673" spans="1:7" x14ac:dyDescent="0.3">
      <c r="A3673" s="2">
        <v>45502</v>
      </c>
      <c r="B3673" t="s">
        <v>2518</v>
      </c>
      <c r="C3673">
        <v>3205</v>
      </c>
      <c r="D3673" s="2">
        <v>45500</v>
      </c>
      <c r="E3673" t="s">
        <v>25</v>
      </c>
      <c r="F3673">
        <v>3205</v>
      </c>
      <c r="G3673">
        <v>0</v>
      </c>
    </row>
    <row r="3674" spans="1:7" x14ac:dyDescent="0.3">
      <c r="A3674" s="2">
        <v>45503</v>
      </c>
      <c r="B3674" t="s">
        <v>2519</v>
      </c>
      <c r="C3674">
        <v>110</v>
      </c>
      <c r="D3674" s="2">
        <v>45502</v>
      </c>
      <c r="E3674" t="s">
        <v>25</v>
      </c>
      <c r="F3674">
        <v>110</v>
      </c>
      <c r="G3674">
        <v>0</v>
      </c>
    </row>
    <row r="3675" spans="1:7" x14ac:dyDescent="0.3">
      <c r="A3675" s="2">
        <v>45504</v>
      </c>
      <c r="B3675" t="s">
        <v>2520</v>
      </c>
      <c r="C3675">
        <v>3505</v>
      </c>
      <c r="D3675" s="2">
        <v>45503</v>
      </c>
      <c r="E3675" t="s">
        <v>25</v>
      </c>
      <c r="F3675">
        <v>3505</v>
      </c>
      <c r="G3675">
        <v>0</v>
      </c>
    </row>
    <row r="3676" spans="1:7" x14ac:dyDescent="0.3">
      <c r="A3676" s="2">
        <v>45505</v>
      </c>
      <c r="B3676" t="s">
        <v>2521</v>
      </c>
      <c r="C3676">
        <v>-78.39</v>
      </c>
      <c r="D3676" s="2">
        <v>45505</v>
      </c>
      <c r="E3676" t="s">
        <v>2004</v>
      </c>
      <c r="F3676">
        <v>-78.39</v>
      </c>
      <c r="G3676">
        <v>0</v>
      </c>
    </row>
    <row r="3677" spans="1:7" x14ac:dyDescent="0.3">
      <c r="A3677" s="2">
        <v>45505</v>
      </c>
      <c r="B3677" t="s">
        <v>2522</v>
      </c>
      <c r="C3677">
        <v>-33.979999999999997</v>
      </c>
      <c r="D3677" s="2">
        <v>45505</v>
      </c>
      <c r="E3677" t="s">
        <v>2004</v>
      </c>
      <c r="F3677">
        <v>-33.979999999999997</v>
      </c>
      <c r="G3677">
        <v>0</v>
      </c>
    </row>
    <row r="3678" spans="1:7" x14ac:dyDescent="0.3">
      <c r="A3678" s="2">
        <v>45505</v>
      </c>
      <c r="B3678" t="s">
        <v>2523</v>
      </c>
      <c r="C3678">
        <v>680</v>
      </c>
      <c r="D3678" s="2">
        <v>45504</v>
      </c>
      <c r="E3678" t="s">
        <v>25</v>
      </c>
      <c r="F3678">
        <v>680</v>
      </c>
      <c r="G3678">
        <v>0</v>
      </c>
    </row>
    <row r="3679" spans="1:7" x14ac:dyDescent="0.3">
      <c r="A3679" s="2">
        <v>45506</v>
      </c>
      <c r="B3679" t="s">
        <v>2524</v>
      </c>
      <c r="C3679">
        <v>-6492.21</v>
      </c>
      <c r="D3679" s="2">
        <v>45506</v>
      </c>
      <c r="E3679" t="s">
        <v>2004</v>
      </c>
      <c r="F3679">
        <v>-6492.21</v>
      </c>
      <c r="G3679">
        <v>0</v>
      </c>
    </row>
    <row r="3680" spans="1:7" x14ac:dyDescent="0.3">
      <c r="A3680" s="2">
        <v>45506</v>
      </c>
      <c r="B3680" t="s">
        <v>2525</v>
      </c>
      <c r="C3680">
        <v>1067.5</v>
      </c>
      <c r="D3680" s="2">
        <v>45505</v>
      </c>
      <c r="E3680" t="s">
        <v>25</v>
      </c>
      <c r="F3680">
        <v>1067.5</v>
      </c>
      <c r="G3680">
        <v>0</v>
      </c>
    </row>
    <row r="3681" spans="1:7" x14ac:dyDescent="0.3">
      <c r="A3681" s="2">
        <v>45509</v>
      </c>
      <c r="B3681" t="s">
        <v>2526</v>
      </c>
      <c r="C3681">
        <v>-157.87</v>
      </c>
      <c r="D3681" s="2">
        <v>45509</v>
      </c>
      <c r="E3681" t="s">
        <v>2004</v>
      </c>
      <c r="F3681">
        <v>-157.87</v>
      </c>
      <c r="G3681">
        <v>0</v>
      </c>
    </row>
    <row r="3682" spans="1:7" x14ac:dyDescent="0.3">
      <c r="A3682" s="2">
        <v>45509</v>
      </c>
      <c r="B3682" t="s">
        <v>2527</v>
      </c>
      <c r="C3682">
        <v>870</v>
      </c>
      <c r="D3682" s="2">
        <v>45507</v>
      </c>
      <c r="E3682" t="s">
        <v>25</v>
      </c>
      <c r="F3682">
        <v>870</v>
      </c>
      <c r="G3682">
        <v>0</v>
      </c>
    </row>
    <row r="3683" spans="1:7" x14ac:dyDescent="0.3">
      <c r="A3683" s="2">
        <v>45509</v>
      </c>
      <c r="B3683" t="s">
        <v>2528</v>
      </c>
      <c r="C3683">
        <v>1380</v>
      </c>
      <c r="D3683" s="2">
        <v>45506</v>
      </c>
      <c r="E3683" t="s">
        <v>25</v>
      </c>
      <c r="F3683">
        <v>1380</v>
      </c>
      <c r="G3683">
        <v>0</v>
      </c>
    </row>
    <row r="3684" spans="1:7" x14ac:dyDescent="0.3">
      <c r="A3684" s="2">
        <v>45510</v>
      </c>
      <c r="B3684" t="s">
        <v>2529</v>
      </c>
      <c r="C3684">
        <v>-20</v>
      </c>
      <c r="D3684" s="2">
        <v>45510</v>
      </c>
      <c r="E3684" t="s">
        <v>2004</v>
      </c>
      <c r="F3684">
        <v>-20</v>
      </c>
      <c r="G3684">
        <v>0</v>
      </c>
    </row>
    <row r="3685" spans="1:7" x14ac:dyDescent="0.3">
      <c r="A3685" s="2">
        <v>45510</v>
      </c>
      <c r="B3685" t="s">
        <v>2530</v>
      </c>
      <c r="C3685">
        <v>150</v>
      </c>
      <c r="D3685" s="2">
        <v>45509</v>
      </c>
      <c r="E3685" t="s">
        <v>25</v>
      </c>
      <c r="F3685">
        <v>150</v>
      </c>
      <c r="G3685">
        <v>0</v>
      </c>
    </row>
    <row r="3686" spans="1:7" x14ac:dyDescent="0.3">
      <c r="A3686" s="2">
        <v>45511</v>
      </c>
      <c r="B3686" t="s">
        <v>2531</v>
      </c>
      <c r="C3686">
        <v>2630</v>
      </c>
      <c r="D3686" s="2">
        <v>45510</v>
      </c>
      <c r="E3686" t="s">
        <v>25</v>
      </c>
      <c r="F3686">
        <v>2630</v>
      </c>
      <c r="G3686">
        <v>0</v>
      </c>
    </row>
    <row r="3687" spans="1:7" x14ac:dyDescent="0.3">
      <c r="A3687" s="2">
        <v>45512</v>
      </c>
      <c r="B3687" t="s">
        <v>2532</v>
      </c>
      <c r="C3687">
        <v>6590</v>
      </c>
      <c r="D3687" s="2">
        <v>45511</v>
      </c>
      <c r="E3687" t="s">
        <v>25</v>
      </c>
      <c r="F3687">
        <v>6590</v>
      </c>
      <c r="G3687">
        <v>0</v>
      </c>
    </row>
    <row r="3688" spans="1:7" x14ac:dyDescent="0.3">
      <c r="A3688" s="2">
        <v>45513</v>
      </c>
      <c r="B3688" t="s">
        <v>2533</v>
      </c>
      <c r="C3688">
        <v>4260</v>
      </c>
      <c r="D3688" s="2">
        <v>45512</v>
      </c>
      <c r="E3688" t="s">
        <v>25</v>
      </c>
      <c r="F3688">
        <v>4260</v>
      </c>
      <c r="G3688">
        <v>0</v>
      </c>
    </row>
    <row r="3689" spans="1:7" x14ac:dyDescent="0.3">
      <c r="A3689" s="2">
        <v>45516</v>
      </c>
      <c r="B3689" t="s">
        <v>2534</v>
      </c>
      <c r="C3689">
        <v>-255.86</v>
      </c>
      <c r="D3689" s="2">
        <v>45516</v>
      </c>
      <c r="E3689" t="s">
        <v>2004</v>
      </c>
      <c r="F3689">
        <v>-255.86</v>
      </c>
      <c r="G3689">
        <v>0</v>
      </c>
    </row>
    <row r="3690" spans="1:7" x14ac:dyDescent="0.3">
      <c r="A3690" s="2">
        <v>45516</v>
      </c>
      <c r="B3690" t="s">
        <v>2535</v>
      </c>
      <c r="C3690">
        <v>165</v>
      </c>
      <c r="D3690" s="2">
        <v>45515</v>
      </c>
      <c r="E3690" t="s">
        <v>25</v>
      </c>
      <c r="F3690">
        <v>165</v>
      </c>
      <c r="G3690">
        <v>0</v>
      </c>
    </row>
    <row r="3691" spans="1:7" x14ac:dyDescent="0.3">
      <c r="A3691" s="2">
        <v>45516</v>
      </c>
      <c r="B3691" t="s">
        <v>2536</v>
      </c>
      <c r="C3691">
        <v>1140</v>
      </c>
      <c r="D3691" s="2">
        <v>45514</v>
      </c>
      <c r="E3691" t="s">
        <v>25</v>
      </c>
      <c r="F3691">
        <v>1140</v>
      </c>
      <c r="G3691">
        <v>0</v>
      </c>
    </row>
    <row r="3692" spans="1:7" x14ac:dyDescent="0.3">
      <c r="A3692" s="2">
        <v>45516</v>
      </c>
      <c r="B3692" t="s">
        <v>2537</v>
      </c>
      <c r="C3692">
        <v>1222.5</v>
      </c>
      <c r="D3692" s="2">
        <v>45513</v>
      </c>
      <c r="E3692" t="s">
        <v>25</v>
      </c>
      <c r="F3692">
        <v>1222.5</v>
      </c>
      <c r="G3692">
        <v>0</v>
      </c>
    </row>
    <row r="3693" spans="1:7" x14ac:dyDescent="0.3">
      <c r="A3693" s="2">
        <v>45516</v>
      </c>
      <c r="B3693" t="s">
        <v>2538</v>
      </c>
      <c r="C3693">
        <v>8008.33</v>
      </c>
      <c r="D3693" s="2">
        <v>45516</v>
      </c>
      <c r="E3693" t="s">
        <v>25</v>
      </c>
      <c r="F3693">
        <v>8008.33</v>
      </c>
      <c r="G3693">
        <v>0</v>
      </c>
    </row>
    <row r="3694" spans="1:7" x14ac:dyDescent="0.3">
      <c r="A3694" s="2">
        <v>45518</v>
      </c>
      <c r="B3694" t="s">
        <v>2539</v>
      </c>
      <c r="C3694">
        <v>245</v>
      </c>
      <c r="D3694" s="2">
        <v>45517</v>
      </c>
      <c r="E3694" t="s">
        <v>25</v>
      </c>
      <c r="F3694">
        <v>245</v>
      </c>
      <c r="G3694">
        <v>0</v>
      </c>
    </row>
    <row r="3695" spans="1:7" x14ac:dyDescent="0.3">
      <c r="A3695" s="2">
        <v>45519</v>
      </c>
      <c r="B3695" t="s">
        <v>2540</v>
      </c>
      <c r="C3695">
        <v>585</v>
      </c>
      <c r="D3695" s="2">
        <v>45518</v>
      </c>
      <c r="E3695" t="s">
        <v>25</v>
      </c>
      <c r="F3695">
        <v>585</v>
      </c>
      <c r="G3695">
        <v>0</v>
      </c>
    </row>
    <row r="3696" spans="1:7" x14ac:dyDescent="0.3">
      <c r="A3696" s="2">
        <v>45520</v>
      </c>
      <c r="B3696" t="s">
        <v>2541</v>
      </c>
      <c r="C3696">
        <v>-16.37</v>
      </c>
      <c r="D3696" s="2">
        <v>45520</v>
      </c>
      <c r="E3696" t="s">
        <v>2004</v>
      </c>
      <c r="F3696">
        <v>-16.37</v>
      </c>
      <c r="G3696">
        <v>0</v>
      </c>
    </row>
    <row r="3697" spans="1:7" x14ac:dyDescent="0.3">
      <c r="A3697" s="2">
        <v>45520</v>
      </c>
      <c r="B3697" t="s">
        <v>2542</v>
      </c>
      <c r="C3697">
        <v>-28.3</v>
      </c>
      <c r="D3697" s="2">
        <v>45520</v>
      </c>
      <c r="E3697" t="s">
        <v>2004</v>
      </c>
      <c r="F3697">
        <v>-28.3</v>
      </c>
      <c r="G3697">
        <v>0</v>
      </c>
    </row>
    <row r="3698" spans="1:7" x14ac:dyDescent="0.3">
      <c r="A3698" s="2">
        <v>45520</v>
      </c>
      <c r="B3698" t="s">
        <v>2543</v>
      </c>
      <c r="C3698">
        <v>3150</v>
      </c>
      <c r="D3698" s="2">
        <v>45519</v>
      </c>
      <c r="E3698" t="s">
        <v>25</v>
      </c>
      <c r="F3698">
        <v>3150</v>
      </c>
      <c r="G3698">
        <v>0</v>
      </c>
    </row>
    <row r="3699" spans="1:7" x14ac:dyDescent="0.3">
      <c r="A3699" s="2">
        <v>45523</v>
      </c>
      <c r="B3699" t="s">
        <v>2544</v>
      </c>
      <c r="C3699">
        <v>-10.88</v>
      </c>
      <c r="D3699" s="2">
        <v>45523</v>
      </c>
      <c r="E3699" t="s">
        <v>2004</v>
      </c>
      <c r="F3699">
        <v>-10.88</v>
      </c>
      <c r="G3699">
        <v>0</v>
      </c>
    </row>
    <row r="3700" spans="1:7" x14ac:dyDescent="0.3">
      <c r="A3700" s="2">
        <v>45523</v>
      </c>
      <c r="B3700" t="s">
        <v>2545</v>
      </c>
      <c r="C3700">
        <v>302.5</v>
      </c>
      <c r="D3700" s="2">
        <v>45522</v>
      </c>
      <c r="E3700" t="s">
        <v>25</v>
      </c>
      <c r="F3700">
        <v>302.5</v>
      </c>
      <c r="G3700">
        <v>0</v>
      </c>
    </row>
    <row r="3701" spans="1:7" x14ac:dyDescent="0.3">
      <c r="A3701" s="2">
        <v>45523</v>
      </c>
      <c r="B3701" t="s">
        <v>2546</v>
      </c>
      <c r="C3701">
        <v>1185</v>
      </c>
      <c r="D3701" s="2">
        <v>45520</v>
      </c>
      <c r="E3701" t="s">
        <v>25</v>
      </c>
      <c r="F3701">
        <v>1185</v>
      </c>
      <c r="G3701">
        <v>0</v>
      </c>
    </row>
    <row r="3702" spans="1:7" x14ac:dyDescent="0.3">
      <c r="A3702" s="2">
        <v>45523</v>
      </c>
      <c r="B3702" t="s">
        <v>2547</v>
      </c>
      <c r="C3702">
        <v>1432.5</v>
      </c>
      <c r="D3702" s="2">
        <v>45521</v>
      </c>
      <c r="E3702" t="s">
        <v>25</v>
      </c>
      <c r="F3702">
        <v>1432.5</v>
      </c>
      <c r="G3702">
        <v>0</v>
      </c>
    </row>
    <row r="3703" spans="1:7" x14ac:dyDescent="0.3">
      <c r="A3703" s="2">
        <v>45524</v>
      </c>
      <c r="B3703" t="s">
        <v>2548</v>
      </c>
      <c r="C3703">
        <v>500</v>
      </c>
      <c r="D3703" s="2">
        <v>45523</v>
      </c>
      <c r="E3703" t="s">
        <v>25</v>
      </c>
      <c r="F3703">
        <v>500</v>
      </c>
      <c r="G3703">
        <v>0</v>
      </c>
    </row>
    <row r="3704" spans="1:7" x14ac:dyDescent="0.3">
      <c r="A3704" s="2">
        <v>45525</v>
      </c>
      <c r="B3704" t="s">
        <v>2549</v>
      </c>
      <c r="C3704">
        <v>-109</v>
      </c>
      <c r="D3704" s="2">
        <v>45525</v>
      </c>
      <c r="E3704" t="s">
        <v>2004</v>
      </c>
      <c r="F3704">
        <v>-109</v>
      </c>
      <c r="G3704">
        <v>0</v>
      </c>
    </row>
    <row r="3705" spans="1:7" x14ac:dyDescent="0.3">
      <c r="A3705" s="2">
        <v>45525</v>
      </c>
      <c r="B3705" t="s">
        <v>2550</v>
      </c>
      <c r="C3705">
        <v>1037.5</v>
      </c>
      <c r="D3705" s="2">
        <v>45524</v>
      </c>
      <c r="E3705" t="s">
        <v>25</v>
      </c>
      <c r="F3705">
        <v>1037.5</v>
      </c>
      <c r="G3705">
        <v>0</v>
      </c>
    </row>
    <row r="3706" spans="1:7" x14ac:dyDescent="0.3">
      <c r="A3706" s="2">
        <v>45526</v>
      </c>
      <c r="B3706" t="s">
        <v>2551</v>
      </c>
      <c r="C3706">
        <v>1180</v>
      </c>
      <c r="D3706" s="2">
        <v>45525</v>
      </c>
      <c r="E3706" t="s">
        <v>25</v>
      </c>
      <c r="F3706">
        <v>1180</v>
      </c>
      <c r="G3706">
        <v>0</v>
      </c>
    </row>
    <row r="3707" spans="1:7" x14ac:dyDescent="0.3">
      <c r="A3707" s="2">
        <v>45527</v>
      </c>
      <c r="B3707" t="s">
        <v>2552</v>
      </c>
      <c r="C3707">
        <v>852.5</v>
      </c>
      <c r="D3707" s="2">
        <v>45526</v>
      </c>
      <c r="E3707" t="s">
        <v>25</v>
      </c>
      <c r="F3707">
        <v>852.5</v>
      </c>
      <c r="G3707">
        <v>0</v>
      </c>
    </row>
    <row r="3708" spans="1:7" x14ac:dyDescent="0.3">
      <c r="A3708" s="2">
        <v>45530</v>
      </c>
      <c r="B3708" t="s">
        <v>2553</v>
      </c>
      <c r="C3708">
        <v>192.5</v>
      </c>
      <c r="D3708" s="2">
        <v>45529</v>
      </c>
      <c r="E3708" t="s">
        <v>25</v>
      </c>
      <c r="F3708">
        <v>192.5</v>
      </c>
      <c r="G3708">
        <v>0</v>
      </c>
    </row>
    <row r="3709" spans="1:7" x14ac:dyDescent="0.3">
      <c r="A3709" s="2">
        <v>45530</v>
      </c>
      <c r="B3709" t="s">
        <v>2554</v>
      </c>
      <c r="C3709">
        <v>815</v>
      </c>
      <c r="D3709" s="2">
        <v>45528</v>
      </c>
      <c r="E3709" t="s">
        <v>25</v>
      </c>
      <c r="F3709">
        <v>815</v>
      </c>
      <c r="G3709">
        <v>0</v>
      </c>
    </row>
    <row r="3710" spans="1:7" x14ac:dyDescent="0.3">
      <c r="A3710" s="2">
        <v>45530</v>
      </c>
      <c r="B3710" t="s">
        <v>2555</v>
      </c>
      <c r="C3710">
        <v>1485</v>
      </c>
      <c r="D3710" s="2">
        <v>45527</v>
      </c>
      <c r="E3710" t="s">
        <v>25</v>
      </c>
      <c r="F3710">
        <v>1485</v>
      </c>
      <c r="G3710">
        <v>0</v>
      </c>
    </row>
    <row r="3711" spans="1:7" x14ac:dyDescent="0.3">
      <c r="A3711" s="2">
        <v>45531</v>
      </c>
      <c r="B3711" t="s">
        <v>2556</v>
      </c>
      <c r="C3711">
        <v>410</v>
      </c>
      <c r="D3711" s="2">
        <v>45530</v>
      </c>
      <c r="E3711" t="s">
        <v>25</v>
      </c>
      <c r="F3711">
        <v>410</v>
      </c>
      <c r="G3711">
        <v>0</v>
      </c>
    </row>
    <row r="3712" spans="1:7" x14ac:dyDescent="0.3">
      <c r="A3712" s="2">
        <v>45532</v>
      </c>
      <c r="B3712" t="s">
        <v>2557</v>
      </c>
      <c r="C3712">
        <v>912.5</v>
      </c>
      <c r="D3712" s="2">
        <v>45531</v>
      </c>
      <c r="E3712" t="s">
        <v>25</v>
      </c>
      <c r="F3712">
        <v>912.5</v>
      </c>
      <c r="G3712">
        <v>0</v>
      </c>
    </row>
    <row r="3713" spans="1:7" x14ac:dyDescent="0.3">
      <c r="A3713" s="2">
        <v>45533</v>
      </c>
      <c r="B3713" t="s">
        <v>2558</v>
      </c>
      <c r="C3713">
        <v>800</v>
      </c>
      <c r="D3713" s="2">
        <v>45532</v>
      </c>
      <c r="E3713" t="s">
        <v>25</v>
      </c>
      <c r="F3713">
        <v>800</v>
      </c>
      <c r="G3713">
        <v>0</v>
      </c>
    </row>
    <row r="3714" spans="1:7" x14ac:dyDescent="0.3">
      <c r="A3714" s="2">
        <v>45534</v>
      </c>
      <c r="B3714" t="s">
        <v>2559</v>
      </c>
      <c r="C3714">
        <v>-985.63</v>
      </c>
      <c r="D3714" s="2">
        <v>45534</v>
      </c>
      <c r="E3714" t="s">
        <v>2004</v>
      </c>
      <c r="F3714">
        <v>-985.63</v>
      </c>
      <c r="G3714">
        <v>0</v>
      </c>
    </row>
    <row r="3715" spans="1:7" x14ac:dyDescent="0.3">
      <c r="A3715" s="2">
        <v>45534</v>
      </c>
      <c r="B3715" t="s">
        <v>2560</v>
      </c>
      <c r="C3715">
        <v>1117.5</v>
      </c>
      <c r="D3715" s="2">
        <v>45533</v>
      </c>
      <c r="E3715" t="s">
        <v>25</v>
      </c>
      <c r="F3715">
        <v>1117.5</v>
      </c>
      <c r="G3715">
        <v>0</v>
      </c>
    </row>
    <row r="3716" spans="1:7" x14ac:dyDescent="0.3">
      <c r="A3716" s="2">
        <v>45538</v>
      </c>
      <c r="B3716" t="s">
        <v>2561</v>
      </c>
      <c r="C3716">
        <v>-1755.75</v>
      </c>
      <c r="D3716" s="2">
        <v>45538</v>
      </c>
      <c r="E3716" t="s">
        <v>2004</v>
      </c>
      <c r="F3716">
        <v>-1755.75</v>
      </c>
      <c r="G3716">
        <v>0</v>
      </c>
    </row>
    <row r="3717" spans="1:7" x14ac:dyDescent="0.3">
      <c r="A3717" s="2">
        <v>45538</v>
      </c>
      <c r="B3717" t="s">
        <v>2056</v>
      </c>
      <c r="C3717">
        <v>-170.94</v>
      </c>
      <c r="D3717" s="2">
        <v>45538</v>
      </c>
      <c r="E3717" t="s">
        <v>2004</v>
      </c>
      <c r="F3717">
        <v>-170.94</v>
      </c>
      <c r="G3717">
        <v>0</v>
      </c>
    </row>
    <row r="3718" spans="1:7" x14ac:dyDescent="0.3">
      <c r="A3718" s="2">
        <v>45538</v>
      </c>
      <c r="B3718" t="s">
        <v>2050</v>
      </c>
      <c r="C3718">
        <v>-78.39</v>
      </c>
      <c r="D3718" s="2">
        <v>45538</v>
      </c>
      <c r="E3718" t="s">
        <v>2004</v>
      </c>
      <c r="F3718">
        <v>-78.39</v>
      </c>
      <c r="G3718">
        <v>0</v>
      </c>
    </row>
    <row r="3719" spans="1:7" x14ac:dyDescent="0.3">
      <c r="A3719" s="2">
        <v>45538</v>
      </c>
      <c r="B3719" t="s">
        <v>2051</v>
      </c>
      <c r="C3719">
        <v>-34</v>
      </c>
      <c r="D3719" s="2">
        <v>45538</v>
      </c>
      <c r="E3719" t="s">
        <v>2004</v>
      </c>
      <c r="F3719">
        <v>-34</v>
      </c>
      <c r="G3719">
        <v>0</v>
      </c>
    </row>
    <row r="3720" spans="1:7" x14ac:dyDescent="0.3">
      <c r="A3720" s="2">
        <v>45538</v>
      </c>
      <c r="B3720" t="s">
        <v>2562</v>
      </c>
      <c r="C3720">
        <v>80</v>
      </c>
      <c r="D3720" s="2">
        <v>45537</v>
      </c>
      <c r="E3720" t="s">
        <v>25</v>
      </c>
      <c r="F3720">
        <v>80</v>
      </c>
      <c r="G3720">
        <v>0</v>
      </c>
    </row>
    <row r="3721" spans="1:7" x14ac:dyDescent="0.3">
      <c r="A3721" s="2">
        <v>45538</v>
      </c>
      <c r="B3721" t="s">
        <v>2563</v>
      </c>
      <c r="C3721">
        <v>260</v>
      </c>
      <c r="D3721" s="2">
        <v>45535</v>
      </c>
      <c r="E3721" t="s">
        <v>25</v>
      </c>
      <c r="F3721">
        <v>260</v>
      </c>
      <c r="G3721">
        <v>0</v>
      </c>
    </row>
    <row r="3722" spans="1:7" x14ac:dyDescent="0.3">
      <c r="A3722" s="2">
        <v>45538</v>
      </c>
      <c r="B3722" t="s">
        <v>2564</v>
      </c>
      <c r="C3722">
        <v>1295</v>
      </c>
      <c r="D3722" s="2">
        <v>45536</v>
      </c>
      <c r="E3722" t="s">
        <v>25</v>
      </c>
      <c r="F3722">
        <v>1295</v>
      </c>
      <c r="G3722">
        <v>0</v>
      </c>
    </row>
    <row r="3723" spans="1:7" x14ac:dyDescent="0.3">
      <c r="A3723" s="2">
        <v>45539</v>
      </c>
      <c r="B3723" t="s">
        <v>2565</v>
      </c>
      <c r="C3723">
        <v>-336</v>
      </c>
      <c r="D3723" s="2">
        <v>45539</v>
      </c>
      <c r="E3723" t="s">
        <v>2004</v>
      </c>
      <c r="F3723">
        <v>-336</v>
      </c>
      <c r="G3723">
        <v>0</v>
      </c>
    </row>
    <row r="3724" spans="1:7" x14ac:dyDescent="0.3">
      <c r="A3724" s="2">
        <v>45539</v>
      </c>
      <c r="B3724" t="s">
        <v>2566</v>
      </c>
      <c r="C3724">
        <v>-5878.8</v>
      </c>
      <c r="D3724" s="2">
        <v>45539</v>
      </c>
      <c r="E3724" t="s">
        <v>2004</v>
      </c>
      <c r="F3724">
        <v>-5878.8</v>
      </c>
      <c r="G3724">
        <v>0</v>
      </c>
    </row>
    <row r="3725" spans="1:7" x14ac:dyDescent="0.3">
      <c r="A3725" s="2">
        <v>45539</v>
      </c>
      <c r="B3725" t="s">
        <v>2567</v>
      </c>
      <c r="C3725">
        <v>-36.450000000000003</v>
      </c>
      <c r="D3725" s="2">
        <v>45539</v>
      </c>
      <c r="E3725" t="s">
        <v>2004</v>
      </c>
      <c r="F3725">
        <v>-36.450000000000003</v>
      </c>
      <c r="G3725">
        <v>0</v>
      </c>
    </row>
    <row r="3726" spans="1:7" x14ac:dyDescent="0.3">
      <c r="A3726" s="2">
        <v>45539</v>
      </c>
      <c r="B3726" t="s">
        <v>2568</v>
      </c>
      <c r="C3726">
        <v>555</v>
      </c>
      <c r="D3726" s="2">
        <v>45538</v>
      </c>
      <c r="E3726" t="s">
        <v>25</v>
      </c>
      <c r="F3726">
        <v>555</v>
      </c>
      <c r="G3726">
        <v>0</v>
      </c>
    </row>
    <row r="3727" spans="1:7" x14ac:dyDescent="0.3">
      <c r="A3727" s="2">
        <v>45540</v>
      </c>
      <c r="B3727" t="s">
        <v>2054</v>
      </c>
      <c r="C3727">
        <v>-80.150000000000006</v>
      </c>
      <c r="D3727" s="2">
        <v>45540</v>
      </c>
      <c r="E3727" t="s">
        <v>2004</v>
      </c>
      <c r="F3727">
        <v>-80.150000000000006</v>
      </c>
      <c r="G3727">
        <v>0</v>
      </c>
    </row>
    <row r="3728" spans="1:7" x14ac:dyDescent="0.3">
      <c r="A3728" s="2">
        <v>45540</v>
      </c>
      <c r="B3728" t="s">
        <v>2569</v>
      </c>
      <c r="C3728">
        <v>1977.5</v>
      </c>
      <c r="D3728" s="2">
        <v>45539</v>
      </c>
      <c r="E3728" t="s">
        <v>25</v>
      </c>
      <c r="F3728">
        <v>1977.5</v>
      </c>
      <c r="G3728">
        <v>0</v>
      </c>
    </row>
    <row r="3729" spans="1:7" x14ac:dyDescent="0.3">
      <c r="A3729" s="2">
        <v>45541</v>
      </c>
      <c r="B3729" t="s">
        <v>2570</v>
      </c>
      <c r="C3729">
        <v>1382.5</v>
      </c>
      <c r="D3729" s="2">
        <v>45540</v>
      </c>
      <c r="E3729" t="s">
        <v>25</v>
      </c>
      <c r="F3729">
        <v>1382.5</v>
      </c>
      <c r="G3729">
        <v>0</v>
      </c>
    </row>
    <row r="3730" spans="1:7" x14ac:dyDescent="0.3">
      <c r="A3730" s="2">
        <v>45544</v>
      </c>
      <c r="B3730" t="s">
        <v>2571</v>
      </c>
      <c r="C3730">
        <v>-70000</v>
      </c>
      <c r="D3730" s="2">
        <v>45544</v>
      </c>
      <c r="E3730" t="s">
        <v>2004</v>
      </c>
      <c r="F3730">
        <v>-70000</v>
      </c>
      <c r="G3730">
        <v>0</v>
      </c>
    </row>
    <row r="3731" spans="1:7" x14ac:dyDescent="0.3">
      <c r="A3731" s="2">
        <v>45544</v>
      </c>
      <c r="B3731" t="s">
        <v>2572</v>
      </c>
      <c r="C3731">
        <v>-146.53</v>
      </c>
      <c r="D3731" s="2">
        <v>45544</v>
      </c>
      <c r="E3731" t="s">
        <v>2004</v>
      </c>
      <c r="F3731">
        <v>-146.53</v>
      </c>
      <c r="G3731">
        <v>0</v>
      </c>
    </row>
    <row r="3732" spans="1:7" x14ac:dyDescent="0.3">
      <c r="A3732" s="2">
        <v>45544</v>
      </c>
      <c r="B3732" t="s">
        <v>2573</v>
      </c>
      <c r="C3732">
        <v>110</v>
      </c>
      <c r="D3732" s="2">
        <v>45542</v>
      </c>
      <c r="E3732" t="s">
        <v>25</v>
      </c>
      <c r="F3732">
        <v>110</v>
      </c>
      <c r="G3732">
        <v>0</v>
      </c>
    </row>
    <row r="3733" spans="1:7" x14ac:dyDescent="0.3">
      <c r="A3733" s="2">
        <v>45544</v>
      </c>
      <c r="B3733" t="s">
        <v>2574</v>
      </c>
      <c r="C3733">
        <v>192.5</v>
      </c>
      <c r="D3733" s="2">
        <v>45543</v>
      </c>
      <c r="E3733" t="s">
        <v>25</v>
      </c>
      <c r="F3733">
        <v>192.5</v>
      </c>
      <c r="G3733">
        <v>0</v>
      </c>
    </row>
    <row r="3734" spans="1:7" x14ac:dyDescent="0.3">
      <c r="A3734" s="2">
        <v>45544</v>
      </c>
      <c r="B3734" t="s">
        <v>2575</v>
      </c>
      <c r="C3734">
        <v>1670</v>
      </c>
      <c r="D3734" s="2">
        <v>45541</v>
      </c>
      <c r="E3734" t="s">
        <v>25</v>
      </c>
      <c r="F3734">
        <v>1670</v>
      </c>
      <c r="G3734">
        <v>0</v>
      </c>
    </row>
    <row r="3735" spans="1:7" x14ac:dyDescent="0.3">
      <c r="A3735" s="2">
        <v>45545</v>
      </c>
      <c r="B3735" t="s">
        <v>2063</v>
      </c>
      <c r="C3735">
        <v>-255.86</v>
      </c>
      <c r="D3735" s="2">
        <v>45545</v>
      </c>
      <c r="E3735" t="s">
        <v>2004</v>
      </c>
      <c r="F3735">
        <v>-255.86</v>
      </c>
      <c r="G3735">
        <v>0</v>
      </c>
    </row>
    <row r="3736" spans="1:7" x14ac:dyDescent="0.3">
      <c r="A3736" s="2">
        <v>45545</v>
      </c>
      <c r="B3736" t="s">
        <v>2576</v>
      </c>
      <c r="C3736">
        <v>-9000</v>
      </c>
      <c r="D3736" s="2">
        <v>45545</v>
      </c>
      <c r="E3736" t="s">
        <v>2004</v>
      </c>
      <c r="F3736">
        <v>-9000</v>
      </c>
      <c r="G3736">
        <v>0</v>
      </c>
    </row>
    <row r="3737" spans="1:7" x14ac:dyDescent="0.3">
      <c r="A3737" s="2">
        <v>45545</v>
      </c>
      <c r="B3737" t="s">
        <v>2577</v>
      </c>
      <c r="C3737">
        <v>532.5</v>
      </c>
      <c r="D3737" s="2">
        <v>45544</v>
      </c>
      <c r="E3737" t="s">
        <v>25</v>
      </c>
      <c r="F3737">
        <v>532.5</v>
      </c>
      <c r="G3737">
        <v>0</v>
      </c>
    </row>
    <row r="3738" spans="1:7" x14ac:dyDescent="0.3">
      <c r="A3738" s="2">
        <v>45546</v>
      </c>
      <c r="B3738" t="s">
        <v>2578</v>
      </c>
      <c r="C3738">
        <v>-2.9</v>
      </c>
      <c r="D3738" s="2">
        <v>45546</v>
      </c>
      <c r="E3738" t="s">
        <v>2004</v>
      </c>
      <c r="F3738">
        <v>-2.9</v>
      </c>
      <c r="G3738">
        <v>0</v>
      </c>
    </row>
    <row r="3739" spans="1:7" x14ac:dyDescent="0.3">
      <c r="A3739" s="2">
        <v>45546</v>
      </c>
      <c r="B3739" t="s">
        <v>2579</v>
      </c>
      <c r="C3739">
        <v>-105.69</v>
      </c>
      <c r="D3739" s="2">
        <v>45546</v>
      </c>
      <c r="E3739" t="s">
        <v>2004</v>
      </c>
      <c r="F3739">
        <v>-105.69</v>
      </c>
      <c r="G3739">
        <v>0</v>
      </c>
    </row>
    <row r="3740" spans="1:7" x14ac:dyDescent="0.3">
      <c r="A3740" s="2">
        <v>45546</v>
      </c>
      <c r="B3740" t="s">
        <v>2580</v>
      </c>
      <c r="C3740">
        <v>300</v>
      </c>
      <c r="D3740" s="2">
        <v>45545</v>
      </c>
      <c r="E3740" t="s">
        <v>25</v>
      </c>
      <c r="F3740">
        <v>300</v>
      </c>
      <c r="G3740">
        <v>0</v>
      </c>
    </row>
    <row r="3741" spans="1:7" x14ac:dyDescent="0.3">
      <c r="A3741" s="2">
        <v>45547</v>
      </c>
      <c r="B3741" t="s">
        <v>2581</v>
      </c>
      <c r="C3741">
        <v>-3.44</v>
      </c>
      <c r="D3741" s="2">
        <v>45547</v>
      </c>
      <c r="E3741" t="s">
        <v>2004</v>
      </c>
      <c r="F3741">
        <v>-3.44</v>
      </c>
      <c r="G3741">
        <v>0</v>
      </c>
    </row>
    <row r="3742" spans="1:7" x14ac:dyDescent="0.3">
      <c r="A3742" s="2">
        <v>45547</v>
      </c>
      <c r="B3742" t="s">
        <v>2581</v>
      </c>
      <c r="C3742">
        <v>-23.1</v>
      </c>
      <c r="D3742" s="2">
        <v>45547</v>
      </c>
      <c r="E3742" t="s">
        <v>2004</v>
      </c>
      <c r="F3742">
        <v>-23.1</v>
      </c>
      <c r="G3742">
        <v>0</v>
      </c>
    </row>
    <row r="3743" spans="1:7" x14ac:dyDescent="0.3">
      <c r="A3743" s="2">
        <v>45547</v>
      </c>
      <c r="B3743" t="s">
        <v>2581</v>
      </c>
      <c r="C3743">
        <v>-2.79</v>
      </c>
      <c r="D3743" s="2">
        <v>45547</v>
      </c>
      <c r="E3743" t="s">
        <v>2004</v>
      </c>
      <c r="F3743">
        <v>-2.79</v>
      </c>
      <c r="G3743">
        <v>0</v>
      </c>
    </row>
    <row r="3744" spans="1:7" x14ac:dyDescent="0.3">
      <c r="A3744" s="2">
        <v>45547</v>
      </c>
      <c r="B3744" t="s">
        <v>2582</v>
      </c>
      <c r="C3744">
        <v>1215</v>
      </c>
      <c r="D3744" s="2">
        <v>45546</v>
      </c>
      <c r="E3744" t="s">
        <v>25</v>
      </c>
      <c r="F3744">
        <v>1215</v>
      </c>
      <c r="G3744">
        <v>0</v>
      </c>
    </row>
    <row r="3745" spans="1:7" x14ac:dyDescent="0.3">
      <c r="A3745" s="2">
        <v>45548</v>
      </c>
      <c r="B3745" t="s">
        <v>2583</v>
      </c>
      <c r="C3745">
        <v>330</v>
      </c>
      <c r="D3745" s="2">
        <v>45547</v>
      </c>
      <c r="E3745" t="s">
        <v>25</v>
      </c>
      <c r="F3745">
        <v>330</v>
      </c>
      <c r="G3745">
        <v>0</v>
      </c>
    </row>
    <row r="3746" spans="1:7" x14ac:dyDescent="0.3">
      <c r="A3746" s="2">
        <v>45551</v>
      </c>
      <c r="B3746" t="s">
        <v>2584</v>
      </c>
      <c r="C3746">
        <v>-16.37</v>
      </c>
      <c r="D3746" s="2">
        <v>45551</v>
      </c>
      <c r="E3746" t="s">
        <v>2004</v>
      </c>
      <c r="F3746">
        <v>-16.37</v>
      </c>
      <c r="G3746">
        <v>0</v>
      </c>
    </row>
    <row r="3747" spans="1:7" x14ac:dyDescent="0.3">
      <c r="A3747" s="2">
        <v>45551</v>
      </c>
      <c r="B3747" t="s">
        <v>2585</v>
      </c>
      <c r="C3747">
        <v>165</v>
      </c>
      <c r="D3747" s="2">
        <v>45550</v>
      </c>
      <c r="E3747" t="s">
        <v>25</v>
      </c>
      <c r="F3747">
        <v>165</v>
      </c>
      <c r="G3747">
        <v>0</v>
      </c>
    </row>
    <row r="3748" spans="1:7" x14ac:dyDescent="0.3">
      <c r="A3748" s="2">
        <v>45551</v>
      </c>
      <c r="B3748" t="s">
        <v>2586</v>
      </c>
      <c r="C3748">
        <v>190</v>
      </c>
      <c r="D3748" s="2">
        <v>45549</v>
      </c>
      <c r="E3748" t="s">
        <v>25</v>
      </c>
      <c r="F3748">
        <v>190</v>
      </c>
      <c r="G3748">
        <v>0</v>
      </c>
    </row>
    <row r="3749" spans="1:7" x14ac:dyDescent="0.3">
      <c r="A3749" s="2">
        <v>45551</v>
      </c>
      <c r="B3749" t="s">
        <v>2587</v>
      </c>
      <c r="C3749">
        <v>220</v>
      </c>
      <c r="D3749" s="2">
        <v>45548</v>
      </c>
      <c r="E3749" t="s">
        <v>25</v>
      </c>
      <c r="F3749">
        <v>220</v>
      </c>
      <c r="G3749">
        <v>0</v>
      </c>
    </row>
    <row r="3750" spans="1:7" x14ac:dyDescent="0.3">
      <c r="A3750" s="2">
        <v>45552</v>
      </c>
      <c r="B3750" t="s">
        <v>2588</v>
      </c>
      <c r="C3750">
        <v>-10.88</v>
      </c>
      <c r="D3750" s="2">
        <v>45552</v>
      </c>
      <c r="E3750" t="s">
        <v>2004</v>
      </c>
      <c r="F3750">
        <v>-10.88</v>
      </c>
      <c r="G3750">
        <v>0</v>
      </c>
    </row>
    <row r="3751" spans="1:7" x14ac:dyDescent="0.3">
      <c r="A3751" s="2">
        <v>45552</v>
      </c>
      <c r="B3751" t="s">
        <v>2589</v>
      </c>
      <c r="C3751">
        <v>292.5</v>
      </c>
      <c r="D3751" s="2">
        <v>45551</v>
      </c>
      <c r="E3751" t="s">
        <v>25</v>
      </c>
      <c r="F3751">
        <v>292.5</v>
      </c>
      <c r="G3751">
        <v>0</v>
      </c>
    </row>
    <row r="3752" spans="1:7" x14ac:dyDescent="0.3">
      <c r="A3752" s="2">
        <v>45553</v>
      </c>
      <c r="B3752" t="s">
        <v>2590</v>
      </c>
      <c r="C3752">
        <v>550</v>
      </c>
      <c r="D3752" s="2">
        <v>45552</v>
      </c>
      <c r="E3752" t="s">
        <v>25</v>
      </c>
      <c r="F3752">
        <v>550</v>
      </c>
      <c r="G3752">
        <v>0</v>
      </c>
    </row>
    <row r="3753" spans="1:7" x14ac:dyDescent="0.3">
      <c r="A3753" s="2">
        <v>45554</v>
      </c>
      <c r="B3753" t="s">
        <v>2591</v>
      </c>
      <c r="C3753">
        <v>330</v>
      </c>
      <c r="D3753" s="2">
        <v>45553</v>
      </c>
      <c r="E3753" t="s">
        <v>25</v>
      </c>
      <c r="F3753">
        <v>330</v>
      </c>
      <c r="G3753">
        <v>0</v>
      </c>
    </row>
    <row r="3754" spans="1:7" x14ac:dyDescent="0.3">
      <c r="A3754" s="2">
        <v>45555</v>
      </c>
      <c r="B3754" t="s">
        <v>2592</v>
      </c>
      <c r="C3754">
        <v>2332.5</v>
      </c>
      <c r="D3754" s="2">
        <v>45554</v>
      </c>
      <c r="E3754" t="s">
        <v>25</v>
      </c>
      <c r="F3754">
        <v>2332.5</v>
      </c>
      <c r="G3754">
        <v>0</v>
      </c>
    </row>
    <row r="3755" spans="1:7" x14ac:dyDescent="0.3">
      <c r="A3755" s="2">
        <v>45555</v>
      </c>
      <c r="B3755" t="s">
        <v>2593</v>
      </c>
      <c r="C3755">
        <v>25300</v>
      </c>
      <c r="D3755" s="2">
        <v>45555</v>
      </c>
      <c r="E3755" t="s">
        <v>25</v>
      </c>
      <c r="F3755">
        <v>25300</v>
      </c>
      <c r="G3755">
        <v>0</v>
      </c>
    </row>
    <row r="3756" spans="1:7" x14ac:dyDescent="0.3">
      <c r="A3756" s="2">
        <v>45558</v>
      </c>
      <c r="B3756" t="s">
        <v>2594</v>
      </c>
      <c r="C3756">
        <v>-109</v>
      </c>
      <c r="D3756" s="2">
        <v>45558</v>
      </c>
      <c r="E3756" t="s">
        <v>2004</v>
      </c>
      <c r="F3756">
        <v>-109</v>
      </c>
      <c r="G3756">
        <v>0</v>
      </c>
    </row>
    <row r="3757" spans="1:7" x14ac:dyDescent="0.3">
      <c r="A3757" s="2">
        <v>45558</v>
      </c>
      <c r="B3757" t="s">
        <v>2595</v>
      </c>
      <c r="C3757">
        <v>260</v>
      </c>
      <c r="D3757" s="2">
        <v>45557</v>
      </c>
      <c r="E3757" t="s">
        <v>25</v>
      </c>
      <c r="F3757">
        <v>260</v>
      </c>
      <c r="G3757">
        <v>0</v>
      </c>
    </row>
    <row r="3758" spans="1:7" x14ac:dyDescent="0.3">
      <c r="A3758" s="2">
        <v>45558</v>
      </c>
      <c r="B3758" t="s">
        <v>2596</v>
      </c>
      <c r="C3758">
        <v>1192.5</v>
      </c>
      <c r="D3758" s="2">
        <v>45556</v>
      </c>
      <c r="E3758" t="s">
        <v>25</v>
      </c>
      <c r="F3758">
        <v>1192.5</v>
      </c>
      <c r="G3758">
        <v>0</v>
      </c>
    </row>
    <row r="3759" spans="1:7" x14ac:dyDescent="0.3">
      <c r="A3759" s="2">
        <v>45559</v>
      </c>
      <c r="B3759" t="s">
        <v>2597</v>
      </c>
      <c r="C3759">
        <v>260</v>
      </c>
      <c r="D3759" s="2">
        <v>45558</v>
      </c>
      <c r="E3759" t="s">
        <v>25</v>
      </c>
      <c r="F3759">
        <v>260</v>
      </c>
      <c r="G3759">
        <v>0</v>
      </c>
    </row>
    <row r="3760" spans="1:7" x14ac:dyDescent="0.3">
      <c r="A3760" s="2">
        <v>45560</v>
      </c>
      <c r="B3760" t="s">
        <v>2598</v>
      </c>
      <c r="C3760">
        <v>2377.5</v>
      </c>
      <c r="D3760" s="2">
        <v>45559</v>
      </c>
      <c r="E3760" t="s">
        <v>25</v>
      </c>
      <c r="F3760">
        <v>2377.5</v>
      </c>
      <c r="G3760">
        <v>0</v>
      </c>
    </row>
    <row r="3761" spans="1:7" x14ac:dyDescent="0.3">
      <c r="A3761" s="2">
        <v>45561</v>
      </c>
      <c r="B3761" t="s">
        <v>2599</v>
      </c>
      <c r="C3761">
        <v>-276</v>
      </c>
      <c r="D3761" s="2">
        <v>45561</v>
      </c>
      <c r="E3761" t="s">
        <v>2004</v>
      </c>
      <c r="F3761">
        <v>-276</v>
      </c>
      <c r="G3761">
        <v>0</v>
      </c>
    </row>
    <row r="3762" spans="1:7" x14ac:dyDescent="0.3">
      <c r="A3762" s="2">
        <v>45561</v>
      </c>
      <c r="B3762" t="s">
        <v>2600</v>
      </c>
      <c r="C3762">
        <v>505</v>
      </c>
      <c r="D3762" s="2">
        <v>45560</v>
      </c>
      <c r="E3762" t="s">
        <v>25</v>
      </c>
      <c r="F3762">
        <v>505</v>
      </c>
      <c r="G3762">
        <v>0</v>
      </c>
    </row>
    <row r="3763" spans="1:7" x14ac:dyDescent="0.3">
      <c r="A3763" s="2">
        <v>45562</v>
      </c>
      <c r="B3763" t="s">
        <v>2601</v>
      </c>
      <c r="C3763">
        <v>1535</v>
      </c>
      <c r="D3763" s="2">
        <v>45561</v>
      </c>
      <c r="E3763" t="s">
        <v>25</v>
      </c>
      <c r="F3763">
        <v>1535</v>
      </c>
      <c r="G3763">
        <v>0</v>
      </c>
    </row>
    <row r="3764" spans="1:7" x14ac:dyDescent="0.3">
      <c r="A3764" s="2">
        <v>45565</v>
      </c>
      <c r="B3764" t="s">
        <v>2602</v>
      </c>
      <c r="C3764">
        <v>380</v>
      </c>
      <c r="D3764" s="2">
        <v>45564</v>
      </c>
      <c r="E3764" t="s">
        <v>25</v>
      </c>
      <c r="F3764">
        <v>380</v>
      </c>
      <c r="G3764">
        <v>0</v>
      </c>
    </row>
    <row r="3765" spans="1:7" x14ac:dyDescent="0.3">
      <c r="A3765" s="2">
        <v>45565</v>
      </c>
      <c r="B3765" t="s">
        <v>2603</v>
      </c>
      <c r="C3765">
        <v>760</v>
      </c>
      <c r="D3765" s="2">
        <v>45563</v>
      </c>
      <c r="E3765" t="s">
        <v>25</v>
      </c>
      <c r="F3765">
        <v>760</v>
      </c>
      <c r="G3765">
        <v>0</v>
      </c>
    </row>
    <row r="3766" spans="1:7" x14ac:dyDescent="0.3">
      <c r="A3766" s="2">
        <v>45565</v>
      </c>
      <c r="B3766" t="s">
        <v>2604</v>
      </c>
      <c r="C3766">
        <v>917.5</v>
      </c>
      <c r="D3766" s="2">
        <v>45562</v>
      </c>
      <c r="E3766" t="s">
        <v>25</v>
      </c>
      <c r="F3766">
        <v>917.5</v>
      </c>
      <c r="G3766">
        <v>0</v>
      </c>
    </row>
    <row r="3767" spans="1:7" x14ac:dyDescent="0.3">
      <c r="A3767" s="2">
        <v>45566</v>
      </c>
      <c r="B3767" t="s">
        <v>2095</v>
      </c>
      <c r="C3767">
        <v>-78.39</v>
      </c>
      <c r="D3767" s="2">
        <v>45566</v>
      </c>
      <c r="E3767" t="s">
        <v>2004</v>
      </c>
      <c r="F3767">
        <v>-78.39</v>
      </c>
      <c r="G3767">
        <v>0</v>
      </c>
    </row>
    <row r="3768" spans="1:7" x14ac:dyDescent="0.3">
      <c r="A3768" s="2">
        <v>45566</v>
      </c>
      <c r="B3768" t="s">
        <v>2094</v>
      </c>
      <c r="C3768">
        <v>-34</v>
      </c>
      <c r="D3768" s="2">
        <v>45566</v>
      </c>
      <c r="E3768" t="s">
        <v>2004</v>
      </c>
      <c r="F3768">
        <v>-34</v>
      </c>
      <c r="G3768">
        <v>0</v>
      </c>
    </row>
    <row r="3769" spans="1:7" x14ac:dyDescent="0.3">
      <c r="A3769" s="2">
        <v>45566</v>
      </c>
      <c r="B3769" t="s">
        <v>2605</v>
      </c>
      <c r="C3769">
        <v>462.5</v>
      </c>
      <c r="D3769" s="2">
        <v>45565</v>
      </c>
      <c r="E3769" t="s">
        <v>25</v>
      </c>
      <c r="F3769">
        <v>462.5</v>
      </c>
      <c r="G3769">
        <v>0</v>
      </c>
    </row>
    <row r="3770" spans="1:7" x14ac:dyDescent="0.3">
      <c r="A3770" s="2">
        <v>45567</v>
      </c>
      <c r="B3770" t="s">
        <v>2606</v>
      </c>
      <c r="C3770">
        <v>-1099.6500000000001</v>
      </c>
      <c r="D3770" s="2">
        <v>45567</v>
      </c>
      <c r="E3770" t="s">
        <v>2004</v>
      </c>
      <c r="F3770">
        <v>-1099.6500000000001</v>
      </c>
      <c r="G3770">
        <v>0</v>
      </c>
    </row>
    <row r="3771" spans="1:7" x14ac:dyDescent="0.3">
      <c r="A3771" s="2">
        <v>45567</v>
      </c>
      <c r="B3771" t="s">
        <v>2607</v>
      </c>
      <c r="C3771">
        <v>805</v>
      </c>
      <c r="D3771" s="2">
        <v>45566</v>
      </c>
      <c r="E3771" t="s">
        <v>25</v>
      </c>
      <c r="F3771">
        <v>805</v>
      </c>
      <c r="G3771">
        <v>0</v>
      </c>
    </row>
    <row r="3772" spans="1:7" x14ac:dyDescent="0.3">
      <c r="A3772" s="2">
        <v>45568</v>
      </c>
      <c r="B3772" t="s">
        <v>2099</v>
      </c>
      <c r="C3772">
        <v>-170.94</v>
      </c>
      <c r="D3772" s="2">
        <v>45568</v>
      </c>
      <c r="E3772" t="s">
        <v>2004</v>
      </c>
      <c r="F3772">
        <v>-170.94</v>
      </c>
      <c r="G3772">
        <v>0</v>
      </c>
    </row>
    <row r="3773" spans="1:7" x14ac:dyDescent="0.3">
      <c r="A3773" s="2">
        <v>45568</v>
      </c>
      <c r="B3773" t="s">
        <v>2608</v>
      </c>
      <c r="C3773">
        <v>1628.75</v>
      </c>
      <c r="D3773" s="2">
        <v>45567</v>
      </c>
      <c r="E3773" t="s">
        <v>25</v>
      </c>
      <c r="F3773">
        <v>1628.75</v>
      </c>
      <c r="G3773">
        <v>0</v>
      </c>
    </row>
    <row r="3774" spans="1:7" x14ac:dyDescent="0.3">
      <c r="A3774" s="2">
        <v>45569</v>
      </c>
      <c r="B3774" t="s">
        <v>2609</v>
      </c>
      <c r="C3774">
        <v>1800</v>
      </c>
      <c r="D3774" s="2">
        <v>45568</v>
      </c>
      <c r="E3774" t="s">
        <v>25</v>
      </c>
      <c r="F3774">
        <v>1800</v>
      </c>
      <c r="G3774">
        <v>0</v>
      </c>
    </row>
    <row r="3775" spans="1:7" x14ac:dyDescent="0.3">
      <c r="A3775" s="2">
        <v>45572</v>
      </c>
      <c r="B3775" t="s">
        <v>2610</v>
      </c>
      <c r="C3775">
        <v>1382.5</v>
      </c>
      <c r="D3775" s="2">
        <v>45569</v>
      </c>
      <c r="E3775" t="s">
        <v>25</v>
      </c>
      <c r="F3775">
        <v>1382.5</v>
      </c>
      <c r="G3775">
        <v>0</v>
      </c>
    </row>
    <row r="3776" spans="1:7" x14ac:dyDescent="0.3">
      <c r="A3776" s="2">
        <v>45572</v>
      </c>
      <c r="B3776" t="s">
        <v>2611</v>
      </c>
      <c r="C3776">
        <v>2751.25</v>
      </c>
      <c r="D3776" s="2">
        <v>45570</v>
      </c>
      <c r="E3776" t="s">
        <v>25</v>
      </c>
      <c r="F3776">
        <v>2751.25</v>
      </c>
      <c r="G3776">
        <v>0</v>
      </c>
    </row>
    <row r="3777" spans="1:7" x14ac:dyDescent="0.3">
      <c r="A3777" s="2">
        <v>45573</v>
      </c>
      <c r="B3777" t="s">
        <v>2612</v>
      </c>
      <c r="C3777">
        <v>110</v>
      </c>
      <c r="D3777" s="2">
        <v>45572</v>
      </c>
      <c r="E3777" t="s">
        <v>25</v>
      </c>
      <c r="F3777">
        <v>110</v>
      </c>
      <c r="G3777">
        <v>0</v>
      </c>
    </row>
    <row r="3778" spans="1:7" x14ac:dyDescent="0.3">
      <c r="A3778" s="2">
        <v>45574</v>
      </c>
      <c r="B3778" t="s">
        <v>2613</v>
      </c>
      <c r="C3778">
        <v>2466.25</v>
      </c>
      <c r="D3778" s="2">
        <v>45573</v>
      </c>
      <c r="E3778" t="s">
        <v>25</v>
      </c>
      <c r="F3778">
        <v>2466.25</v>
      </c>
      <c r="G3778">
        <v>0</v>
      </c>
    </row>
    <row r="3779" spans="1:7" x14ac:dyDescent="0.3">
      <c r="A3779" s="2">
        <v>45575</v>
      </c>
      <c r="B3779" t="s">
        <v>2106</v>
      </c>
      <c r="C3779">
        <v>-255.86</v>
      </c>
      <c r="D3779" s="2">
        <v>45575</v>
      </c>
      <c r="E3779" t="s">
        <v>2004</v>
      </c>
      <c r="F3779">
        <v>-255.86</v>
      </c>
      <c r="G3779">
        <v>0</v>
      </c>
    </row>
    <row r="3780" spans="1:7" x14ac:dyDescent="0.3">
      <c r="A3780" s="2">
        <v>45575</v>
      </c>
      <c r="B3780" t="s">
        <v>2614</v>
      </c>
      <c r="C3780">
        <v>7807.5</v>
      </c>
      <c r="D3780" s="2">
        <v>45574</v>
      </c>
      <c r="E3780" t="s">
        <v>25</v>
      </c>
      <c r="F3780">
        <v>7807.5</v>
      </c>
      <c r="G3780">
        <v>0</v>
      </c>
    </row>
    <row r="3781" spans="1:7" x14ac:dyDescent="0.3">
      <c r="A3781" s="2">
        <v>45576</v>
      </c>
      <c r="B3781" t="s">
        <v>2615</v>
      </c>
      <c r="C3781">
        <v>7932.5</v>
      </c>
      <c r="D3781" s="2">
        <v>45575</v>
      </c>
      <c r="E3781" t="s">
        <v>25</v>
      </c>
      <c r="F3781">
        <v>7932.5</v>
      </c>
      <c r="G3781">
        <v>0</v>
      </c>
    </row>
    <row r="3782" spans="1:7" x14ac:dyDescent="0.3">
      <c r="A3782" s="2">
        <v>45580</v>
      </c>
      <c r="B3782" t="s">
        <v>2616</v>
      </c>
      <c r="C3782">
        <v>206.25</v>
      </c>
      <c r="D3782" s="2">
        <v>45579</v>
      </c>
      <c r="E3782" t="s">
        <v>25</v>
      </c>
      <c r="F3782">
        <v>206.25</v>
      </c>
      <c r="G3782">
        <v>0</v>
      </c>
    </row>
    <row r="3783" spans="1:7" x14ac:dyDescent="0.3">
      <c r="A3783" s="2">
        <v>45580</v>
      </c>
      <c r="B3783" t="s">
        <v>2617</v>
      </c>
      <c r="C3783">
        <v>316.25</v>
      </c>
      <c r="D3783" s="2">
        <v>45578</v>
      </c>
      <c r="E3783" t="s">
        <v>25</v>
      </c>
      <c r="F3783">
        <v>316.25</v>
      </c>
      <c r="G3783">
        <v>0</v>
      </c>
    </row>
    <row r="3784" spans="1:7" x14ac:dyDescent="0.3">
      <c r="A3784" s="2">
        <v>45580</v>
      </c>
      <c r="B3784" t="s">
        <v>2618</v>
      </c>
      <c r="C3784">
        <v>24327.5</v>
      </c>
      <c r="D3784" s="2">
        <v>45577</v>
      </c>
      <c r="E3784" t="s">
        <v>25</v>
      </c>
      <c r="F3784">
        <v>24327.5</v>
      </c>
      <c r="G3784">
        <v>0</v>
      </c>
    </row>
    <row r="3785" spans="1:7" x14ac:dyDescent="0.3">
      <c r="A3785" s="2">
        <v>45581</v>
      </c>
      <c r="B3785" t="s">
        <v>2619</v>
      </c>
      <c r="C3785">
        <v>-16.37</v>
      </c>
      <c r="D3785" s="2">
        <v>45581</v>
      </c>
      <c r="E3785" t="s">
        <v>2004</v>
      </c>
      <c r="F3785">
        <v>-16.37</v>
      </c>
      <c r="G3785">
        <v>0</v>
      </c>
    </row>
    <row r="3786" spans="1:7" x14ac:dyDescent="0.3">
      <c r="A3786" s="2">
        <v>45581</v>
      </c>
      <c r="B3786" t="s">
        <v>2620</v>
      </c>
      <c r="C3786">
        <v>206.25</v>
      </c>
      <c r="D3786" s="2">
        <v>45580</v>
      </c>
      <c r="E3786" t="s">
        <v>25</v>
      </c>
      <c r="F3786">
        <v>206.25</v>
      </c>
      <c r="G3786">
        <v>0</v>
      </c>
    </row>
    <row r="3787" spans="1:7" x14ac:dyDescent="0.3">
      <c r="A3787" s="2">
        <v>45582</v>
      </c>
      <c r="B3787" t="s">
        <v>2621</v>
      </c>
      <c r="C3787">
        <v>1405</v>
      </c>
      <c r="D3787" s="2">
        <v>45581</v>
      </c>
      <c r="E3787" t="s">
        <v>25</v>
      </c>
      <c r="F3787">
        <v>1405</v>
      </c>
      <c r="G3787">
        <v>0</v>
      </c>
    </row>
    <row r="3788" spans="1:7" x14ac:dyDescent="0.3">
      <c r="A3788" s="2">
        <v>45583</v>
      </c>
      <c r="B3788" t="s">
        <v>2622</v>
      </c>
      <c r="C3788">
        <v>-10.88</v>
      </c>
      <c r="D3788" s="2">
        <v>45583</v>
      </c>
      <c r="E3788" t="s">
        <v>2004</v>
      </c>
      <c r="F3788">
        <v>-10.88</v>
      </c>
      <c r="G3788">
        <v>0</v>
      </c>
    </row>
    <row r="3789" spans="1:7" x14ac:dyDescent="0.3">
      <c r="A3789" s="2">
        <v>45583</v>
      </c>
      <c r="B3789" t="s">
        <v>2623</v>
      </c>
      <c r="C3789">
        <v>997.5</v>
      </c>
      <c r="D3789" s="2">
        <v>45582</v>
      </c>
      <c r="E3789" t="s">
        <v>25</v>
      </c>
      <c r="F3789">
        <v>997.5</v>
      </c>
      <c r="G3789">
        <v>0</v>
      </c>
    </row>
    <row r="3790" spans="1:7" x14ac:dyDescent="0.3">
      <c r="A3790" s="2">
        <v>45586</v>
      </c>
      <c r="B3790" t="s">
        <v>2624</v>
      </c>
      <c r="C3790">
        <v>371.25</v>
      </c>
      <c r="D3790" s="2">
        <v>45584</v>
      </c>
      <c r="E3790" t="s">
        <v>25</v>
      </c>
      <c r="F3790">
        <v>371.25</v>
      </c>
      <c r="G3790">
        <v>0</v>
      </c>
    </row>
    <row r="3791" spans="1:7" x14ac:dyDescent="0.3">
      <c r="A3791" s="2">
        <v>45588</v>
      </c>
      <c r="B3791" t="s">
        <v>2625</v>
      </c>
      <c r="C3791">
        <v>206.25</v>
      </c>
      <c r="D3791" s="2">
        <v>45587</v>
      </c>
      <c r="E3791" t="s">
        <v>25</v>
      </c>
      <c r="F3791">
        <v>206.25</v>
      </c>
      <c r="G3791">
        <v>0</v>
      </c>
    </row>
    <row r="3792" spans="1:7" x14ac:dyDescent="0.3">
      <c r="A3792" s="2">
        <v>45589</v>
      </c>
      <c r="B3792" t="s">
        <v>2626</v>
      </c>
      <c r="C3792">
        <v>110</v>
      </c>
      <c r="D3792" s="2">
        <v>45588</v>
      </c>
      <c r="E3792" t="s">
        <v>25</v>
      </c>
      <c r="F3792">
        <v>110</v>
      </c>
      <c r="G3792">
        <v>0</v>
      </c>
    </row>
    <row r="3793" spans="1:7" x14ac:dyDescent="0.3">
      <c r="A3793" s="2">
        <v>45590</v>
      </c>
      <c r="B3793" t="s">
        <v>2627</v>
      </c>
      <c r="C3793">
        <v>-45511.13</v>
      </c>
      <c r="D3793" s="2">
        <v>45590</v>
      </c>
      <c r="E3793" t="s">
        <v>2004</v>
      </c>
      <c r="F3793">
        <v>-45511.13</v>
      </c>
      <c r="G3793">
        <v>0</v>
      </c>
    </row>
    <row r="3794" spans="1:7" x14ac:dyDescent="0.3">
      <c r="A3794" s="2">
        <v>45590</v>
      </c>
      <c r="B3794" t="s">
        <v>2628</v>
      </c>
      <c r="C3794">
        <v>-31.13</v>
      </c>
      <c r="D3794" s="2">
        <v>45590</v>
      </c>
      <c r="E3794" t="s">
        <v>2004</v>
      </c>
      <c r="F3794">
        <v>-31.13</v>
      </c>
      <c r="G3794">
        <v>0</v>
      </c>
    </row>
    <row r="3795" spans="1:7" x14ac:dyDescent="0.3">
      <c r="A3795" s="2">
        <v>45590</v>
      </c>
      <c r="B3795" t="s">
        <v>2629</v>
      </c>
      <c r="C3795">
        <v>-10500</v>
      </c>
      <c r="D3795" s="2">
        <v>45590</v>
      </c>
      <c r="E3795" t="s">
        <v>2004</v>
      </c>
      <c r="F3795">
        <v>-10500</v>
      </c>
      <c r="G3795">
        <v>0</v>
      </c>
    </row>
    <row r="3796" spans="1:7" x14ac:dyDescent="0.3">
      <c r="A3796" s="2">
        <v>45590</v>
      </c>
      <c r="B3796" t="s">
        <v>2630</v>
      </c>
      <c r="C3796">
        <v>-8500</v>
      </c>
      <c r="D3796" s="2">
        <v>45590</v>
      </c>
      <c r="E3796" t="s">
        <v>2004</v>
      </c>
      <c r="F3796">
        <v>-8500</v>
      </c>
      <c r="G3796">
        <v>0</v>
      </c>
    </row>
    <row r="3797" spans="1:7" x14ac:dyDescent="0.3">
      <c r="A3797" s="2">
        <v>45593</v>
      </c>
      <c r="B3797" t="s">
        <v>2631</v>
      </c>
      <c r="C3797">
        <v>60</v>
      </c>
      <c r="D3797" s="2">
        <v>45590</v>
      </c>
      <c r="E3797" t="s">
        <v>25</v>
      </c>
      <c r="F3797">
        <v>60</v>
      </c>
      <c r="G3797">
        <v>0</v>
      </c>
    </row>
    <row r="3798" spans="1:7" x14ac:dyDescent="0.3">
      <c r="A3798" s="2">
        <v>45593</v>
      </c>
      <c r="B3798" t="s">
        <v>2632</v>
      </c>
      <c r="C3798">
        <v>206.25</v>
      </c>
      <c r="D3798" s="2">
        <v>45592</v>
      </c>
      <c r="E3798" t="s">
        <v>25</v>
      </c>
      <c r="F3798">
        <v>206.25</v>
      </c>
      <c r="G3798">
        <v>0</v>
      </c>
    </row>
    <row r="3799" spans="1:7" x14ac:dyDescent="0.3">
      <c r="A3799" s="2">
        <v>45594</v>
      </c>
      <c r="B3799" t="s">
        <v>2130</v>
      </c>
      <c r="C3799">
        <v>-45.17</v>
      </c>
      <c r="D3799" s="2">
        <v>45594</v>
      </c>
      <c r="E3799" t="s">
        <v>2004</v>
      </c>
      <c r="F3799">
        <v>-45.17</v>
      </c>
      <c r="G3799">
        <v>0</v>
      </c>
    </row>
    <row r="3800" spans="1:7" x14ac:dyDescent="0.3">
      <c r="A3800" s="2">
        <v>45594</v>
      </c>
      <c r="B3800" t="s">
        <v>2633</v>
      </c>
      <c r="C3800">
        <v>206.25</v>
      </c>
      <c r="D3800" s="2">
        <v>45593</v>
      </c>
      <c r="E3800" t="s">
        <v>25</v>
      </c>
      <c r="F3800">
        <v>206.25</v>
      </c>
      <c r="G3800">
        <v>0</v>
      </c>
    </row>
    <row r="3801" spans="1:7" x14ac:dyDescent="0.3">
      <c r="A3801" s="2">
        <v>45595</v>
      </c>
      <c r="B3801" t="s">
        <v>2634</v>
      </c>
      <c r="C3801">
        <v>206.25</v>
      </c>
      <c r="D3801" s="2">
        <v>45594</v>
      </c>
      <c r="E3801" t="s">
        <v>25</v>
      </c>
      <c r="F3801">
        <v>206.25</v>
      </c>
      <c r="G3801">
        <v>0</v>
      </c>
    </row>
    <row r="3802" spans="1:7" x14ac:dyDescent="0.3">
      <c r="A3802" s="2">
        <v>45595</v>
      </c>
      <c r="B3802" t="s">
        <v>2053</v>
      </c>
      <c r="C3802">
        <v>10010</v>
      </c>
      <c r="D3802" s="2">
        <v>45596</v>
      </c>
      <c r="E3802" t="s">
        <v>25</v>
      </c>
      <c r="F3802">
        <v>10010</v>
      </c>
      <c r="G3802">
        <v>0</v>
      </c>
    </row>
    <row r="3803" spans="1:7" x14ac:dyDescent="0.3">
      <c r="A3803" s="2">
        <v>45597</v>
      </c>
      <c r="B3803" t="s">
        <v>2137</v>
      </c>
      <c r="C3803">
        <v>-34</v>
      </c>
      <c r="D3803" s="2">
        <v>45597</v>
      </c>
      <c r="E3803" t="s">
        <v>2004</v>
      </c>
      <c r="F3803">
        <v>-34</v>
      </c>
      <c r="G3803">
        <v>0</v>
      </c>
    </row>
    <row r="3804" spans="1:7" x14ac:dyDescent="0.3">
      <c r="A3804" s="2">
        <v>45597</v>
      </c>
      <c r="B3804" t="s">
        <v>2134</v>
      </c>
      <c r="C3804">
        <v>-78.39</v>
      </c>
      <c r="D3804" s="2">
        <v>45597</v>
      </c>
      <c r="E3804" t="s">
        <v>2004</v>
      </c>
      <c r="F3804">
        <v>-78.39</v>
      </c>
      <c r="G3804">
        <v>0</v>
      </c>
    </row>
    <row r="3805" spans="1:7" x14ac:dyDescent="0.3">
      <c r="A3805" s="2">
        <v>45597</v>
      </c>
      <c r="B3805" t="s">
        <v>2635</v>
      </c>
      <c r="C3805">
        <v>206.25</v>
      </c>
      <c r="D3805" s="2">
        <v>45596</v>
      </c>
      <c r="E3805" t="s">
        <v>25</v>
      </c>
      <c r="F3805">
        <v>206.25</v>
      </c>
      <c r="G3805">
        <v>0</v>
      </c>
    </row>
    <row r="3806" spans="1:7" x14ac:dyDescent="0.3">
      <c r="A3806" s="2">
        <v>45600</v>
      </c>
      <c r="B3806" t="s">
        <v>2636</v>
      </c>
      <c r="C3806">
        <v>-3161.11</v>
      </c>
      <c r="D3806" s="2">
        <v>45600</v>
      </c>
      <c r="E3806" t="s">
        <v>2004</v>
      </c>
      <c r="F3806">
        <v>-3161.11</v>
      </c>
      <c r="G3806">
        <v>0</v>
      </c>
    </row>
    <row r="3807" spans="1:7" x14ac:dyDescent="0.3">
      <c r="A3807" s="2">
        <v>45600</v>
      </c>
      <c r="B3807" t="s">
        <v>2139</v>
      </c>
      <c r="C3807">
        <v>-170.94</v>
      </c>
      <c r="D3807" s="2">
        <v>45600</v>
      </c>
      <c r="E3807" t="s">
        <v>2004</v>
      </c>
      <c r="F3807">
        <v>-170.94</v>
      </c>
      <c r="G3807">
        <v>0</v>
      </c>
    </row>
    <row r="3808" spans="1:7" x14ac:dyDescent="0.3">
      <c r="A3808" s="2">
        <v>45600</v>
      </c>
      <c r="B3808" t="s">
        <v>2637</v>
      </c>
      <c r="C3808">
        <v>330</v>
      </c>
      <c r="D3808" s="2">
        <v>45597</v>
      </c>
      <c r="E3808" t="s">
        <v>25</v>
      </c>
      <c r="F3808">
        <v>330</v>
      </c>
      <c r="G3808">
        <v>0</v>
      </c>
    </row>
    <row r="3809" spans="1:7" x14ac:dyDescent="0.3">
      <c r="A3809" s="2">
        <v>45600</v>
      </c>
      <c r="B3809" t="s">
        <v>2638</v>
      </c>
      <c r="C3809">
        <v>570</v>
      </c>
      <c r="D3809" s="2">
        <v>45598</v>
      </c>
      <c r="E3809" t="s">
        <v>25</v>
      </c>
      <c r="F3809">
        <v>570</v>
      </c>
      <c r="G3809">
        <v>0</v>
      </c>
    </row>
    <row r="3810" spans="1:7" x14ac:dyDescent="0.3">
      <c r="A3810" s="2">
        <v>45600</v>
      </c>
      <c r="B3810" t="s">
        <v>2639</v>
      </c>
      <c r="C3810">
        <v>2156.25</v>
      </c>
      <c r="D3810" s="2">
        <v>45599</v>
      </c>
      <c r="E3810" t="s">
        <v>25</v>
      </c>
      <c r="F3810">
        <v>2156.25</v>
      </c>
      <c r="G3810">
        <v>0</v>
      </c>
    </row>
    <row r="3811" spans="1:7" x14ac:dyDescent="0.3">
      <c r="A3811" s="2">
        <v>45601</v>
      </c>
      <c r="B3811" t="s">
        <v>2640</v>
      </c>
      <c r="C3811">
        <v>-136</v>
      </c>
      <c r="D3811" s="2">
        <v>45601</v>
      </c>
      <c r="E3811" t="s">
        <v>2004</v>
      </c>
      <c r="F3811">
        <v>-136</v>
      </c>
      <c r="G3811">
        <v>0</v>
      </c>
    </row>
    <row r="3812" spans="1:7" x14ac:dyDescent="0.3">
      <c r="A3812" s="2">
        <v>45601</v>
      </c>
      <c r="B3812" t="s">
        <v>2641</v>
      </c>
      <c r="C3812">
        <v>5830</v>
      </c>
      <c r="D3812" s="2">
        <v>45600</v>
      </c>
      <c r="E3812" t="s">
        <v>25</v>
      </c>
      <c r="F3812">
        <v>5830</v>
      </c>
      <c r="G3812">
        <v>0</v>
      </c>
    </row>
    <row r="3813" spans="1:7" x14ac:dyDescent="0.3">
      <c r="A3813" s="2">
        <v>45602</v>
      </c>
      <c r="B3813" t="s">
        <v>2642</v>
      </c>
      <c r="C3813">
        <v>577.5</v>
      </c>
      <c r="D3813" s="2">
        <v>45601</v>
      </c>
      <c r="E3813" t="s">
        <v>25</v>
      </c>
      <c r="F3813">
        <v>577.5</v>
      </c>
      <c r="G3813">
        <v>0</v>
      </c>
    </row>
    <row r="3814" spans="1:7" x14ac:dyDescent="0.3">
      <c r="A3814" s="2">
        <v>45603</v>
      </c>
      <c r="B3814" t="s">
        <v>2643</v>
      </c>
      <c r="C3814">
        <v>371.25</v>
      </c>
      <c r="D3814" s="2">
        <v>45602</v>
      </c>
      <c r="E3814" t="s">
        <v>25</v>
      </c>
      <c r="F3814">
        <v>371.25</v>
      </c>
      <c r="G3814">
        <v>0</v>
      </c>
    </row>
    <row r="3815" spans="1:7" x14ac:dyDescent="0.3">
      <c r="A3815" s="2">
        <v>45603</v>
      </c>
      <c r="B3815" t="s">
        <v>2644</v>
      </c>
      <c r="C3815">
        <v>1040</v>
      </c>
      <c r="D3815" s="2">
        <v>45603</v>
      </c>
      <c r="E3815" t="s">
        <v>25</v>
      </c>
      <c r="F3815">
        <v>1040</v>
      </c>
      <c r="G3815">
        <v>0</v>
      </c>
    </row>
    <row r="3816" spans="1:7" x14ac:dyDescent="0.3">
      <c r="A3816" s="2">
        <v>45603</v>
      </c>
      <c r="B3816" t="s">
        <v>2053</v>
      </c>
      <c r="C3816">
        <v>630</v>
      </c>
      <c r="D3816" s="2">
        <v>45603</v>
      </c>
      <c r="E3816" t="s">
        <v>25</v>
      </c>
      <c r="F3816">
        <v>630</v>
      </c>
      <c r="G3816">
        <v>0</v>
      </c>
    </row>
    <row r="3817" spans="1:7" x14ac:dyDescent="0.3">
      <c r="A3817" s="2">
        <v>45603</v>
      </c>
      <c r="B3817" t="s">
        <v>2053</v>
      </c>
      <c r="C3817">
        <v>4840</v>
      </c>
      <c r="D3817" s="2">
        <v>45603</v>
      </c>
      <c r="E3817" t="s">
        <v>25</v>
      </c>
      <c r="F3817">
        <v>4840</v>
      </c>
      <c r="G3817">
        <v>0</v>
      </c>
    </row>
    <row r="3818" spans="1:7" x14ac:dyDescent="0.3">
      <c r="A3818" s="2">
        <v>45608</v>
      </c>
      <c r="B3818" t="s">
        <v>2645</v>
      </c>
      <c r="C3818">
        <v>-19.3</v>
      </c>
      <c r="D3818" s="2">
        <v>45608</v>
      </c>
      <c r="E3818" t="s">
        <v>2004</v>
      </c>
      <c r="F3818">
        <v>-19.3</v>
      </c>
      <c r="G3818">
        <v>0</v>
      </c>
    </row>
    <row r="3819" spans="1:7" x14ac:dyDescent="0.3">
      <c r="A3819" s="2">
        <v>45608</v>
      </c>
      <c r="B3819" t="s">
        <v>2646</v>
      </c>
      <c r="C3819">
        <v>-13600</v>
      </c>
      <c r="D3819" s="2">
        <v>45608</v>
      </c>
      <c r="E3819" t="s">
        <v>2004</v>
      </c>
      <c r="F3819">
        <v>-13600</v>
      </c>
      <c r="G3819">
        <v>0</v>
      </c>
    </row>
    <row r="3820" spans="1:7" x14ac:dyDescent="0.3">
      <c r="A3820" s="2">
        <v>45608</v>
      </c>
      <c r="B3820" t="s">
        <v>2148</v>
      </c>
      <c r="C3820">
        <v>-255.86</v>
      </c>
      <c r="D3820" s="2">
        <v>45608</v>
      </c>
      <c r="E3820" t="s">
        <v>2004</v>
      </c>
      <c r="F3820">
        <v>-255.86</v>
      </c>
      <c r="G3820">
        <v>0</v>
      </c>
    </row>
    <row r="3821" spans="1:7" x14ac:dyDescent="0.3">
      <c r="A3821" s="2">
        <v>45608</v>
      </c>
      <c r="B3821" t="s">
        <v>2647</v>
      </c>
      <c r="C3821">
        <v>165</v>
      </c>
      <c r="D3821" s="2">
        <v>45606</v>
      </c>
      <c r="E3821" t="s">
        <v>25</v>
      </c>
      <c r="F3821">
        <v>165</v>
      </c>
      <c r="G3821">
        <v>0</v>
      </c>
    </row>
    <row r="3822" spans="1:7" x14ac:dyDescent="0.3">
      <c r="A3822" s="2">
        <v>45608</v>
      </c>
      <c r="B3822" t="s">
        <v>2648</v>
      </c>
      <c r="C3822">
        <v>330</v>
      </c>
      <c r="D3822" s="2">
        <v>45605</v>
      </c>
      <c r="E3822" t="s">
        <v>25</v>
      </c>
      <c r="F3822">
        <v>330</v>
      </c>
      <c r="G3822">
        <v>0</v>
      </c>
    </row>
    <row r="3823" spans="1:7" x14ac:dyDescent="0.3">
      <c r="A3823" s="2">
        <v>45608</v>
      </c>
      <c r="B3823" t="s">
        <v>2649</v>
      </c>
      <c r="C3823">
        <v>371.25</v>
      </c>
      <c r="D3823" s="2">
        <v>45607</v>
      </c>
      <c r="E3823" t="s">
        <v>25</v>
      </c>
      <c r="F3823">
        <v>371.25</v>
      </c>
      <c r="G3823">
        <v>0</v>
      </c>
    </row>
    <row r="3824" spans="1:7" x14ac:dyDescent="0.3">
      <c r="A3824" s="2">
        <v>45608</v>
      </c>
      <c r="B3824" t="s">
        <v>2053</v>
      </c>
      <c r="C3824">
        <v>572</v>
      </c>
      <c r="D3824" s="2">
        <v>45608</v>
      </c>
      <c r="E3824" t="s">
        <v>25</v>
      </c>
      <c r="F3824">
        <v>572</v>
      </c>
      <c r="G3824">
        <v>0</v>
      </c>
    </row>
    <row r="3825" spans="1:7" x14ac:dyDescent="0.3">
      <c r="A3825" s="2">
        <v>45609</v>
      </c>
      <c r="B3825" t="s">
        <v>2650</v>
      </c>
      <c r="C3825">
        <v>-34.79</v>
      </c>
      <c r="D3825" s="2">
        <v>45609</v>
      </c>
      <c r="E3825" t="s">
        <v>2004</v>
      </c>
      <c r="F3825">
        <v>-34.79</v>
      </c>
      <c r="G3825">
        <v>0</v>
      </c>
    </row>
    <row r="3826" spans="1:7" x14ac:dyDescent="0.3">
      <c r="A3826" s="2">
        <v>45609</v>
      </c>
      <c r="B3826" t="s">
        <v>2651</v>
      </c>
      <c r="C3826">
        <v>1650</v>
      </c>
      <c r="D3826" s="2">
        <v>45608</v>
      </c>
      <c r="E3826" t="s">
        <v>25</v>
      </c>
      <c r="F3826">
        <v>1650</v>
      </c>
      <c r="G3826">
        <v>0</v>
      </c>
    </row>
    <row r="3827" spans="1:7" x14ac:dyDescent="0.3">
      <c r="A3827" s="2">
        <v>45610</v>
      </c>
      <c r="B3827" t="s">
        <v>2652</v>
      </c>
      <c r="C3827">
        <v>6000</v>
      </c>
      <c r="D3827" s="2">
        <v>45609</v>
      </c>
      <c r="E3827" t="s">
        <v>25</v>
      </c>
      <c r="F3827">
        <v>6000</v>
      </c>
      <c r="G3827">
        <v>0</v>
      </c>
    </row>
    <row r="3828" spans="1:7" x14ac:dyDescent="0.3">
      <c r="A3828" s="2">
        <v>45610</v>
      </c>
      <c r="B3828" t="s">
        <v>2053</v>
      </c>
      <c r="C3828">
        <v>5500</v>
      </c>
      <c r="D3828" s="2">
        <v>45610</v>
      </c>
      <c r="E3828" t="s">
        <v>25</v>
      </c>
      <c r="F3828">
        <v>5500</v>
      </c>
      <c r="G3828">
        <v>0</v>
      </c>
    </row>
    <row r="3829" spans="1:7" x14ac:dyDescent="0.3">
      <c r="A3829" s="2">
        <v>45611</v>
      </c>
      <c r="B3829" t="s">
        <v>2653</v>
      </c>
      <c r="C3829">
        <v>412.5</v>
      </c>
      <c r="D3829" s="2">
        <v>45610</v>
      </c>
      <c r="E3829" t="s">
        <v>25</v>
      </c>
      <c r="F3829">
        <v>412.5</v>
      </c>
      <c r="G3829">
        <v>0</v>
      </c>
    </row>
    <row r="3830" spans="1:7" x14ac:dyDescent="0.3">
      <c r="A3830" s="2">
        <v>45614</v>
      </c>
      <c r="B3830" t="s">
        <v>2654</v>
      </c>
      <c r="C3830">
        <v>-10.88</v>
      </c>
      <c r="D3830" s="2">
        <v>45614</v>
      </c>
      <c r="E3830" t="s">
        <v>2004</v>
      </c>
      <c r="F3830">
        <v>-10.88</v>
      </c>
      <c r="G3830">
        <v>0</v>
      </c>
    </row>
    <row r="3831" spans="1:7" x14ac:dyDescent="0.3">
      <c r="A3831" s="2">
        <v>45614</v>
      </c>
      <c r="B3831" t="s">
        <v>2655</v>
      </c>
      <c r="C3831">
        <v>-16.37</v>
      </c>
      <c r="D3831" s="2">
        <v>45614</v>
      </c>
      <c r="E3831" t="s">
        <v>2004</v>
      </c>
      <c r="F3831">
        <v>-16.37</v>
      </c>
      <c r="G3831">
        <v>0</v>
      </c>
    </row>
    <row r="3832" spans="1:7" x14ac:dyDescent="0.3">
      <c r="A3832" s="2">
        <v>45614</v>
      </c>
      <c r="B3832" t="s">
        <v>2656</v>
      </c>
      <c r="C3832">
        <v>-36.5</v>
      </c>
      <c r="D3832" s="2">
        <v>45614</v>
      </c>
      <c r="E3832" t="s">
        <v>2004</v>
      </c>
      <c r="F3832">
        <v>-36.5</v>
      </c>
      <c r="G3832">
        <v>0</v>
      </c>
    </row>
    <row r="3833" spans="1:7" x14ac:dyDescent="0.3">
      <c r="A3833" s="2">
        <v>45614</v>
      </c>
      <c r="B3833" t="s">
        <v>2657</v>
      </c>
      <c r="C3833">
        <v>-40.75</v>
      </c>
      <c r="D3833" s="2">
        <v>45614</v>
      </c>
      <c r="E3833" t="s">
        <v>2004</v>
      </c>
      <c r="F3833">
        <v>-40.75</v>
      </c>
      <c r="G3833">
        <v>0</v>
      </c>
    </row>
    <row r="3834" spans="1:7" x14ac:dyDescent="0.3">
      <c r="A3834" s="2">
        <v>45614</v>
      </c>
      <c r="B3834" t="s">
        <v>2658</v>
      </c>
      <c r="C3834">
        <v>3105</v>
      </c>
      <c r="D3834" s="2">
        <v>45613</v>
      </c>
      <c r="E3834" t="s">
        <v>25</v>
      </c>
      <c r="F3834">
        <v>3105</v>
      </c>
      <c r="G3834">
        <v>0</v>
      </c>
    </row>
    <row r="3835" spans="1:7" x14ac:dyDescent="0.3">
      <c r="A3835" s="2">
        <v>45614</v>
      </c>
      <c r="B3835" t="s">
        <v>2659</v>
      </c>
      <c r="C3835">
        <v>6345</v>
      </c>
      <c r="D3835" s="2">
        <v>45612</v>
      </c>
      <c r="E3835" t="s">
        <v>25</v>
      </c>
      <c r="F3835">
        <v>6345</v>
      </c>
      <c r="G3835">
        <v>0</v>
      </c>
    </row>
    <row r="3836" spans="1:7" x14ac:dyDescent="0.3">
      <c r="A3836" s="2">
        <v>45614</v>
      </c>
      <c r="B3836" t="s">
        <v>2660</v>
      </c>
      <c r="C3836">
        <v>18585</v>
      </c>
      <c r="D3836" s="2">
        <v>45611</v>
      </c>
      <c r="E3836" t="s">
        <v>25</v>
      </c>
      <c r="F3836">
        <v>18585</v>
      </c>
      <c r="G3836">
        <v>0</v>
      </c>
    </row>
    <row r="3837" spans="1:7" x14ac:dyDescent="0.3">
      <c r="A3837" s="2">
        <v>45615</v>
      </c>
      <c r="B3837" t="s">
        <v>2661</v>
      </c>
      <c r="C3837">
        <v>4301.25</v>
      </c>
      <c r="D3837" s="2">
        <v>45614</v>
      </c>
      <c r="E3837" t="s">
        <v>25</v>
      </c>
      <c r="F3837">
        <v>4301.25</v>
      </c>
      <c r="G3837">
        <v>0</v>
      </c>
    </row>
    <row r="3838" spans="1:7" x14ac:dyDescent="0.3">
      <c r="A3838" s="2">
        <v>45615</v>
      </c>
      <c r="B3838" t="s">
        <v>2053</v>
      </c>
      <c r="C3838">
        <v>1650</v>
      </c>
      <c r="D3838" s="2">
        <v>45615</v>
      </c>
      <c r="E3838" t="s">
        <v>25</v>
      </c>
      <c r="F3838">
        <v>1650</v>
      </c>
      <c r="G3838">
        <v>0</v>
      </c>
    </row>
    <row r="3839" spans="1:7" x14ac:dyDescent="0.3">
      <c r="A3839" s="2">
        <v>45616</v>
      </c>
      <c r="B3839" t="s">
        <v>2662</v>
      </c>
      <c r="C3839">
        <v>18665</v>
      </c>
      <c r="D3839" s="2">
        <v>45615</v>
      </c>
      <c r="E3839" t="s">
        <v>25</v>
      </c>
      <c r="F3839">
        <v>18665</v>
      </c>
      <c r="G3839">
        <v>0</v>
      </c>
    </row>
    <row r="3840" spans="1:7" x14ac:dyDescent="0.3">
      <c r="A3840" s="2">
        <v>45617</v>
      </c>
      <c r="B3840" t="s">
        <v>2663</v>
      </c>
      <c r="C3840">
        <v>24696.25</v>
      </c>
      <c r="D3840" s="2">
        <v>45616</v>
      </c>
      <c r="E3840" t="s">
        <v>25</v>
      </c>
      <c r="F3840">
        <v>24696.25</v>
      </c>
      <c r="G3840">
        <v>0</v>
      </c>
    </row>
    <row r="3841" spans="1:7" x14ac:dyDescent="0.3">
      <c r="A3841" s="2">
        <v>45618</v>
      </c>
      <c r="B3841" t="s">
        <v>2664</v>
      </c>
      <c r="C3841">
        <v>300</v>
      </c>
      <c r="D3841" s="2">
        <v>45618</v>
      </c>
      <c r="E3841" t="s">
        <v>25</v>
      </c>
      <c r="F3841">
        <v>300</v>
      </c>
      <c r="G3841">
        <v>0</v>
      </c>
    </row>
    <row r="3842" spans="1:7" x14ac:dyDescent="0.3">
      <c r="A3842" s="2">
        <v>45618</v>
      </c>
      <c r="B3842" t="s">
        <v>2665</v>
      </c>
      <c r="C3842">
        <v>9310</v>
      </c>
      <c r="D3842" s="2">
        <v>45617</v>
      </c>
      <c r="E3842" t="s">
        <v>25</v>
      </c>
      <c r="F3842">
        <v>9310</v>
      </c>
      <c r="G3842">
        <v>0</v>
      </c>
    </row>
    <row r="3843" spans="1:7" x14ac:dyDescent="0.3">
      <c r="A3843" s="2">
        <v>45621</v>
      </c>
      <c r="B3843" t="s">
        <v>2666</v>
      </c>
      <c r="C3843">
        <v>1416.25</v>
      </c>
      <c r="D3843" s="2">
        <v>45619</v>
      </c>
      <c r="E3843" t="s">
        <v>25</v>
      </c>
      <c r="F3843">
        <v>1416.25</v>
      </c>
      <c r="G3843">
        <v>0</v>
      </c>
    </row>
    <row r="3844" spans="1:7" x14ac:dyDescent="0.3">
      <c r="A3844" s="2">
        <v>45621</v>
      </c>
      <c r="B3844" t="s">
        <v>2667</v>
      </c>
      <c r="C3844">
        <v>2825</v>
      </c>
      <c r="D3844" s="2">
        <v>45618</v>
      </c>
      <c r="E3844" t="s">
        <v>25</v>
      </c>
      <c r="F3844">
        <v>2825</v>
      </c>
      <c r="G3844">
        <v>0</v>
      </c>
    </row>
    <row r="3845" spans="1:7" x14ac:dyDescent="0.3">
      <c r="A3845" s="2">
        <v>45621</v>
      </c>
      <c r="B3845" t="s">
        <v>2668</v>
      </c>
      <c r="C3845">
        <v>4890</v>
      </c>
      <c r="D3845" s="2">
        <v>45620</v>
      </c>
      <c r="E3845" t="s">
        <v>25</v>
      </c>
      <c r="F3845">
        <v>4890</v>
      </c>
      <c r="G3845">
        <v>0</v>
      </c>
    </row>
    <row r="3846" spans="1:7" x14ac:dyDescent="0.3">
      <c r="A3846" s="2">
        <v>45622</v>
      </c>
      <c r="B3846" t="s">
        <v>2669</v>
      </c>
      <c r="C3846">
        <v>330</v>
      </c>
      <c r="D3846" s="2">
        <v>45621</v>
      </c>
      <c r="E3846" t="s">
        <v>25</v>
      </c>
      <c r="F3846">
        <v>330</v>
      </c>
      <c r="G3846">
        <v>0</v>
      </c>
    </row>
    <row r="3847" spans="1:7" x14ac:dyDescent="0.3">
      <c r="A3847" s="2">
        <v>45623</v>
      </c>
      <c r="B3847" t="s">
        <v>2670</v>
      </c>
      <c r="C3847">
        <v>2985</v>
      </c>
      <c r="D3847" s="2">
        <v>45622</v>
      </c>
      <c r="E3847" t="s">
        <v>25</v>
      </c>
      <c r="F3847">
        <v>2985</v>
      </c>
      <c r="G3847">
        <v>0</v>
      </c>
    </row>
    <row r="3848" spans="1:7" x14ac:dyDescent="0.3">
      <c r="A3848" s="2">
        <v>45625</v>
      </c>
      <c r="B3848" t="s">
        <v>2671</v>
      </c>
      <c r="C3848">
        <v>-173768.95</v>
      </c>
      <c r="D3848" s="2">
        <v>45625</v>
      </c>
      <c r="E3848" t="s">
        <v>2004</v>
      </c>
      <c r="F3848">
        <v>-173768.95</v>
      </c>
      <c r="G3848">
        <v>0</v>
      </c>
    </row>
    <row r="3849" spans="1:7" x14ac:dyDescent="0.3">
      <c r="A3849" s="2">
        <v>45625</v>
      </c>
      <c r="B3849" t="s">
        <v>2672</v>
      </c>
      <c r="C3849">
        <v>1521.25</v>
      </c>
      <c r="D3849" s="2">
        <v>45623</v>
      </c>
      <c r="E3849" t="s">
        <v>25</v>
      </c>
      <c r="F3849">
        <v>1521.25</v>
      </c>
      <c r="G3849">
        <v>0</v>
      </c>
    </row>
    <row r="3850" spans="1:7" x14ac:dyDescent="0.3">
      <c r="A3850" s="2">
        <v>45625</v>
      </c>
      <c r="B3850" t="s">
        <v>2673</v>
      </c>
      <c r="C3850">
        <v>1980</v>
      </c>
      <c r="D3850" s="2">
        <v>45624</v>
      </c>
      <c r="E3850" t="s">
        <v>25</v>
      </c>
      <c r="F3850">
        <v>1980</v>
      </c>
      <c r="G3850">
        <v>0</v>
      </c>
    </row>
    <row r="3851" spans="1:7" x14ac:dyDescent="0.3">
      <c r="A3851" s="2">
        <v>45628</v>
      </c>
      <c r="B3851" t="s">
        <v>2674</v>
      </c>
      <c r="C3851">
        <v>-5576.35</v>
      </c>
      <c r="D3851" s="2">
        <v>45628</v>
      </c>
      <c r="E3851" t="s">
        <v>2004</v>
      </c>
      <c r="F3851">
        <v>-5576.35</v>
      </c>
      <c r="G3851">
        <v>0</v>
      </c>
    </row>
    <row r="3852" spans="1:7" x14ac:dyDescent="0.3">
      <c r="A3852" s="2">
        <v>45628</v>
      </c>
      <c r="B3852" t="s">
        <v>2174</v>
      </c>
      <c r="C3852">
        <v>-78.39</v>
      </c>
      <c r="D3852" s="2">
        <v>45628</v>
      </c>
      <c r="E3852" t="s">
        <v>2004</v>
      </c>
      <c r="F3852">
        <v>-78.39</v>
      </c>
      <c r="G3852">
        <v>0</v>
      </c>
    </row>
    <row r="3853" spans="1:7" x14ac:dyDescent="0.3">
      <c r="A3853" s="2">
        <v>45628</v>
      </c>
      <c r="B3853" t="s">
        <v>2175</v>
      </c>
      <c r="C3853">
        <v>-34</v>
      </c>
      <c r="D3853" s="2">
        <v>45628</v>
      </c>
      <c r="E3853" t="s">
        <v>2004</v>
      </c>
      <c r="F3853">
        <v>-34</v>
      </c>
      <c r="G3853">
        <v>0</v>
      </c>
    </row>
    <row r="3854" spans="1:7" x14ac:dyDescent="0.3">
      <c r="A3854" s="2">
        <v>45628</v>
      </c>
      <c r="B3854" t="s">
        <v>2675</v>
      </c>
      <c r="C3854">
        <v>696.25</v>
      </c>
      <c r="D3854" s="2">
        <v>45626</v>
      </c>
      <c r="E3854" t="s">
        <v>25</v>
      </c>
      <c r="F3854">
        <v>696.25</v>
      </c>
      <c r="G3854">
        <v>0</v>
      </c>
    </row>
    <row r="3855" spans="1:7" x14ac:dyDescent="0.3">
      <c r="A3855" s="2">
        <v>45629</v>
      </c>
      <c r="B3855" t="s">
        <v>2676</v>
      </c>
      <c r="C3855">
        <v>-13600</v>
      </c>
      <c r="D3855" s="2">
        <v>45629</v>
      </c>
      <c r="E3855" t="s">
        <v>2004</v>
      </c>
      <c r="F3855">
        <v>-13600</v>
      </c>
      <c r="G3855">
        <v>0</v>
      </c>
    </row>
    <row r="3856" spans="1:7" x14ac:dyDescent="0.3">
      <c r="A3856" s="2">
        <v>45629</v>
      </c>
      <c r="B3856" t="s">
        <v>2179</v>
      </c>
      <c r="C3856">
        <v>-170.94</v>
      </c>
      <c r="D3856" s="2">
        <v>45629</v>
      </c>
      <c r="E3856" t="s">
        <v>2004</v>
      </c>
      <c r="F3856">
        <v>-170.94</v>
      </c>
      <c r="G3856">
        <v>0</v>
      </c>
    </row>
    <row r="3857" spans="1:7" x14ac:dyDescent="0.3">
      <c r="A3857" s="2">
        <v>45629</v>
      </c>
      <c r="B3857" t="s">
        <v>2677</v>
      </c>
      <c r="C3857">
        <v>660</v>
      </c>
      <c r="D3857" s="2">
        <v>45628</v>
      </c>
      <c r="E3857" t="s">
        <v>25</v>
      </c>
      <c r="F3857">
        <v>660</v>
      </c>
      <c r="G3857">
        <v>0</v>
      </c>
    </row>
    <row r="3858" spans="1:7" x14ac:dyDescent="0.3">
      <c r="A3858" s="2">
        <v>45629</v>
      </c>
      <c r="B3858" t="s">
        <v>2678</v>
      </c>
      <c r="C3858">
        <v>866.25</v>
      </c>
      <c r="D3858" s="2">
        <v>45627</v>
      </c>
      <c r="E3858" t="s">
        <v>25</v>
      </c>
      <c r="F3858">
        <v>866.25</v>
      </c>
      <c r="G3858">
        <v>0</v>
      </c>
    </row>
    <row r="3859" spans="1:7" x14ac:dyDescent="0.3">
      <c r="A3859" s="2">
        <v>45630</v>
      </c>
      <c r="B3859" t="s">
        <v>2679</v>
      </c>
      <c r="C3859">
        <v>-34</v>
      </c>
      <c r="D3859" s="2">
        <v>45630</v>
      </c>
      <c r="E3859" t="s">
        <v>2004</v>
      </c>
      <c r="F3859">
        <v>-34</v>
      </c>
      <c r="G3859">
        <v>0</v>
      </c>
    </row>
    <row r="3860" spans="1:7" x14ac:dyDescent="0.3">
      <c r="A3860" s="2">
        <v>45630</v>
      </c>
      <c r="B3860" t="s">
        <v>2680</v>
      </c>
      <c r="C3860">
        <v>3241.25</v>
      </c>
      <c r="D3860" s="2">
        <v>45629</v>
      </c>
      <c r="E3860" t="s">
        <v>25</v>
      </c>
      <c r="F3860">
        <v>3241.25</v>
      </c>
      <c r="G3860">
        <v>0</v>
      </c>
    </row>
    <row r="3861" spans="1:7" x14ac:dyDescent="0.3">
      <c r="A3861" s="2">
        <v>45631</v>
      </c>
      <c r="B3861" t="s">
        <v>2681</v>
      </c>
      <c r="C3861">
        <v>1191.25</v>
      </c>
      <c r="D3861" s="2">
        <v>45630</v>
      </c>
      <c r="E3861" t="s">
        <v>25</v>
      </c>
      <c r="F3861">
        <v>1191.25</v>
      </c>
      <c r="G3861">
        <v>0</v>
      </c>
    </row>
    <row r="3862" spans="1:7" x14ac:dyDescent="0.3">
      <c r="A3862" s="2">
        <v>45632</v>
      </c>
      <c r="B3862" t="s">
        <v>2682</v>
      </c>
      <c r="C3862">
        <v>-1800</v>
      </c>
      <c r="D3862" s="2">
        <v>45632</v>
      </c>
      <c r="E3862" t="s">
        <v>2004</v>
      </c>
      <c r="F3862">
        <v>-1800</v>
      </c>
      <c r="G3862">
        <v>0</v>
      </c>
    </row>
    <row r="3863" spans="1:7" x14ac:dyDescent="0.3">
      <c r="A3863" s="2">
        <v>45632</v>
      </c>
      <c r="B3863" t="s">
        <v>2683</v>
      </c>
      <c r="C3863">
        <v>907.5</v>
      </c>
      <c r="D3863" s="2">
        <v>45631</v>
      </c>
      <c r="E3863" t="s">
        <v>25</v>
      </c>
      <c r="F3863">
        <v>907.5</v>
      </c>
      <c r="G3863">
        <v>0</v>
      </c>
    </row>
    <row r="3864" spans="1:7" x14ac:dyDescent="0.3">
      <c r="A3864" s="2">
        <v>45632</v>
      </c>
      <c r="B3864" t="s">
        <v>2684</v>
      </c>
      <c r="C3864">
        <v>384</v>
      </c>
      <c r="D3864" s="2">
        <v>45632</v>
      </c>
      <c r="E3864" t="s">
        <v>25</v>
      </c>
      <c r="F3864">
        <v>384</v>
      </c>
      <c r="G3864">
        <v>0</v>
      </c>
    </row>
    <row r="3865" spans="1:7" x14ac:dyDescent="0.3">
      <c r="A3865" s="2">
        <v>45635</v>
      </c>
      <c r="B3865" t="s">
        <v>2685</v>
      </c>
      <c r="C3865">
        <v>990</v>
      </c>
      <c r="D3865" s="2">
        <v>45634</v>
      </c>
      <c r="E3865" t="s">
        <v>25</v>
      </c>
      <c r="F3865">
        <v>990</v>
      </c>
      <c r="G3865">
        <v>0</v>
      </c>
    </row>
    <row r="3866" spans="1:7" x14ac:dyDescent="0.3">
      <c r="A3866" s="2">
        <v>45635</v>
      </c>
      <c r="B3866" t="s">
        <v>2686</v>
      </c>
      <c r="C3866">
        <v>10455</v>
      </c>
      <c r="D3866" s="2">
        <v>45632</v>
      </c>
      <c r="E3866" t="s">
        <v>25</v>
      </c>
      <c r="F3866">
        <v>10455</v>
      </c>
      <c r="G3866">
        <v>0</v>
      </c>
    </row>
    <row r="3867" spans="1:7" x14ac:dyDescent="0.3">
      <c r="A3867" s="2">
        <v>45635</v>
      </c>
      <c r="B3867" t="s">
        <v>2687</v>
      </c>
      <c r="C3867">
        <v>12756.25</v>
      </c>
      <c r="D3867" s="2">
        <v>45633</v>
      </c>
      <c r="E3867" t="s">
        <v>25</v>
      </c>
      <c r="F3867">
        <v>12756.25</v>
      </c>
      <c r="G3867">
        <v>0</v>
      </c>
    </row>
    <row r="3868" spans="1:7" x14ac:dyDescent="0.3">
      <c r="A3868" s="2">
        <v>45636</v>
      </c>
      <c r="B3868" t="s">
        <v>2191</v>
      </c>
      <c r="C3868">
        <v>-255.86</v>
      </c>
      <c r="D3868" s="2">
        <v>45636</v>
      </c>
      <c r="E3868" t="s">
        <v>2004</v>
      </c>
      <c r="F3868">
        <v>-255.86</v>
      </c>
      <c r="G3868">
        <v>0</v>
      </c>
    </row>
    <row r="3869" spans="1:7" x14ac:dyDescent="0.3">
      <c r="A3869" s="2">
        <v>45636</v>
      </c>
      <c r="B3869" t="s">
        <v>2688</v>
      </c>
      <c r="C3869">
        <v>1785</v>
      </c>
      <c r="D3869" s="2">
        <v>45635</v>
      </c>
      <c r="E3869" t="s">
        <v>25</v>
      </c>
      <c r="F3869">
        <v>1785</v>
      </c>
      <c r="G3869">
        <v>0</v>
      </c>
    </row>
    <row r="3870" spans="1:7" x14ac:dyDescent="0.3">
      <c r="A3870" s="2">
        <v>45637</v>
      </c>
      <c r="B3870" t="s">
        <v>2689</v>
      </c>
      <c r="C3870">
        <v>4016.25</v>
      </c>
      <c r="D3870" s="2">
        <v>45636</v>
      </c>
      <c r="E3870" t="s">
        <v>25</v>
      </c>
      <c r="F3870">
        <v>4016.25</v>
      </c>
      <c r="G3870">
        <v>0</v>
      </c>
    </row>
    <row r="3871" spans="1:7" x14ac:dyDescent="0.3">
      <c r="A3871" s="2">
        <v>45638</v>
      </c>
      <c r="B3871" t="s">
        <v>2690</v>
      </c>
      <c r="C3871">
        <v>2976.25</v>
      </c>
      <c r="D3871" s="2">
        <v>45637</v>
      </c>
      <c r="E3871" t="s">
        <v>25</v>
      </c>
      <c r="F3871">
        <v>2976.25</v>
      </c>
      <c r="G3871">
        <v>0</v>
      </c>
    </row>
    <row r="3872" spans="1:7" x14ac:dyDescent="0.3">
      <c r="A3872" s="2">
        <v>45638</v>
      </c>
      <c r="B3872" t="s">
        <v>2691</v>
      </c>
      <c r="C3872">
        <v>283</v>
      </c>
      <c r="D3872" s="2">
        <v>45638</v>
      </c>
      <c r="E3872" t="s">
        <v>25</v>
      </c>
      <c r="F3872">
        <v>283</v>
      </c>
      <c r="G3872">
        <v>0</v>
      </c>
    </row>
    <row r="3873" spans="1:7" x14ac:dyDescent="0.3">
      <c r="A3873" s="2">
        <v>45639</v>
      </c>
      <c r="B3873" t="s">
        <v>2692</v>
      </c>
      <c r="C3873">
        <v>5215</v>
      </c>
      <c r="D3873" s="2">
        <v>45638</v>
      </c>
      <c r="E3873" t="s">
        <v>25</v>
      </c>
      <c r="F3873">
        <v>5215</v>
      </c>
      <c r="G3873">
        <v>0</v>
      </c>
    </row>
    <row r="3874" spans="1:7" x14ac:dyDescent="0.3">
      <c r="A3874" s="2">
        <v>45642</v>
      </c>
      <c r="B3874" t="s">
        <v>2693</v>
      </c>
      <c r="C3874">
        <v>-12953.56</v>
      </c>
      <c r="D3874" s="2">
        <v>45642</v>
      </c>
      <c r="E3874" t="s">
        <v>2004</v>
      </c>
      <c r="F3874">
        <v>-12953.56</v>
      </c>
      <c r="G3874">
        <v>0</v>
      </c>
    </row>
    <row r="3875" spans="1:7" x14ac:dyDescent="0.3">
      <c r="A3875" s="2">
        <v>45642</v>
      </c>
      <c r="B3875" t="s">
        <v>2694</v>
      </c>
      <c r="C3875">
        <v>-16.37</v>
      </c>
      <c r="D3875" s="2">
        <v>45642</v>
      </c>
      <c r="E3875" t="s">
        <v>2004</v>
      </c>
      <c r="F3875">
        <v>-16.37</v>
      </c>
      <c r="G3875">
        <v>0</v>
      </c>
    </row>
    <row r="3876" spans="1:7" x14ac:dyDescent="0.3">
      <c r="A3876" s="2">
        <v>45642</v>
      </c>
      <c r="B3876" t="s">
        <v>2695</v>
      </c>
      <c r="C3876">
        <v>330</v>
      </c>
      <c r="D3876" s="2">
        <v>45641</v>
      </c>
      <c r="E3876" t="s">
        <v>25</v>
      </c>
      <c r="F3876">
        <v>330</v>
      </c>
      <c r="G3876">
        <v>0</v>
      </c>
    </row>
    <row r="3877" spans="1:7" x14ac:dyDescent="0.3">
      <c r="A3877" s="2">
        <v>45642</v>
      </c>
      <c r="B3877" t="s">
        <v>2696</v>
      </c>
      <c r="C3877">
        <v>1200</v>
      </c>
      <c r="D3877" s="2">
        <v>45642</v>
      </c>
      <c r="E3877" t="s">
        <v>25</v>
      </c>
      <c r="F3877">
        <v>1200</v>
      </c>
      <c r="G3877">
        <v>0</v>
      </c>
    </row>
    <row r="3878" spans="1:7" x14ac:dyDescent="0.3">
      <c r="A3878" s="2">
        <v>45642</v>
      </c>
      <c r="B3878" t="s">
        <v>2697</v>
      </c>
      <c r="C3878">
        <v>1356.25</v>
      </c>
      <c r="D3878" s="2">
        <v>45640</v>
      </c>
      <c r="E3878" t="s">
        <v>25</v>
      </c>
      <c r="F3878">
        <v>1356.25</v>
      </c>
      <c r="G3878">
        <v>0</v>
      </c>
    </row>
    <row r="3879" spans="1:7" x14ac:dyDescent="0.3">
      <c r="A3879" s="2">
        <v>45642</v>
      </c>
      <c r="B3879" t="s">
        <v>2698</v>
      </c>
      <c r="C3879">
        <v>16456.25</v>
      </c>
      <c r="D3879" s="2">
        <v>45639</v>
      </c>
      <c r="E3879" t="s">
        <v>25</v>
      </c>
      <c r="F3879">
        <v>16456.25</v>
      </c>
      <c r="G3879">
        <v>0</v>
      </c>
    </row>
    <row r="3880" spans="1:7" x14ac:dyDescent="0.3">
      <c r="A3880" s="2">
        <v>45643</v>
      </c>
      <c r="B3880" t="s">
        <v>2699</v>
      </c>
      <c r="C3880">
        <v>-10.88</v>
      </c>
      <c r="D3880" s="2">
        <v>45643</v>
      </c>
      <c r="E3880" t="s">
        <v>2004</v>
      </c>
      <c r="F3880">
        <v>-10.88</v>
      </c>
      <c r="G3880">
        <v>0</v>
      </c>
    </row>
    <row r="3881" spans="1:7" x14ac:dyDescent="0.3">
      <c r="A3881" s="2">
        <v>45643</v>
      </c>
      <c r="B3881" t="s">
        <v>2700</v>
      </c>
      <c r="C3881">
        <v>2351.25</v>
      </c>
      <c r="D3881" s="2">
        <v>45642</v>
      </c>
      <c r="E3881" t="s">
        <v>25</v>
      </c>
      <c r="F3881">
        <v>2351.25</v>
      </c>
      <c r="G3881">
        <v>0</v>
      </c>
    </row>
    <row r="3882" spans="1:7" x14ac:dyDescent="0.3">
      <c r="A3882" s="2">
        <v>45644</v>
      </c>
      <c r="B3882" t="s">
        <v>2701</v>
      </c>
      <c r="C3882">
        <v>2845</v>
      </c>
      <c r="D3882" s="2">
        <v>45643</v>
      </c>
      <c r="E3882" t="s">
        <v>25</v>
      </c>
      <c r="F3882">
        <v>2845</v>
      </c>
      <c r="G3882">
        <v>0</v>
      </c>
    </row>
    <row r="3883" spans="1:7" x14ac:dyDescent="0.3">
      <c r="A3883" s="2">
        <v>45645</v>
      </c>
      <c r="B3883" t="s">
        <v>2702</v>
      </c>
      <c r="C3883">
        <v>2776.25</v>
      </c>
      <c r="D3883" s="2">
        <v>45644</v>
      </c>
      <c r="E3883" t="s">
        <v>25</v>
      </c>
      <c r="F3883">
        <v>2776.25</v>
      </c>
      <c r="G3883">
        <v>0</v>
      </c>
    </row>
    <row r="3884" spans="1:7" x14ac:dyDescent="0.3">
      <c r="A3884" s="2">
        <v>45646</v>
      </c>
      <c r="B3884" t="s">
        <v>2703</v>
      </c>
      <c r="C3884">
        <v>2405</v>
      </c>
      <c r="D3884" s="2">
        <v>45645</v>
      </c>
      <c r="E3884" t="s">
        <v>25</v>
      </c>
      <c r="F3884">
        <v>2405</v>
      </c>
      <c r="G3884">
        <v>0</v>
      </c>
    </row>
    <row r="3885" spans="1:7" x14ac:dyDescent="0.3">
      <c r="A3885" s="2">
        <v>45649</v>
      </c>
      <c r="B3885" t="s">
        <v>2704</v>
      </c>
      <c r="C3885">
        <v>575</v>
      </c>
      <c r="D3885" s="2">
        <v>45648</v>
      </c>
      <c r="E3885" t="s">
        <v>25</v>
      </c>
      <c r="F3885">
        <v>575</v>
      </c>
      <c r="G3885">
        <v>0</v>
      </c>
    </row>
    <row r="3886" spans="1:7" x14ac:dyDescent="0.3">
      <c r="A3886" s="2">
        <v>45649</v>
      </c>
      <c r="B3886" t="s">
        <v>2705</v>
      </c>
      <c r="C3886">
        <v>1360</v>
      </c>
      <c r="D3886" s="2">
        <v>45646</v>
      </c>
      <c r="E3886" t="s">
        <v>25</v>
      </c>
      <c r="F3886">
        <v>1360</v>
      </c>
      <c r="G3886">
        <v>0</v>
      </c>
    </row>
    <row r="3887" spans="1:7" x14ac:dyDescent="0.3">
      <c r="A3887" s="2">
        <v>45649</v>
      </c>
      <c r="B3887" t="s">
        <v>2706</v>
      </c>
      <c r="C3887">
        <v>2275</v>
      </c>
      <c r="D3887" s="2">
        <v>45647</v>
      </c>
      <c r="E3887" t="s">
        <v>25</v>
      </c>
      <c r="F3887">
        <v>2275</v>
      </c>
      <c r="G3887">
        <v>0</v>
      </c>
    </row>
    <row r="3888" spans="1:7" x14ac:dyDescent="0.3">
      <c r="A3888" s="2">
        <v>45650</v>
      </c>
      <c r="B3888" t="s">
        <v>2707</v>
      </c>
      <c r="C3888">
        <v>660</v>
      </c>
      <c r="D3888" s="2">
        <v>45649</v>
      </c>
      <c r="E3888" t="s">
        <v>25</v>
      </c>
      <c r="F3888">
        <v>660</v>
      </c>
      <c r="G3888">
        <v>0</v>
      </c>
    </row>
    <row r="3889" spans="1:7" x14ac:dyDescent="0.3">
      <c r="A3889" s="2">
        <v>45653</v>
      </c>
      <c r="B3889" t="s">
        <v>2708</v>
      </c>
      <c r="C3889">
        <v>495</v>
      </c>
      <c r="D3889" s="2">
        <v>45652</v>
      </c>
      <c r="E3889" t="s">
        <v>25</v>
      </c>
      <c r="F3889">
        <v>495</v>
      </c>
      <c r="G3889">
        <v>0</v>
      </c>
    </row>
    <row r="3890" spans="1:7" x14ac:dyDescent="0.3">
      <c r="A3890" s="2">
        <v>45656</v>
      </c>
      <c r="B3890" t="s">
        <v>2709</v>
      </c>
      <c r="C3890">
        <v>225</v>
      </c>
      <c r="D3890" s="2">
        <v>45653</v>
      </c>
      <c r="E3890" t="s">
        <v>25</v>
      </c>
      <c r="F3890">
        <v>225</v>
      </c>
      <c r="G3890">
        <v>0</v>
      </c>
    </row>
    <row r="3891" spans="1:7" x14ac:dyDescent="0.3">
      <c r="A3891" s="2">
        <v>45656</v>
      </c>
      <c r="B3891" t="s">
        <v>2710</v>
      </c>
      <c r="C3891">
        <v>536.25</v>
      </c>
      <c r="D3891" s="2">
        <v>45655</v>
      </c>
      <c r="E3891" t="s">
        <v>25</v>
      </c>
      <c r="F3891">
        <v>536.25</v>
      </c>
      <c r="G3891">
        <v>0</v>
      </c>
    </row>
    <row r="3892" spans="1:7" x14ac:dyDescent="0.3">
      <c r="A3892" s="2">
        <v>45656</v>
      </c>
      <c r="B3892" t="s">
        <v>2711</v>
      </c>
      <c r="C3892">
        <v>1620</v>
      </c>
      <c r="D3892" s="2">
        <v>45654</v>
      </c>
      <c r="E3892" t="s">
        <v>25</v>
      </c>
      <c r="F3892">
        <v>1620</v>
      </c>
      <c r="G3892">
        <v>0</v>
      </c>
    </row>
    <row r="3893" spans="1:7" x14ac:dyDescent="0.3">
      <c r="A3893" s="2">
        <v>45657</v>
      </c>
      <c r="B3893" t="s">
        <v>2712</v>
      </c>
      <c r="C3893">
        <v>790</v>
      </c>
      <c r="D3893" s="2">
        <v>45656</v>
      </c>
      <c r="E3893" t="s">
        <v>25</v>
      </c>
      <c r="F3893">
        <v>790</v>
      </c>
      <c r="G3893">
        <v>0</v>
      </c>
    </row>
    <row r="3894" spans="1:7" x14ac:dyDescent="0.3">
      <c r="A3894" s="2">
        <v>45659</v>
      </c>
      <c r="B3894" t="s">
        <v>2713</v>
      </c>
      <c r="C3894">
        <v>-4525.8999999999996</v>
      </c>
      <c r="D3894" s="2">
        <v>45659</v>
      </c>
      <c r="E3894" t="s">
        <v>2004</v>
      </c>
      <c r="F3894">
        <v>-4525.8999999999996</v>
      </c>
      <c r="G3894">
        <v>0</v>
      </c>
    </row>
    <row r="3895" spans="1:7" x14ac:dyDescent="0.3">
      <c r="A3895" s="2">
        <v>45659</v>
      </c>
      <c r="B3895" t="s">
        <v>2219</v>
      </c>
      <c r="C3895">
        <v>-78.39</v>
      </c>
      <c r="D3895" s="2">
        <v>45659</v>
      </c>
      <c r="E3895" t="s">
        <v>2004</v>
      </c>
      <c r="F3895">
        <v>-78.39</v>
      </c>
      <c r="G3895">
        <v>0</v>
      </c>
    </row>
    <row r="3896" spans="1:7" x14ac:dyDescent="0.3">
      <c r="A3896" s="2">
        <v>45659</v>
      </c>
      <c r="B3896" t="s">
        <v>2218</v>
      </c>
      <c r="C3896">
        <v>-34</v>
      </c>
      <c r="D3896" s="2">
        <v>45659</v>
      </c>
      <c r="E3896" t="s">
        <v>2004</v>
      </c>
      <c r="F3896">
        <v>-34</v>
      </c>
      <c r="G3896">
        <v>0</v>
      </c>
    </row>
    <row r="3897" spans="1:7" x14ac:dyDescent="0.3">
      <c r="A3897" s="2">
        <v>45659</v>
      </c>
      <c r="B3897" t="s">
        <v>2714</v>
      </c>
      <c r="C3897">
        <v>15701.25</v>
      </c>
      <c r="D3897" s="2">
        <v>45657</v>
      </c>
      <c r="E3897" t="s">
        <v>25</v>
      </c>
      <c r="F3897">
        <v>15701.25</v>
      </c>
      <c r="G3897">
        <v>0</v>
      </c>
    </row>
    <row r="3898" spans="1:7" x14ac:dyDescent="0.3">
      <c r="A3898" s="2">
        <v>45659</v>
      </c>
      <c r="B3898" t="s">
        <v>2715</v>
      </c>
      <c r="C3898">
        <v>20400</v>
      </c>
      <c r="D3898" s="2">
        <v>45658</v>
      </c>
      <c r="E3898" t="s">
        <v>25</v>
      </c>
      <c r="F3898">
        <v>20400</v>
      </c>
      <c r="G3898">
        <v>0</v>
      </c>
    </row>
    <row r="3899" spans="1:7" x14ac:dyDescent="0.3">
      <c r="A3899" s="2">
        <v>45660</v>
      </c>
      <c r="B3899" t="s">
        <v>2224</v>
      </c>
      <c r="C3899">
        <v>-170.94</v>
      </c>
      <c r="D3899" s="2">
        <v>45660</v>
      </c>
      <c r="E3899" t="s">
        <v>2004</v>
      </c>
      <c r="F3899">
        <v>-170.94</v>
      </c>
      <c r="G3899">
        <v>0</v>
      </c>
    </row>
    <row r="3900" spans="1:7" x14ac:dyDescent="0.3">
      <c r="A3900" s="2">
        <v>45660</v>
      </c>
      <c r="B3900" t="s">
        <v>2716</v>
      </c>
      <c r="C3900">
        <v>3075</v>
      </c>
      <c r="D3900" s="2">
        <v>45659</v>
      </c>
      <c r="E3900" t="s">
        <v>25</v>
      </c>
      <c r="F3900">
        <v>3075</v>
      </c>
      <c r="G3900">
        <v>0</v>
      </c>
    </row>
    <row r="3901" spans="1:7" x14ac:dyDescent="0.3">
      <c r="A3901" s="2">
        <v>45660</v>
      </c>
      <c r="B3901" t="s">
        <v>2053</v>
      </c>
      <c r="C3901">
        <v>5500</v>
      </c>
      <c r="D3901" s="2">
        <v>45660</v>
      </c>
      <c r="E3901" t="s">
        <v>25</v>
      </c>
      <c r="F3901">
        <v>5500</v>
      </c>
      <c r="G3901">
        <v>0</v>
      </c>
    </row>
    <row r="3902" spans="1:7" x14ac:dyDescent="0.3">
      <c r="A3902" s="2">
        <v>45660</v>
      </c>
      <c r="B3902" t="s">
        <v>2053</v>
      </c>
      <c r="C3902">
        <v>7300</v>
      </c>
      <c r="D3902" s="2">
        <v>45660</v>
      </c>
      <c r="E3902" t="s">
        <v>25</v>
      </c>
      <c r="F3902">
        <v>7300</v>
      </c>
      <c r="G3902">
        <v>0</v>
      </c>
    </row>
    <row r="3903" spans="1:7" x14ac:dyDescent="0.3">
      <c r="A3903" s="2">
        <v>45663</v>
      </c>
      <c r="B3903" t="s">
        <v>2717</v>
      </c>
      <c r="C3903">
        <v>-68</v>
      </c>
      <c r="D3903" s="2">
        <v>45663</v>
      </c>
      <c r="E3903" t="s">
        <v>2004</v>
      </c>
      <c r="F3903">
        <v>-68</v>
      </c>
      <c r="G3903">
        <v>0</v>
      </c>
    </row>
    <row r="3904" spans="1:7" x14ac:dyDescent="0.3">
      <c r="A3904" s="2">
        <v>45663</v>
      </c>
      <c r="B3904" t="s">
        <v>2718</v>
      </c>
      <c r="C3904">
        <v>8655</v>
      </c>
      <c r="D3904" s="2">
        <v>45662</v>
      </c>
      <c r="E3904" t="s">
        <v>25</v>
      </c>
      <c r="F3904">
        <v>8655</v>
      </c>
      <c r="G3904">
        <v>0</v>
      </c>
    </row>
    <row r="3905" spans="1:7" x14ac:dyDescent="0.3">
      <c r="A3905" s="2">
        <v>45664</v>
      </c>
      <c r="B3905" t="s">
        <v>2719</v>
      </c>
      <c r="C3905">
        <v>-19.899999999999999</v>
      </c>
      <c r="D3905" s="2">
        <v>45664</v>
      </c>
      <c r="E3905" t="s">
        <v>2004</v>
      </c>
      <c r="F3905">
        <v>-19.899999999999999</v>
      </c>
      <c r="G3905">
        <v>0</v>
      </c>
    </row>
    <row r="3906" spans="1:7" x14ac:dyDescent="0.3">
      <c r="A3906" s="2">
        <v>45664</v>
      </c>
      <c r="B3906" t="s">
        <v>2720</v>
      </c>
      <c r="C3906">
        <v>5920</v>
      </c>
      <c r="D3906" s="2">
        <v>45663</v>
      </c>
      <c r="E3906" t="s">
        <v>25</v>
      </c>
      <c r="F3906">
        <v>5920</v>
      </c>
      <c r="G3906">
        <v>0</v>
      </c>
    </row>
    <row r="3907" spans="1:7" x14ac:dyDescent="0.3">
      <c r="A3907" s="2">
        <v>45665</v>
      </c>
      <c r="B3907" t="s">
        <v>2721</v>
      </c>
      <c r="C3907">
        <v>14430</v>
      </c>
      <c r="D3907" s="2">
        <v>45664</v>
      </c>
      <c r="E3907" t="s">
        <v>25</v>
      </c>
      <c r="F3907">
        <v>14430</v>
      </c>
      <c r="G3907">
        <v>0</v>
      </c>
    </row>
    <row r="3908" spans="1:7" x14ac:dyDescent="0.3">
      <c r="A3908" s="2">
        <v>45666</v>
      </c>
      <c r="B3908" t="s">
        <v>2722</v>
      </c>
      <c r="C3908">
        <v>5500</v>
      </c>
      <c r="D3908" s="2">
        <v>45666</v>
      </c>
      <c r="E3908" t="s">
        <v>25</v>
      </c>
      <c r="F3908">
        <v>5500</v>
      </c>
      <c r="G3908">
        <v>0</v>
      </c>
    </row>
    <row r="3909" spans="1:7" x14ac:dyDescent="0.3">
      <c r="A3909" s="2">
        <v>45666</v>
      </c>
      <c r="B3909" t="s">
        <v>2723</v>
      </c>
      <c r="C3909">
        <v>8275</v>
      </c>
      <c r="D3909" s="2">
        <v>45665</v>
      </c>
      <c r="E3909" t="s">
        <v>25</v>
      </c>
      <c r="F3909">
        <v>8275</v>
      </c>
      <c r="G3909">
        <v>0</v>
      </c>
    </row>
    <row r="3910" spans="1:7" x14ac:dyDescent="0.3">
      <c r="A3910" s="2">
        <v>45667</v>
      </c>
      <c r="B3910" t="s">
        <v>2233</v>
      </c>
      <c r="C3910">
        <v>-255.86</v>
      </c>
      <c r="D3910" s="2">
        <v>45667</v>
      </c>
      <c r="E3910" t="s">
        <v>2004</v>
      </c>
      <c r="F3910">
        <v>-255.86</v>
      </c>
      <c r="G3910">
        <v>0</v>
      </c>
    </row>
    <row r="3911" spans="1:7" x14ac:dyDescent="0.3">
      <c r="A3911" s="2">
        <v>45667</v>
      </c>
      <c r="B3911" t="s">
        <v>2724</v>
      </c>
      <c r="C3911">
        <v>3585</v>
      </c>
      <c r="D3911" s="2">
        <v>45666</v>
      </c>
      <c r="E3911" t="s">
        <v>25</v>
      </c>
      <c r="F3911">
        <v>3585</v>
      </c>
      <c r="G3911">
        <v>0</v>
      </c>
    </row>
    <row r="3912" spans="1:7" x14ac:dyDescent="0.3">
      <c r="A3912" s="2">
        <v>45670</v>
      </c>
      <c r="B3912" t="s">
        <v>2725</v>
      </c>
      <c r="C3912">
        <v>5465</v>
      </c>
      <c r="D3912" s="2">
        <v>45668</v>
      </c>
      <c r="E3912" t="s">
        <v>25</v>
      </c>
      <c r="F3912">
        <v>5465</v>
      </c>
      <c r="G3912">
        <v>0</v>
      </c>
    </row>
    <row r="3913" spans="1:7" x14ac:dyDescent="0.3">
      <c r="A3913" s="2">
        <v>45670</v>
      </c>
      <c r="B3913" t="s">
        <v>2726</v>
      </c>
      <c r="C3913">
        <v>6295</v>
      </c>
      <c r="D3913" s="2">
        <v>45669</v>
      </c>
      <c r="E3913" t="s">
        <v>25</v>
      </c>
      <c r="F3913">
        <v>6295</v>
      </c>
      <c r="G3913">
        <v>0</v>
      </c>
    </row>
    <row r="3914" spans="1:7" x14ac:dyDescent="0.3">
      <c r="A3914" s="2">
        <v>45670</v>
      </c>
      <c r="B3914" t="s">
        <v>2727</v>
      </c>
      <c r="C3914">
        <v>7920</v>
      </c>
      <c r="D3914" s="2">
        <v>45667</v>
      </c>
      <c r="E3914" t="s">
        <v>25</v>
      </c>
      <c r="F3914">
        <v>7920</v>
      </c>
      <c r="G3914">
        <v>0</v>
      </c>
    </row>
    <row r="3915" spans="1:7" x14ac:dyDescent="0.3">
      <c r="A3915" s="2">
        <v>45671</v>
      </c>
      <c r="B3915" t="s">
        <v>2728</v>
      </c>
      <c r="C3915">
        <v>1375</v>
      </c>
      <c r="D3915" s="2">
        <v>45671</v>
      </c>
      <c r="E3915" t="s">
        <v>25</v>
      </c>
      <c r="F3915">
        <v>1375</v>
      </c>
      <c r="G3915">
        <v>0</v>
      </c>
    </row>
    <row r="3916" spans="1:7" x14ac:dyDescent="0.3">
      <c r="A3916" s="2">
        <v>45671</v>
      </c>
      <c r="B3916" t="s">
        <v>2729</v>
      </c>
      <c r="C3916">
        <v>2060</v>
      </c>
      <c r="D3916" s="2">
        <v>45670</v>
      </c>
      <c r="E3916" t="s">
        <v>25</v>
      </c>
      <c r="F3916">
        <v>2060</v>
      </c>
      <c r="G3916">
        <v>0</v>
      </c>
    </row>
    <row r="3917" spans="1:7" x14ac:dyDescent="0.3">
      <c r="A3917" s="2">
        <v>45672</v>
      </c>
      <c r="B3917" t="s">
        <v>2730</v>
      </c>
      <c r="C3917">
        <v>-91.96</v>
      </c>
      <c r="D3917" s="2">
        <v>45672</v>
      </c>
      <c r="E3917" t="s">
        <v>2004</v>
      </c>
      <c r="F3917">
        <v>-91.96</v>
      </c>
      <c r="G3917">
        <v>0</v>
      </c>
    </row>
    <row r="3918" spans="1:7" x14ac:dyDescent="0.3">
      <c r="A3918" s="2">
        <v>45672</v>
      </c>
      <c r="B3918" t="s">
        <v>2731</v>
      </c>
      <c r="C3918">
        <v>4790</v>
      </c>
      <c r="D3918" s="2">
        <v>45671</v>
      </c>
      <c r="E3918" t="s">
        <v>25</v>
      </c>
      <c r="F3918">
        <v>4790</v>
      </c>
      <c r="G3918">
        <v>0</v>
      </c>
    </row>
    <row r="3919" spans="1:7" x14ac:dyDescent="0.3">
      <c r="A3919" s="2">
        <v>45673</v>
      </c>
      <c r="B3919" t="s">
        <v>2732</v>
      </c>
      <c r="C3919">
        <v>-16.37</v>
      </c>
      <c r="D3919" s="2">
        <v>45673</v>
      </c>
      <c r="E3919" t="s">
        <v>2004</v>
      </c>
      <c r="F3919">
        <v>-16.37</v>
      </c>
      <c r="G3919">
        <v>0</v>
      </c>
    </row>
    <row r="3920" spans="1:7" x14ac:dyDescent="0.3">
      <c r="A3920" s="2">
        <v>45673</v>
      </c>
      <c r="B3920" t="s">
        <v>2733</v>
      </c>
      <c r="C3920">
        <v>6655</v>
      </c>
      <c r="D3920" s="2">
        <v>45672</v>
      </c>
      <c r="E3920" t="s">
        <v>25</v>
      </c>
      <c r="F3920">
        <v>6655</v>
      </c>
      <c r="G3920">
        <v>0</v>
      </c>
    </row>
    <row r="3921" spans="1:7" x14ac:dyDescent="0.3">
      <c r="A3921" s="2">
        <v>45674</v>
      </c>
      <c r="B3921" t="s">
        <v>2734</v>
      </c>
      <c r="C3921">
        <v>-3641.1</v>
      </c>
      <c r="D3921" s="2">
        <v>45674</v>
      </c>
      <c r="E3921" t="s">
        <v>2004</v>
      </c>
      <c r="F3921">
        <v>-3641.1</v>
      </c>
      <c r="G3921">
        <v>0</v>
      </c>
    </row>
    <row r="3922" spans="1:7" x14ac:dyDescent="0.3">
      <c r="A3922" s="2">
        <v>45674</v>
      </c>
      <c r="B3922" t="s">
        <v>2735</v>
      </c>
      <c r="C3922">
        <v>-10.88</v>
      </c>
      <c r="D3922" s="2">
        <v>45674</v>
      </c>
      <c r="E3922" t="s">
        <v>2004</v>
      </c>
      <c r="F3922">
        <v>-10.88</v>
      </c>
      <c r="G3922">
        <v>0</v>
      </c>
    </row>
    <row r="3923" spans="1:7" x14ac:dyDescent="0.3">
      <c r="A3923" s="2">
        <v>45674</v>
      </c>
      <c r="B3923" t="s">
        <v>2736</v>
      </c>
      <c r="C3923">
        <v>3920</v>
      </c>
      <c r="D3923" s="2">
        <v>45673</v>
      </c>
      <c r="E3923" t="s">
        <v>25</v>
      </c>
      <c r="F3923">
        <v>3920</v>
      </c>
      <c r="G3923">
        <v>0</v>
      </c>
    </row>
    <row r="3924" spans="1:7" x14ac:dyDescent="0.3">
      <c r="A3924" s="2">
        <v>45678</v>
      </c>
      <c r="B3924" t="s">
        <v>2737</v>
      </c>
      <c r="C3924">
        <v>-200</v>
      </c>
      <c r="D3924" s="2">
        <v>45678</v>
      </c>
      <c r="E3924" t="s">
        <v>2004</v>
      </c>
      <c r="F3924">
        <v>-200</v>
      </c>
      <c r="G3924">
        <v>0</v>
      </c>
    </row>
    <row r="3925" spans="1:7" x14ac:dyDescent="0.3">
      <c r="A3925" s="2">
        <v>45678</v>
      </c>
      <c r="B3925" t="s">
        <v>2738</v>
      </c>
      <c r="C3925">
        <v>-24.07</v>
      </c>
      <c r="D3925" s="2">
        <v>45678</v>
      </c>
      <c r="E3925" t="s">
        <v>2004</v>
      </c>
      <c r="F3925">
        <v>-24.07</v>
      </c>
      <c r="G3925">
        <v>0</v>
      </c>
    </row>
    <row r="3926" spans="1:7" x14ac:dyDescent="0.3">
      <c r="A3926" s="2">
        <v>45678</v>
      </c>
      <c r="B3926" t="s">
        <v>2739</v>
      </c>
      <c r="C3926">
        <v>5285</v>
      </c>
      <c r="D3926" s="2">
        <v>45677</v>
      </c>
      <c r="E3926" t="s">
        <v>25</v>
      </c>
      <c r="F3926">
        <v>5285</v>
      </c>
      <c r="G3926">
        <v>0</v>
      </c>
    </row>
    <row r="3927" spans="1:7" x14ac:dyDescent="0.3">
      <c r="A3927" s="2">
        <v>45678</v>
      </c>
      <c r="B3927" t="s">
        <v>2740</v>
      </c>
      <c r="C3927">
        <v>5500</v>
      </c>
      <c r="D3927" s="2">
        <v>45678</v>
      </c>
      <c r="E3927" t="s">
        <v>25</v>
      </c>
      <c r="F3927">
        <v>5500</v>
      </c>
      <c r="G3927">
        <v>0</v>
      </c>
    </row>
    <row r="3928" spans="1:7" x14ac:dyDescent="0.3">
      <c r="A3928" s="2">
        <v>45678</v>
      </c>
      <c r="B3928" t="s">
        <v>2741</v>
      </c>
      <c r="C3928">
        <v>6630</v>
      </c>
      <c r="D3928" s="2">
        <v>45676</v>
      </c>
      <c r="E3928" t="s">
        <v>25</v>
      </c>
      <c r="F3928">
        <v>6630</v>
      </c>
      <c r="G3928">
        <v>0</v>
      </c>
    </row>
    <row r="3929" spans="1:7" x14ac:dyDescent="0.3">
      <c r="A3929" s="2">
        <v>45678</v>
      </c>
      <c r="B3929" t="s">
        <v>2053</v>
      </c>
      <c r="C3929">
        <v>50</v>
      </c>
      <c r="D3929" s="2">
        <v>45678</v>
      </c>
      <c r="E3929" t="s">
        <v>25</v>
      </c>
      <c r="F3929">
        <v>50</v>
      </c>
      <c r="G3929">
        <v>0</v>
      </c>
    </row>
    <row r="3930" spans="1:7" x14ac:dyDescent="0.3">
      <c r="A3930" s="2">
        <v>45678</v>
      </c>
      <c r="B3930" t="s">
        <v>2053</v>
      </c>
      <c r="C3930">
        <v>2640</v>
      </c>
      <c r="D3930" s="2">
        <v>45678</v>
      </c>
      <c r="E3930" t="s">
        <v>25</v>
      </c>
      <c r="F3930">
        <v>2640</v>
      </c>
      <c r="G3930">
        <v>0</v>
      </c>
    </row>
    <row r="3931" spans="1:7" x14ac:dyDescent="0.3">
      <c r="A3931" s="2">
        <v>45678</v>
      </c>
      <c r="B3931" t="s">
        <v>2053</v>
      </c>
      <c r="C3931">
        <v>4000</v>
      </c>
      <c r="D3931" s="2">
        <v>45678</v>
      </c>
      <c r="E3931" t="s">
        <v>25</v>
      </c>
      <c r="F3931">
        <v>4000</v>
      </c>
      <c r="G3931">
        <v>0</v>
      </c>
    </row>
    <row r="3932" spans="1:7" x14ac:dyDescent="0.3">
      <c r="A3932" s="2">
        <v>45678</v>
      </c>
      <c r="B3932" t="s">
        <v>2053</v>
      </c>
      <c r="C3932">
        <v>7300</v>
      </c>
      <c r="D3932" s="2">
        <v>45678</v>
      </c>
      <c r="E3932" t="s">
        <v>25</v>
      </c>
      <c r="F3932">
        <v>7300</v>
      </c>
      <c r="G3932">
        <v>0</v>
      </c>
    </row>
    <row r="3933" spans="1:7" x14ac:dyDescent="0.3">
      <c r="A3933" s="2">
        <v>45678</v>
      </c>
      <c r="B3933" t="s">
        <v>2053</v>
      </c>
      <c r="C3933">
        <v>7300</v>
      </c>
      <c r="D3933" s="2">
        <v>45678</v>
      </c>
      <c r="E3933" t="s">
        <v>25</v>
      </c>
      <c r="F3933">
        <v>7300</v>
      </c>
      <c r="G3933">
        <v>0</v>
      </c>
    </row>
    <row r="3934" spans="1:7" x14ac:dyDescent="0.3">
      <c r="A3934" s="2">
        <v>45679</v>
      </c>
      <c r="B3934" t="s">
        <v>2742</v>
      </c>
      <c r="C3934">
        <v>5565</v>
      </c>
      <c r="D3934" s="2">
        <v>45678</v>
      </c>
      <c r="E3934" t="s">
        <v>25</v>
      </c>
      <c r="F3934">
        <v>5565</v>
      </c>
      <c r="G3934">
        <v>0</v>
      </c>
    </row>
    <row r="3935" spans="1:7" x14ac:dyDescent="0.3">
      <c r="A3935" s="2">
        <v>45680</v>
      </c>
      <c r="B3935" t="s">
        <v>2743</v>
      </c>
      <c r="C3935">
        <v>5895</v>
      </c>
      <c r="D3935" s="2">
        <v>45679</v>
      </c>
      <c r="E3935" t="s">
        <v>25</v>
      </c>
      <c r="F3935">
        <v>5895</v>
      </c>
      <c r="G3935">
        <v>0</v>
      </c>
    </row>
    <row r="3936" spans="1:7" x14ac:dyDescent="0.3">
      <c r="A3936" s="2">
        <v>45681</v>
      </c>
      <c r="B3936" t="s">
        <v>2744</v>
      </c>
      <c r="C3936">
        <v>8180</v>
      </c>
      <c r="D3936" s="2">
        <v>45680</v>
      </c>
      <c r="E3936" t="s">
        <v>25</v>
      </c>
      <c r="F3936">
        <v>8180</v>
      </c>
      <c r="G3936">
        <v>0</v>
      </c>
    </row>
    <row r="3937" spans="1:7" x14ac:dyDescent="0.3">
      <c r="A3937" s="2">
        <v>45684</v>
      </c>
      <c r="B3937" t="s">
        <v>2745</v>
      </c>
      <c r="C3937">
        <v>-50</v>
      </c>
      <c r="D3937" s="2">
        <v>45684</v>
      </c>
      <c r="E3937" t="s">
        <v>2004</v>
      </c>
      <c r="F3937">
        <v>-50</v>
      </c>
      <c r="G3937">
        <v>0</v>
      </c>
    </row>
    <row r="3938" spans="1:7" x14ac:dyDescent="0.3">
      <c r="A3938" s="2">
        <v>45684</v>
      </c>
      <c r="B3938" t="s">
        <v>2746</v>
      </c>
      <c r="C3938">
        <v>3945</v>
      </c>
      <c r="D3938" s="2">
        <v>45683</v>
      </c>
      <c r="E3938" t="s">
        <v>25</v>
      </c>
      <c r="F3938">
        <v>3945</v>
      </c>
      <c r="G3938">
        <v>0</v>
      </c>
    </row>
    <row r="3939" spans="1:7" x14ac:dyDescent="0.3">
      <c r="A3939" s="2">
        <v>45684</v>
      </c>
      <c r="B3939" t="s">
        <v>2747</v>
      </c>
      <c r="C3939">
        <v>9055</v>
      </c>
      <c r="D3939" s="2">
        <v>45682</v>
      </c>
      <c r="E3939" t="s">
        <v>25</v>
      </c>
      <c r="F3939">
        <v>9055</v>
      </c>
      <c r="G3939">
        <v>0</v>
      </c>
    </row>
    <row r="3940" spans="1:7" x14ac:dyDescent="0.3">
      <c r="A3940" s="2">
        <v>45684</v>
      </c>
      <c r="B3940" t="s">
        <v>2748</v>
      </c>
      <c r="C3940">
        <v>9900</v>
      </c>
      <c r="D3940" s="2">
        <v>45681</v>
      </c>
      <c r="E3940" t="s">
        <v>25</v>
      </c>
      <c r="F3940">
        <v>9900</v>
      </c>
      <c r="G3940">
        <v>0</v>
      </c>
    </row>
    <row r="3941" spans="1:7" x14ac:dyDescent="0.3">
      <c r="A3941" s="2">
        <v>45685</v>
      </c>
      <c r="B3941" t="s">
        <v>2749</v>
      </c>
      <c r="C3941">
        <v>3225</v>
      </c>
      <c r="D3941" s="2">
        <v>45684</v>
      </c>
      <c r="E3941" t="s">
        <v>25</v>
      </c>
      <c r="F3941">
        <v>3225</v>
      </c>
      <c r="G3941">
        <v>0</v>
      </c>
    </row>
    <row r="3942" spans="1:7" x14ac:dyDescent="0.3">
      <c r="A3942" s="2">
        <v>45686</v>
      </c>
      <c r="B3942" t="s">
        <v>2750</v>
      </c>
      <c r="C3942">
        <v>15437.5</v>
      </c>
      <c r="D3942" s="2">
        <v>45685</v>
      </c>
      <c r="E3942" t="s">
        <v>25</v>
      </c>
      <c r="F3942">
        <v>15437.5</v>
      </c>
      <c r="G3942">
        <v>0</v>
      </c>
    </row>
    <row r="3943" spans="1:7" x14ac:dyDescent="0.3">
      <c r="A3943" s="2">
        <v>45687</v>
      </c>
      <c r="B3943" t="s">
        <v>2751</v>
      </c>
      <c r="C3943">
        <v>5285</v>
      </c>
      <c r="D3943" s="2">
        <v>45686</v>
      </c>
      <c r="E3943" t="s">
        <v>25</v>
      </c>
      <c r="F3943">
        <v>5285</v>
      </c>
      <c r="G3943">
        <v>0</v>
      </c>
    </row>
    <row r="3944" spans="1:7" x14ac:dyDescent="0.3">
      <c r="A3944" s="2">
        <v>45688</v>
      </c>
      <c r="B3944" t="s">
        <v>2752</v>
      </c>
      <c r="C3944">
        <v>6865</v>
      </c>
      <c r="D3944" s="2">
        <v>45687</v>
      </c>
      <c r="E3944" t="s">
        <v>25</v>
      </c>
      <c r="F3944">
        <v>6865</v>
      </c>
      <c r="G3944">
        <v>0</v>
      </c>
    </row>
    <row r="3945" spans="1:7" x14ac:dyDescent="0.3">
      <c r="A3945" s="2">
        <v>45691</v>
      </c>
      <c r="B3945" t="s">
        <v>2753</v>
      </c>
      <c r="C3945">
        <v>-12821.91</v>
      </c>
      <c r="D3945" s="2">
        <v>45691</v>
      </c>
      <c r="E3945" t="s">
        <v>2004</v>
      </c>
      <c r="F3945">
        <v>-12821.91</v>
      </c>
      <c r="G3945">
        <v>0</v>
      </c>
    </row>
    <row r="3946" spans="1:7" x14ac:dyDescent="0.3">
      <c r="A3946" s="2">
        <v>45691</v>
      </c>
      <c r="B3946" t="s">
        <v>2263</v>
      </c>
      <c r="C3946">
        <v>-170.94</v>
      </c>
      <c r="D3946" s="2">
        <v>45691</v>
      </c>
      <c r="E3946" t="s">
        <v>2004</v>
      </c>
      <c r="F3946">
        <v>-170.94</v>
      </c>
      <c r="G3946">
        <v>0</v>
      </c>
    </row>
    <row r="3947" spans="1:7" x14ac:dyDescent="0.3">
      <c r="A3947" s="2">
        <v>45691</v>
      </c>
      <c r="B3947" t="s">
        <v>2259</v>
      </c>
      <c r="C3947">
        <v>-78.39</v>
      </c>
      <c r="D3947" s="2">
        <v>45691</v>
      </c>
      <c r="E3947" t="s">
        <v>2004</v>
      </c>
      <c r="F3947">
        <v>-78.39</v>
      </c>
      <c r="G3947">
        <v>0</v>
      </c>
    </row>
    <row r="3948" spans="1:7" x14ac:dyDescent="0.3">
      <c r="A3948" s="2">
        <v>45691</v>
      </c>
      <c r="B3948" t="s">
        <v>2754</v>
      </c>
      <c r="C3948">
        <v>3550</v>
      </c>
      <c r="D3948" s="2">
        <v>45690</v>
      </c>
      <c r="E3948" t="s">
        <v>25</v>
      </c>
      <c r="F3948">
        <v>3550</v>
      </c>
      <c r="G3948">
        <v>0</v>
      </c>
    </row>
    <row r="3949" spans="1:7" x14ac:dyDescent="0.3">
      <c r="A3949" s="2">
        <v>45691</v>
      </c>
      <c r="B3949" t="s">
        <v>2755</v>
      </c>
      <c r="C3949">
        <v>7510</v>
      </c>
      <c r="D3949" s="2">
        <v>45688</v>
      </c>
      <c r="E3949" t="s">
        <v>25</v>
      </c>
      <c r="F3949">
        <v>7510</v>
      </c>
      <c r="G3949">
        <v>0</v>
      </c>
    </row>
    <row r="3950" spans="1:7" x14ac:dyDescent="0.3">
      <c r="A3950" s="2">
        <v>45691</v>
      </c>
      <c r="B3950" t="s">
        <v>2756</v>
      </c>
      <c r="C3950">
        <v>11130</v>
      </c>
      <c r="D3950" s="2">
        <v>45689</v>
      </c>
      <c r="E3950" t="s">
        <v>25</v>
      </c>
      <c r="F3950">
        <v>11130</v>
      </c>
      <c r="G3950">
        <v>0</v>
      </c>
    </row>
    <row r="3951" spans="1:7" x14ac:dyDescent="0.3">
      <c r="A3951" s="2">
        <v>45692</v>
      </c>
      <c r="B3951" t="s">
        <v>2757</v>
      </c>
      <c r="C3951">
        <v>-258.13</v>
      </c>
      <c r="D3951" s="2">
        <v>45692</v>
      </c>
      <c r="E3951" t="s">
        <v>2004</v>
      </c>
      <c r="F3951">
        <v>-258.13</v>
      </c>
      <c r="G3951">
        <v>0</v>
      </c>
    </row>
    <row r="3952" spans="1:7" x14ac:dyDescent="0.3">
      <c r="A3952" s="2">
        <v>45692</v>
      </c>
      <c r="B3952" t="s">
        <v>2758</v>
      </c>
      <c r="C3952">
        <v>3335</v>
      </c>
      <c r="D3952" s="2">
        <v>45691</v>
      </c>
      <c r="E3952" t="s">
        <v>25</v>
      </c>
      <c r="F3952">
        <v>3335</v>
      </c>
      <c r="G3952">
        <v>0</v>
      </c>
    </row>
    <row r="3953" spans="1:7" x14ac:dyDescent="0.3">
      <c r="A3953" s="2">
        <v>45693</v>
      </c>
      <c r="B3953" t="s">
        <v>2759</v>
      </c>
      <c r="C3953">
        <v>20445</v>
      </c>
      <c r="D3953" s="2">
        <v>45692</v>
      </c>
      <c r="E3953" t="s">
        <v>25</v>
      </c>
      <c r="F3953">
        <v>20445</v>
      </c>
      <c r="G3953">
        <v>0</v>
      </c>
    </row>
    <row r="3954" spans="1:7" x14ac:dyDescent="0.3">
      <c r="A3954" s="2">
        <v>45695</v>
      </c>
      <c r="B3954" t="s">
        <v>2760</v>
      </c>
      <c r="C3954">
        <v>13175</v>
      </c>
      <c r="D3954" s="2">
        <v>45694</v>
      </c>
      <c r="E3954" t="s">
        <v>25</v>
      </c>
      <c r="F3954">
        <v>13175</v>
      </c>
      <c r="G3954">
        <v>0</v>
      </c>
    </row>
    <row r="3955" spans="1:7" x14ac:dyDescent="0.3">
      <c r="A3955" s="2">
        <v>45698</v>
      </c>
      <c r="B3955" t="s">
        <v>2271</v>
      </c>
      <c r="C3955">
        <v>-255.86</v>
      </c>
      <c r="D3955" s="2">
        <v>45698</v>
      </c>
      <c r="E3955" t="s">
        <v>2004</v>
      </c>
      <c r="F3955">
        <v>-255.86</v>
      </c>
      <c r="G3955">
        <v>0</v>
      </c>
    </row>
    <row r="3956" spans="1:7" x14ac:dyDescent="0.3">
      <c r="A3956" s="2">
        <v>45698</v>
      </c>
      <c r="B3956" t="s">
        <v>2761</v>
      </c>
      <c r="C3956">
        <v>2835</v>
      </c>
      <c r="D3956" s="2">
        <v>45697</v>
      </c>
      <c r="E3956" t="s">
        <v>25</v>
      </c>
      <c r="F3956">
        <v>2835</v>
      </c>
      <c r="G3956">
        <v>0</v>
      </c>
    </row>
    <row r="3957" spans="1:7" x14ac:dyDescent="0.3">
      <c r="A3957" s="2">
        <v>45699</v>
      </c>
      <c r="B3957" t="s">
        <v>2762</v>
      </c>
      <c r="C3957">
        <v>4655</v>
      </c>
      <c r="D3957" s="2">
        <v>45698</v>
      </c>
      <c r="E3957" t="s">
        <v>25</v>
      </c>
      <c r="F3957">
        <v>4655</v>
      </c>
      <c r="G3957">
        <v>0</v>
      </c>
    </row>
    <row r="3958" spans="1:7" x14ac:dyDescent="0.3">
      <c r="A3958" s="2">
        <v>45700</v>
      </c>
      <c r="B3958" t="s">
        <v>2763</v>
      </c>
      <c r="C3958">
        <v>2775</v>
      </c>
      <c r="D3958" s="2">
        <v>45699</v>
      </c>
      <c r="E3958" t="s">
        <v>25</v>
      </c>
      <c r="F3958">
        <v>2775</v>
      </c>
      <c r="G3958">
        <v>0</v>
      </c>
    </row>
    <row r="3959" spans="1:7" x14ac:dyDescent="0.3">
      <c r="A3959" s="2">
        <v>45701</v>
      </c>
      <c r="B3959" t="s">
        <v>2764</v>
      </c>
      <c r="C3959">
        <v>-21.9</v>
      </c>
      <c r="D3959" s="2">
        <v>45701</v>
      </c>
      <c r="E3959" t="s">
        <v>2004</v>
      </c>
      <c r="F3959">
        <v>-21.9</v>
      </c>
      <c r="G3959">
        <v>0</v>
      </c>
    </row>
    <row r="3960" spans="1:7" x14ac:dyDescent="0.3">
      <c r="A3960" s="2">
        <v>45701</v>
      </c>
      <c r="B3960" t="s">
        <v>2765</v>
      </c>
      <c r="C3960">
        <v>-58.3</v>
      </c>
      <c r="D3960" s="2">
        <v>45701</v>
      </c>
      <c r="E3960" t="s">
        <v>2004</v>
      </c>
      <c r="F3960">
        <v>-58.3</v>
      </c>
      <c r="G3960">
        <v>0</v>
      </c>
    </row>
    <row r="3961" spans="1:7" x14ac:dyDescent="0.3">
      <c r="A3961" s="2">
        <v>45701</v>
      </c>
      <c r="B3961" t="s">
        <v>2766</v>
      </c>
      <c r="C3961">
        <v>1330</v>
      </c>
      <c r="D3961" s="2">
        <v>45700</v>
      </c>
      <c r="E3961" t="s">
        <v>25</v>
      </c>
      <c r="F3961">
        <v>1330</v>
      </c>
      <c r="G3961">
        <v>0</v>
      </c>
    </row>
    <row r="3962" spans="1:7" x14ac:dyDescent="0.3">
      <c r="A3962" s="2">
        <v>45702</v>
      </c>
      <c r="B3962" t="s">
        <v>2767</v>
      </c>
      <c r="C3962">
        <v>-13600</v>
      </c>
      <c r="D3962" s="2">
        <v>45703</v>
      </c>
      <c r="E3962" t="s">
        <v>2004</v>
      </c>
      <c r="F3962">
        <v>-13600</v>
      </c>
      <c r="G3962">
        <v>0</v>
      </c>
    </row>
    <row r="3963" spans="1:7" x14ac:dyDescent="0.3">
      <c r="A3963" s="2">
        <v>45702</v>
      </c>
      <c r="B3963" t="s">
        <v>2768</v>
      </c>
      <c r="C3963">
        <v>-119.88</v>
      </c>
      <c r="D3963" s="2">
        <v>45702</v>
      </c>
      <c r="E3963" t="s">
        <v>2004</v>
      </c>
      <c r="F3963">
        <v>-119.88</v>
      </c>
      <c r="G3963">
        <v>0</v>
      </c>
    </row>
    <row r="3964" spans="1:7" x14ac:dyDescent="0.3">
      <c r="A3964" s="2">
        <v>45702</v>
      </c>
      <c r="B3964" t="s">
        <v>2769</v>
      </c>
      <c r="C3964">
        <v>2690</v>
      </c>
      <c r="D3964" s="2">
        <v>45701</v>
      </c>
      <c r="E3964" t="s">
        <v>25</v>
      </c>
      <c r="F3964">
        <v>2690</v>
      </c>
      <c r="G3964">
        <v>0</v>
      </c>
    </row>
    <row r="3965" spans="1:7" x14ac:dyDescent="0.3">
      <c r="A3965" s="2">
        <v>45706</v>
      </c>
      <c r="B3965" t="s">
        <v>2770</v>
      </c>
      <c r="C3965">
        <v>-530.51</v>
      </c>
      <c r="D3965" s="2">
        <v>45706</v>
      </c>
      <c r="E3965" t="s">
        <v>2004</v>
      </c>
      <c r="F3965">
        <v>-530.51</v>
      </c>
      <c r="G3965">
        <v>0</v>
      </c>
    </row>
    <row r="3966" spans="1:7" x14ac:dyDescent="0.3">
      <c r="A3966" s="2">
        <v>45706</v>
      </c>
      <c r="B3966" t="s">
        <v>2771</v>
      </c>
      <c r="C3966">
        <v>-10.88</v>
      </c>
      <c r="D3966" s="2">
        <v>45706</v>
      </c>
      <c r="E3966" t="s">
        <v>2004</v>
      </c>
      <c r="F3966">
        <v>-10.88</v>
      </c>
      <c r="G3966">
        <v>0</v>
      </c>
    </row>
    <row r="3967" spans="1:7" x14ac:dyDescent="0.3">
      <c r="A3967" s="2">
        <v>45706</v>
      </c>
      <c r="B3967" t="s">
        <v>2772</v>
      </c>
      <c r="C3967">
        <v>-16.37</v>
      </c>
      <c r="D3967" s="2">
        <v>45706</v>
      </c>
      <c r="E3967" t="s">
        <v>2004</v>
      </c>
      <c r="F3967">
        <v>-16.37</v>
      </c>
      <c r="G3967">
        <v>0</v>
      </c>
    </row>
    <row r="3968" spans="1:7" x14ac:dyDescent="0.3">
      <c r="A3968" s="2">
        <v>45706</v>
      </c>
      <c r="B3968" t="s">
        <v>2773</v>
      </c>
      <c r="C3968">
        <v>-1723.5</v>
      </c>
      <c r="D3968" s="2">
        <v>45706</v>
      </c>
      <c r="E3968" t="s">
        <v>2004</v>
      </c>
      <c r="F3968">
        <v>-1723.5</v>
      </c>
      <c r="G3968">
        <v>0</v>
      </c>
    </row>
    <row r="3969" spans="1:7" x14ac:dyDescent="0.3">
      <c r="A3969" s="2">
        <v>45706</v>
      </c>
      <c r="B3969" t="s">
        <v>2774</v>
      </c>
      <c r="C3969">
        <v>-1247.79</v>
      </c>
      <c r="D3969" s="2">
        <v>45706</v>
      </c>
      <c r="E3969" t="s">
        <v>2004</v>
      </c>
      <c r="F3969">
        <v>-1247.79</v>
      </c>
      <c r="G3969">
        <v>0</v>
      </c>
    </row>
    <row r="3970" spans="1:7" x14ac:dyDescent="0.3">
      <c r="A3970" s="2">
        <v>45706</v>
      </c>
      <c r="B3970" t="s">
        <v>2775</v>
      </c>
      <c r="C3970">
        <v>685</v>
      </c>
      <c r="D3970" s="2">
        <v>45704</v>
      </c>
      <c r="E3970" t="s">
        <v>25</v>
      </c>
      <c r="F3970">
        <v>685</v>
      </c>
      <c r="G3970">
        <v>0</v>
      </c>
    </row>
    <row r="3971" spans="1:7" x14ac:dyDescent="0.3">
      <c r="A3971" s="2">
        <v>45706</v>
      </c>
      <c r="B3971" t="s">
        <v>2776</v>
      </c>
      <c r="C3971">
        <v>1100</v>
      </c>
      <c r="D3971" s="2">
        <v>45703</v>
      </c>
      <c r="E3971" t="s">
        <v>25</v>
      </c>
      <c r="F3971">
        <v>1100</v>
      </c>
      <c r="G3971">
        <v>0</v>
      </c>
    </row>
    <row r="3972" spans="1:7" x14ac:dyDescent="0.3">
      <c r="A3972" s="2">
        <v>45706</v>
      </c>
      <c r="B3972" t="s">
        <v>2777</v>
      </c>
      <c r="C3972">
        <v>2700</v>
      </c>
      <c r="D3972" s="2">
        <v>45705</v>
      </c>
      <c r="E3972" t="s">
        <v>25</v>
      </c>
      <c r="F3972">
        <v>2700</v>
      </c>
      <c r="G3972">
        <v>0</v>
      </c>
    </row>
    <row r="3973" spans="1:7" x14ac:dyDescent="0.3">
      <c r="A3973" s="2">
        <v>45707</v>
      </c>
      <c r="B3973" t="s">
        <v>2778</v>
      </c>
      <c r="C3973">
        <v>2705</v>
      </c>
      <c r="D3973" s="2">
        <v>45706</v>
      </c>
      <c r="E3973" t="s">
        <v>25</v>
      </c>
      <c r="F3973">
        <v>2705</v>
      </c>
      <c r="G3973">
        <v>0</v>
      </c>
    </row>
    <row r="3974" spans="1:7" x14ac:dyDescent="0.3">
      <c r="A3974" s="2">
        <v>45708</v>
      </c>
      <c r="B3974" t="s">
        <v>2779</v>
      </c>
      <c r="C3974">
        <v>-97.98</v>
      </c>
      <c r="D3974" s="2">
        <v>45708</v>
      </c>
      <c r="E3974" t="s">
        <v>2004</v>
      </c>
      <c r="F3974">
        <v>-97.98</v>
      </c>
      <c r="G3974">
        <v>0</v>
      </c>
    </row>
    <row r="3975" spans="1:7" x14ac:dyDescent="0.3">
      <c r="A3975" s="2">
        <v>45708</v>
      </c>
      <c r="B3975" t="s">
        <v>2780</v>
      </c>
      <c r="C3975">
        <v>1120</v>
      </c>
      <c r="D3975" s="2">
        <v>45707</v>
      </c>
      <c r="E3975" t="s">
        <v>25</v>
      </c>
      <c r="F3975">
        <v>1120</v>
      </c>
      <c r="G3975">
        <v>0</v>
      </c>
    </row>
    <row r="3976" spans="1:7" x14ac:dyDescent="0.3">
      <c r="A3976" s="2">
        <v>45708</v>
      </c>
      <c r="B3976" t="s">
        <v>2053</v>
      </c>
      <c r="C3976">
        <v>5800</v>
      </c>
      <c r="D3976" s="2">
        <v>45708</v>
      </c>
      <c r="E3976" t="s">
        <v>25</v>
      </c>
      <c r="F3976">
        <v>5800</v>
      </c>
      <c r="G3976">
        <v>0</v>
      </c>
    </row>
    <row r="3977" spans="1:7" x14ac:dyDescent="0.3">
      <c r="A3977" s="2">
        <v>45709</v>
      </c>
      <c r="B3977" t="s">
        <v>2781</v>
      </c>
      <c r="C3977">
        <v>660</v>
      </c>
      <c r="D3977" s="2">
        <v>45708</v>
      </c>
      <c r="E3977" t="s">
        <v>25</v>
      </c>
      <c r="F3977">
        <v>660</v>
      </c>
      <c r="G3977">
        <v>0</v>
      </c>
    </row>
    <row r="3978" spans="1:7" x14ac:dyDescent="0.3">
      <c r="A3978" s="2">
        <v>45712</v>
      </c>
      <c r="B3978" t="s">
        <v>2782</v>
      </c>
      <c r="C3978">
        <v>-87.1</v>
      </c>
      <c r="D3978" s="2">
        <v>45712</v>
      </c>
      <c r="E3978" t="s">
        <v>2004</v>
      </c>
      <c r="F3978">
        <v>-87.1</v>
      </c>
      <c r="G3978">
        <v>0</v>
      </c>
    </row>
    <row r="3979" spans="1:7" x14ac:dyDescent="0.3">
      <c r="A3979" s="2">
        <v>45712</v>
      </c>
      <c r="B3979" t="s">
        <v>2783</v>
      </c>
      <c r="C3979">
        <v>-152.43</v>
      </c>
      <c r="D3979" s="2">
        <v>45712</v>
      </c>
      <c r="E3979" t="s">
        <v>2004</v>
      </c>
      <c r="F3979">
        <v>-152.43</v>
      </c>
      <c r="G3979">
        <v>0</v>
      </c>
    </row>
    <row r="3980" spans="1:7" x14ac:dyDescent="0.3">
      <c r="A3980" s="2">
        <v>45712</v>
      </c>
      <c r="B3980" t="s">
        <v>2784</v>
      </c>
      <c r="C3980">
        <v>-5379.51</v>
      </c>
      <c r="D3980" s="2">
        <v>45712</v>
      </c>
      <c r="E3980" t="s">
        <v>2004</v>
      </c>
      <c r="F3980">
        <v>-5379.51</v>
      </c>
      <c r="G3980">
        <v>0</v>
      </c>
    </row>
    <row r="3981" spans="1:7" x14ac:dyDescent="0.3">
      <c r="A3981" s="2">
        <v>45712</v>
      </c>
      <c r="B3981" t="s">
        <v>2785</v>
      </c>
      <c r="C3981">
        <v>1175</v>
      </c>
      <c r="D3981" s="2">
        <v>45710</v>
      </c>
      <c r="E3981" t="s">
        <v>25</v>
      </c>
      <c r="F3981">
        <v>1175</v>
      </c>
      <c r="G3981">
        <v>0</v>
      </c>
    </row>
    <row r="3982" spans="1:7" x14ac:dyDescent="0.3">
      <c r="A3982" s="2">
        <v>45712</v>
      </c>
      <c r="B3982" t="s">
        <v>2786</v>
      </c>
      <c r="C3982">
        <v>2120</v>
      </c>
      <c r="D3982" s="2">
        <v>45711</v>
      </c>
      <c r="E3982" t="s">
        <v>25</v>
      </c>
      <c r="F3982">
        <v>2120</v>
      </c>
      <c r="G3982">
        <v>0</v>
      </c>
    </row>
    <row r="3983" spans="1:7" x14ac:dyDescent="0.3">
      <c r="A3983" s="2">
        <v>45713</v>
      </c>
      <c r="B3983" t="s">
        <v>2787</v>
      </c>
      <c r="C3983">
        <v>2785</v>
      </c>
      <c r="D3983" s="2">
        <v>45712</v>
      </c>
      <c r="E3983" t="s">
        <v>25</v>
      </c>
      <c r="F3983">
        <v>2785</v>
      </c>
      <c r="G3983">
        <v>0</v>
      </c>
    </row>
    <row r="3984" spans="1:7" x14ac:dyDescent="0.3">
      <c r="A3984" s="2">
        <v>45714</v>
      </c>
      <c r="B3984" t="s">
        <v>2788</v>
      </c>
      <c r="C3984">
        <v>-50516.97</v>
      </c>
      <c r="D3984" s="2">
        <v>45714</v>
      </c>
      <c r="E3984" t="s">
        <v>2004</v>
      </c>
      <c r="F3984">
        <v>-50516.97</v>
      </c>
      <c r="G3984">
        <v>0</v>
      </c>
    </row>
    <row r="3985" spans="1:7" x14ac:dyDescent="0.3">
      <c r="A3985" s="2">
        <v>45714</v>
      </c>
      <c r="B3985" t="s">
        <v>2789</v>
      </c>
      <c r="C3985">
        <v>-2089.7399999999998</v>
      </c>
      <c r="D3985" s="2">
        <v>45714</v>
      </c>
      <c r="E3985" t="s">
        <v>2004</v>
      </c>
      <c r="F3985">
        <v>-2089.7399999999998</v>
      </c>
      <c r="G3985">
        <v>0</v>
      </c>
    </row>
    <row r="3986" spans="1:7" x14ac:dyDescent="0.3">
      <c r="A3986" s="2">
        <v>45714</v>
      </c>
      <c r="B3986" t="s">
        <v>2790</v>
      </c>
      <c r="C3986">
        <v>-63.75</v>
      </c>
      <c r="D3986" s="2">
        <v>45714</v>
      </c>
      <c r="E3986" t="s">
        <v>2004</v>
      </c>
      <c r="F3986">
        <v>-63.75</v>
      </c>
      <c r="G3986">
        <v>0</v>
      </c>
    </row>
    <row r="3987" spans="1:7" x14ac:dyDescent="0.3">
      <c r="A3987" s="2">
        <v>45714</v>
      </c>
      <c r="B3987" t="s">
        <v>2791</v>
      </c>
      <c r="C3987">
        <v>-236.05</v>
      </c>
      <c r="D3987" s="2">
        <v>45714</v>
      </c>
      <c r="E3987" t="s">
        <v>2004</v>
      </c>
      <c r="F3987">
        <v>-236.05</v>
      </c>
      <c r="G3987">
        <v>0</v>
      </c>
    </row>
    <row r="3988" spans="1:7" x14ac:dyDescent="0.3">
      <c r="A3988" s="2">
        <v>45714</v>
      </c>
      <c r="B3988" t="s">
        <v>2792</v>
      </c>
      <c r="C3988">
        <v>4380</v>
      </c>
      <c r="D3988" s="2">
        <v>45713</v>
      </c>
      <c r="E3988" t="s">
        <v>25</v>
      </c>
      <c r="F3988">
        <v>4380</v>
      </c>
      <c r="G3988">
        <v>0</v>
      </c>
    </row>
    <row r="3989" spans="1:7" x14ac:dyDescent="0.3">
      <c r="A3989" s="2">
        <v>45715</v>
      </c>
      <c r="B3989" t="s">
        <v>2793</v>
      </c>
      <c r="C3989">
        <v>-417.37</v>
      </c>
      <c r="D3989" s="2">
        <v>45715</v>
      </c>
      <c r="E3989" t="s">
        <v>2004</v>
      </c>
      <c r="F3989">
        <v>-417.37</v>
      </c>
      <c r="G3989">
        <v>0</v>
      </c>
    </row>
    <row r="3990" spans="1:7" x14ac:dyDescent="0.3">
      <c r="A3990" s="2">
        <v>45715</v>
      </c>
      <c r="B3990" t="s">
        <v>2053</v>
      </c>
      <c r="C3990">
        <v>3400</v>
      </c>
      <c r="D3990" s="2">
        <v>45715</v>
      </c>
      <c r="E3990" t="s">
        <v>25</v>
      </c>
      <c r="F3990">
        <v>3400</v>
      </c>
      <c r="G3990">
        <v>0</v>
      </c>
    </row>
    <row r="3991" spans="1:7" x14ac:dyDescent="0.3">
      <c r="A3991" s="2">
        <v>45716</v>
      </c>
      <c r="B3991" t="s">
        <v>2794</v>
      </c>
      <c r="C3991">
        <v>-53</v>
      </c>
      <c r="D3991" s="2">
        <v>45716</v>
      </c>
      <c r="E3991" t="s">
        <v>2004</v>
      </c>
      <c r="F3991">
        <v>-53</v>
      </c>
      <c r="G3991">
        <v>0</v>
      </c>
    </row>
    <row r="3992" spans="1:7" x14ac:dyDescent="0.3">
      <c r="A3992" s="2">
        <v>45716</v>
      </c>
      <c r="B3992" t="s">
        <v>2795</v>
      </c>
      <c r="C3992">
        <v>-177648.24</v>
      </c>
      <c r="D3992" s="2">
        <v>45716</v>
      </c>
      <c r="E3992" t="s">
        <v>2004</v>
      </c>
      <c r="F3992">
        <v>-177648.24</v>
      </c>
      <c r="G3992">
        <v>0</v>
      </c>
    </row>
    <row r="3993" spans="1:7" x14ac:dyDescent="0.3">
      <c r="A3993" s="2">
        <v>45716</v>
      </c>
      <c r="B3993" t="s">
        <v>2796</v>
      </c>
      <c r="C3993">
        <v>-28000</v>
      </c>
      <c r="D3993" s="2">
        <v>45716</v>
      </c>
      <c r="E3993" t="s">
        <v>2004</v>
      </c>
      <c r="F3993">
        <v>-28000</v>
      </c>
      <c r="G3993">
        <v>0</v>
      </c>
    </row>
    <row r="3994" spans="1:7" x14ac:dyDescent="0.3">
      <c r="A3994" s="2">
        <v>45716</v>
      </c>
      <c r="B3994" t="s">
        <v>2797</v>
      </c>
      <c r="C3994">
        <v>-425</v>
      </c>
      <c r="D3994" s="2">
        <v>45716</v>
      </c>
      <c r="E3994" t="s">
        <v>2004</v>
      </c>
      <c r="F3994">
        <v>-425</v>
      </c>
      <c r="G3994">
        <v>0</v>
      </c>
    </row>
    <row r="3995" spans="1:7" x14ac:dyDescent="0.3">
      <c r="A3995" s="2">
        <v>45716</v>
      </c>
      <c r="B3995" t="s">
        <v>2300</v>
      </c>
      <c r="C3995">
        <v>-652.16999999999996</v>
      </c>
      <c r="D3995" s="2">
        <v>45716</v>
      </c>
      <c r="E3995" t="s">
        <v>2004</v>
      </c>
      <c r="F3995">
        <v>-652.16999999999996</v>
      </c>
      <c r="G3995">
        <v>0</v>
      </c>
    </row>
    <row r="3996" spans="1:7" x14ac:dyDescent="0.3">
      <c r="A3996" s="2">
        <v>45716</v>
      </c>
      <c r="B3996" t="s">
        <v>2798</v>
      </c>
      <c r="C3996">
        <v>3765</v>
      </c>
      <c r="D3996" s="2">
        <v>45715</v>
      </c>
      <c r="E3996" t="s">
        <v>25</v>
      </c>
      <c r="F3996">
        <v>3765</v>
      </c>
      <c r="G3996">
        <v>0</v>
      </c>
    </row>
    <row r="3997" spans="1:7" x14ac:dyDescent="0.3">
      <c r="A3997" s="2">
        <v>45719</v>
      </c>
      <c r="B3997" t="s">
        <v>2799</v>
      </c>
      <c r="C3997">
        <v>-9780.1299999999992</v>
      </c>
      <c r="D3997" s="2">
        <v>45719</v>
      </c>
      <c r="E3997" t="s">
        <v>2004</v>
      </c>
      <c r="F3997">
        <v>-9780.1299999999992</v>
      </c>
      <c r="G3997">
        <v>0</v>
      </c>
    </row>
    <row r="3998" spans="1:7" x14ac:dyDescent="0.3">
      <c r="A3998" s="2">
        <v>45719</v>
      </c>
      <c r="B3998" t="s">
        <v>2318</v>
      </c>
      <c r="C3998">
        <v>-170.94</v>
      </c>
      <c r="D3998" s="2">
        <v>45719</v>
      </c>
      <c r="E3998" t="s">
        <v>2004</v>
      </c>
      <c r="F3998">
        <v>-170.94</v>
      </c>
      <c r="G3998">
        <v>0</v>
      </c>
    </row>
    <row r="3999" spans="1:7" x14ac:dyDescent="0.3">
      <c r="A3999" s="2">
        <v>45719</v>
      </c>
      <c r="B3999" t="s">
        <v>2308</v>
      </c>
      <c r="C3999">
        <v>-78.39</v>
      </c>
      <c r="D3999" s="2">
        <v>45719</v>
      </c>
      <c r="E3999" t="s">
        <v>2004</v>
      </c>
      <c r="F3999">
        <v>-78.39</v>
      </c>
      <c r="G3999">
        <v>0</v>
      </c>
    </row>
    <row r="4000" spans="1:7" x14ac:dyDescent="0.3">
      <c r="A4000" s="2">
        <v>45719</v>
      </c>
      <c r="B4000" t="s">
        <v>2800</v>
      </c>
      <c r="C4000">
        <v>-143.05000000000001</v>
      </c>
      <c r="D4000" s="2">
        <v>45719</v>
      </c>
      <c r="E4000" t="s">
        <v>2004</v>
      </c>
      <c r="F4000">
        <v>-143.05000000000001</v>
      </c>
      <c r="G4000">
        <v>0</v>
      </c>
    </row>
    <row r="4001" spans="1:7" x14ac:dyDescent="0.3">
      <c r="A4001" s="2">
        <v>45719</v>
      </c>
      <c r="B4001" t="s">
        <v>2800</v>
      </c>
      <c r="C4001">
        <v>-36.049999999999997</v>
      </c>
      <c r="D4001" s="2">
        <v>45719</v>
      </c>
      <c r="E4001" t="s">
        <v>2004</v>
      </c>
      <c r="F4001">
        <v>-36.049999999999997</v>
      </c>
      <c r="G4001">
        <v>0</v>
      </c>
    </row>
    <row r="4002" spans="1:7" x14ac:dyDescent="0.3">
      <c r="A4002" s="2">
        <v>45719</v>
      </c>
      <c r="B4002" t="s">
        <v>2800</v>
      </c>
      <c r="C4002">
        <v>-144.01</v>
      </c>
      <c r="D4002" s="2">
        <v>45719</v>
      </c>
      <c r="E4002" t="s">
        <v>2004</v>
      </c>
      <c r="F4002">
        <v>-144.01</v>
      </c>
      <c r="G4002">
        <v>0</v>
      </c>
    </row>
    <row r="4003" spans="1:7" x14ac:dyDescent="0.3">
      <c r="A4003" s="2">
        <v>45719</v>
      </c>
      <c r="B4003" t="s">
        <v>2800</v>
      </c>
      <c r="C4003">
        <v>-10.48</v>
      </c>
      <c r="D4003" s="2">
        <v>45719</v>
      </c>
      <c r="E4003" t="s">
        <v>2004</v>
      </c>
      <c r="F4003">
        <v>-10.48</v>
      </c>
      <c r="G4003">
        <v>0</v>
      </c>
    </row>
    <row r="4004" spans="1:7" x14ac:dyDescent="0.3">
      <c r="A4004" s="2">
        <v>45719</v>
      </c>
      <c r="B4004" t="s">
        <v>2801</v>
      </c>
      <c r="C4004">
        <v>1795</v>
      </c>
      <c r="D4004" s="2">
        <v>45716</v>
      </c>
      <c r="E4004" t="s">
        <v>25</v>
      </c>
      <c r="F4004">
        <v>1795</v>
      </c>
      <c r="G4004">
        <v>0</v>
      </c>
    </row>
    <row r="4005" spans="1:7" x14ac:dyDescent="0.3">
      <c r="A4005" s="2">
        <v>45719</v>
      </c>
      <c r="B4005" t="s">
        <v>2802</v>
      </c>
      <c r="C4005">
        <v>2720</v>
      </c>
      <c r="D4005" s="2">
        <v>45718</v>
      </c>
      <c r="E4005" t="s">
        <v>25</v>
      </c>
      <c r="F4005">
        <v>2720</v>
      </c>
      <c r="G4005">
        <v>0</v>
      </c>
    </row>
    <row r="4006" spans="1:7" x14ac:dyDescent="0.3">
      <c r="A4006" s="2">
        <v>45719</v>
      </c>
      <c r="B4006" t="s">
        <v>2803</v>
      </c>
      <c r="C4006">
        <v>3600</v>
      </c>
      <c r="D4006" s="2">
        <v>45717</v>
      </c>
      <c r="E4006" t="s">
        <v>25</v>
      </c>
      <c r="F4006">
        <v>3600</v>
      </c>
      <c r="G4006">
        <v>0</v>
      </c>
    </row>
    <row r="4007" spans="1:7" x14ac:dyDescent="0.3">
      <c r="A4007" s="2">
        <v>45720</v>
      </c>
      <c r="B4007" t="s">
        <v>2804</v>
      </c>
      <c r="C4007">
        <v>-50880.56</v>
      </c>
      <c r="D4007" s="2">
        <v>45720</v>
      </c>
      <c r="E4007" t="s">
        <v>2004</v>
      </c>
      <c r="F4007">
        <v>-50880.56</v>
      </c>
      <c r="G4007">
        <v>0</v>
      </c>
    </row>
    <row r="4008" spans="1:7" x14ac:dyDescent="0.3">
      <c r="A4008" s="2">
        <v>45720</v>
      </c>
      <c r="B4008" t="s">
        <v>2805</v>
      </c>
      <c r="C4008">
        <v>-9.57</v>
      </c>
      <c r="D4008" s="2">
        <v>45720</v>
      </c>
      <c r="E4008" t="s">
        <v>2004</v>
      </c>
      <c r="F4008">
        <v>-9.57</v>
      </c>
      <c r="G4008">
        <v>0</v>
      </c>
    </row>
    <row r="4009" spans="1:7" x14ac:dyDescent="0.3">
      <c r="A4009" s="2">
        <v>45720</v>
      </c>
      <c r="B4009" t="s">
        <v>2806</v>
      </c>
      <c r="C4009">
        <v>3290</v>
      </c>
      <c r="D4009" s="2">
        <v>45719</v>
      </c>
      <c r="E4009" t="s">
        <v>25</v>
      </c>
      <c r="F4009">
        <v>3290</v>
      </c>
      <c r="G4009">
        <v>0</v>
      </c>
    </row>
    <row r="4010" spans="1:7" x14ac:dyDescent="0.3">
      <c r="A4010" s="2">
        <v>45720</v>
      </c>
      <c r="B4010" t="s">
        <v>2807</v>
      </c>
      <c r="C4010">
        <v>1625</v>
      </c>
      <c r="D4010" s="2">
        <v>45720</v>
      </c>
      <c r="E4010" t="s">
        <v>25</v>
      </c>
      <c r="F4010">
        <v>1625</v>
      </c>
      <c r="G4010">
        <v>0</v>
      </c>
    </row>
    <row r="4011" spans="1:7" x14ac:dyDescent="0.3">
      <c r="A4011" s="2">
        <v>45721</v>
      </c>
      <c r="B4011" t="s">
        <v>2808</v>
      </c>
      <c r="C4011">
        <v>-229</v>
      </c>
      <c r="D4011" s="2">
        <v>45721</v>
      </c>
      <c r="E4011" t="s">
        <v>2004</v>
      </c>
      <c r="F4011">
        <v>-229</v>
      </c>
      <c r="G4011">
        <v>0</v>
      </c>
    </row>
    <row r="4012" spans="1:7" x14ac:dyDescent="0.3">
      <c r="A4012" s="2">
        <v>45721</v>
      </c>
      <c r="B4012" t="s">
        <v>2809</v>
      </c>
      <c r="C4012">
        <v>-128.88</v>
      </c>
      <c r="D4012" s="2">
        <v>45721</v>
      </c>
      <c r="E4012" t="s">
        <v>2004</v>
      </c>
      <c r="F4012">
        <v>-128.88</v>
      </c>
      <c r="G4012">
        <v>0</v>
      </c>
    </row>
    <row r="4013" spans="1:7" x14ac:dyDescent="0.3">
      <c r="A4013" s="2">
        <v>45721</v>
      </c>
      <c r="B4013" t="s">
        <v>2326</v>
      </c>
      <c r="C4013">
        <v>-136.97999999999999</v>
      </c>
      <c r="D4013" s="2">
        <v>45721</v>
      </c>
      <c r="E4013" t="s">
        <v>2004</v>
      </c>
      <c r="F4013">
        <v>-136.97999999999999</v>
      </c>
      <c r="G4013">
        <v>0</v>
      </c>
    </row>
    <row r="4014" spans="1:7" x14ac:dyDescent="0.3">
      <c r="A4014" s="2">
        <v>45721</v>
      </c>
      <c r="B4014" t="s">
        <v>2326</v>
      </c>
      <c r="C4014">
        <v>-43.05</v>
      </c>
      <c r="D4014" s="2">
        <v>45721</v>
      </c>
      <c r="E4014" t="s">
        <v>2004</v>
      </c>
      <c r="F4014">
        <v>-43.05</v>
      </c>
      <c r="G4014">
        <v>0</v>
      </c>
    </row>
    <row r="4015" spans="1:7" x14ac:dyDescent="0.3">
      <c r="A4015" s="2">
        <v>45721</v>
      </c>
      <c r="B4015" t="s">
        <v>2810</v>
      </c>
      <c r="C4015">
        <v>-39.99</v>
      </c>
      <c r="D4015" s="2">
        <v>45721</v>
      </c>
      <c r="E4015" t="s">
        <v>2004</v>
      </c>
      <c r="F4015">
        <v>-39.99</v>
      </c>
      <c r="G4015">
        <v>0</v>
      </c>
    </row>
    <row r="4016" spans="1:7" x14ac:dyDescent="0.3">
      <c r="A4016" s="2">
        <v>45721</v>
      </c>
      <c r="B4016" t="s">
        <v>2811</v>
      </c>
      <c r="C4016">
        <v>865</v>
      </c>
      <c r="D4016" s="2">
        <v>45720</v>
      </c>
      <c r="E4016" t="s">
        <v>25</v>
      </c>
      <c r="F4016">
        <v>865</v>
      </c>
      <c r="G4016">
        <v>0</v>
      </c>
    </row>
    <row r="4017" spans="1:7" x14ac:dyDescent="0.3">
      <c r="A4017" s="2">
        <v>45722</v>
      </c>
      <c r="B4017" t="s">
        <v>2812</v>
      </c>
      <c r="C4017">
        <v>-13600</v>
      </c>
      <c r="D4017" s="2">
        <v>45722</v>
      </c>
      <c r="E4017" t="s">
        <v>2004</v>
      </c>
      <c r="F4017">
        <v>-13600</v>
      </c>
      <c r="G4017">
        <v>0</v>
      </c>
    </row>
    <row r="4018" spans="1:7" x14ac:dyDescent="0.3">
      <c r="A4018" s="2">
        <v>45722</v>
      </c>
      <c r="B4018" t="s">
        <v>2813</v>
      </c>
      <c r="C4018">
        <v>-3994.38</v>
      </c>
      <c r="D4018" s="2">
        <v>45722</v>
      </c>
      <c r="E4018" t="s">
        <v>2004</v>
      </c>
      <c r="F4018">
        <v>-3994.38</v>
      </c>
      <c r="G4018">
        <v>0</v>
      </c>
    </row>
    <row r="4019" spans="1:7" x14ac:dyDescent="0.3">
      <c r="A4019" s="2">
        <v>45722</v>
      </c>
      <c r="B4019" t="s">
        <v>2814</v>
      </c>
      <c r="C4019">
        <v>240</v>
      </c>
      <c r="D4019" s="2">
        <v>45722</v>
      </c>
      <c r="E4019" t="s">
        <v>25</v>
      </c>
      <c r="F4019">
        <v>240</v>
      </c>
      <c r="G4019">
        <v>0</v>
      </c>
    </row>
    <row r="4020" spans="1:7" x14ac:dyDescent="0.3">
      <c r="A4020" s="2">
        <v>45722</v>
      </c>
      <c r="B4020" t="s">
        <v>2815</v>
      </c>
      <c r="C4020">
        <v>850</v>
      </c>
      <c r="D4020" s="2">
        <v>45722</v>
      </c>
      <c r="E4020" t="s">
        <v>25</v>
      </c>
      <c r="F4020">
        <v>850</v>
      </c>
      <c r="G4020">
        <v>0</v>
      </c>
    </row>
    <row r="4021" spans="1:7" x14ac:dyDescent="0.3">
      <c r="A4021" s="2">
        <v>45722</v>
      </c>
      <c r="B4021" t="s">
        <v>2816</v>
      </c>
      <c r="C4021">
        <v>895</v>
      </c>
      <c r="D4021" s="2">
        <v>45721</v>
      </c>
      <c r="E4021" t="s">
        <v>25</v>
      </c>
      <c r="F4021">
        <v>895</v>
      </c>
      <c r="G4021">
        <v>0</v>
      </c>
    </row>
    <row r="4022" spans="1:7" x14ac:dyDescent="0.3">
      <c r="A4022" s="2">
        <v>45722</v>
      </c>
      <c r="B4022" t="s">
        <v>2817</v>
      </c>
      <c r="C4022">
        <v>4200</v>
      </c>
      <c r="D4022" s="2">
        <v>45722</v>
      </c>
      <c r="E4022" t="s">
        <v>25</v>
      </c>
      <c r="F4022">
        <v>4200</v>
      </c>
      <c r="G4022">
        <v>0</v>
      </c>
    </row>
    <row r="4023" spans="1:7" x14ac:dyDescent="0.3">
      <c r="A4023" s="2">
        <v>45723</v>
      </c>
      <c r="B4023" t="s">
        <v>2818</v>
      </c>
      <c r="C4023">
        <v>195</v>
      </c>
      <c r="D4023" s="2">
        <v>45722</v>
      </c>
      <c r="E4023" t="s">
        <v>25</v>
      </c>
      <c r="F4023">
        <v>195</v>
      </c>
      <c r="G4023">
        <v>0</v>
      </c>
    </row>
    <row r="4024" spans="1:7" x14ac:dyDescent="0.3">
      <c r="A4024" s="2">
        <v>45726</v>
      </c>
      <c r="B4024" t="s">
        <v>2337</v>
      </c>
      <c r="C4024">
        <v>-255.86</v>
      </c>
      <c r="D4024" s="2">
        <v>45726</v>
      </c>
      <c r="E4024" t="s">
        <v>2004</v>
      </c>
      <c r="F4024">
        <v>-255.86</v>
      </c>
      <c r="G4024">
        <v>0</v>
      </c>
    </row>
    <row r="4025" spans="1:7" x14ac:dyDescent="0.3">
      <c r="A4025" s="2">
        <v>45726</v>
      </c>
      <c r="B4025" t="s">
        <v>2819</v>
      </c>
      <c r="C4025">
        <v>-115</v>
      </c>
      <c r="D4025" s="2">
        <v>45725</v>
      </c>
      <c r="E4025" t="s">
        <v>25</v>
      </c>
      <c r="F4025">
        <v>-115</v>
      </c>
      <c r="G4025">
        <v>0</v>
      </c>
    </row>
    <row r="4026" spans="1:7" x14ac:dyDescent="0.3">
      <c r="A4026" s="2">
        <v>45726</v>
      </c>
      <c r="B4026" t="s">
        <v>2820</v>
      </c>
      <c r="C4026">
        <v>60</v>
      </c>
      <c r="D4026" s="2">
        <v>45723</v>
      </c>
      <c r="E4026" t="s">
        <v>25</v>
      </c>
      <c r="F4026">
        <v>60</v>
      </c>
      <c r="G4026">
        <v>0</v>
      </c>
    </row>
    <row r="4027" spans="1:7" x14ac:dyDescent="0.3">
      <c r="A4027" s="2">
        <v>45726</v>
      </c>
      <c r="B4027" t="s">
        <v>2821</v>
      </c>
      <c r="C4027">
        <v>550</v>
      </c>
      <c r="D4027" s="2">
        <v>45724</v>
      </c>
      <c r="E4027" t="s">
        <v>25</v>
      </c>
      <c r="F4027">
        <v>550</v>
      </c>
      <c r="G4027">
        <v>0</v>
      </c>
    </row>
    <row r="4028" spans="1:7" x14ac:dyDescent="0.3">
      <c r="A4028" s="2">
        <v>45727</v>
      </c>
      <c r="B4028" t="s">
        <v>2822</v>
      </c>
      <c r="C4028">
        <v>95</v>
      </c>
      <c r="D4028" s="2">
        <v>45726</v>
      </c>
      <c r="E4028" t="s">
        <v>25</v>
      </c>
      <c r="F4028">
        <v>95</v>
      </c>
      <c r="G4028">
        <v>0</v>
      </c>
    </row>
    <row r="4029" spans="1:7" x14ac:dyDescent="0.3">
      <c r="A4029" s="2">
        <v>45728</v>
      </c>
      <c r="B4029" t="s">
        <v>2823</v>
      </c>
      <c r="C4029">
        <v>-59.99</v>
      </c>
      <c r="D4029" s="2">
        <v>45728</v>
      </c>
      <c r="E4029" t="s">
        <v>2004</v>
      </c>
      <c r="F4029">
        <v>-59.99</v>
      </c>
      <c r="G4029">
        <v>0</v>
      </c>
    </row>
    <row r="4030" spans="1:7" x14ac:dyDescent="0.3">
      <c r="A4030" s="2">
        <v>45728</v>
      </c>
      <c r="B4030" t="s">
        <v>2824</v>
      </c>
      <c r="C4030">
        <v>285</v>
      </c>
      <c r="D4030" s="2">
        <v>45727</v>
      </c>
      <c r="E4030" t="s">
        <v>25</v>
      </c>
      <c r="F4030">
        <v>285</v>
      </c>
      <c r="G4030">
        <v>0</v>
      </c>
    </row>
    <row r="4031" spans="1:7" x14ac:dyDescent="0.3">
      <c r="A4031" s="2">
        <v>45729</v>
      </c>
      <c r="B4031" t="s">
        <v>2825</v>
      </c>
      <c r="C4031">
        <v>190</v>
      </c>
      <c r="D4031" s="2">
        <v>45728</v>
      </c>
      <c r="E4031" t="s">
        <v>25</v>
      </c>
      <c r="F4031">
        <v>190</v>
      </c>
      <c r="G4031">
        <v>0</v>
      </c>
    </row>
    <row r="4032" spans="1:7" x14ac:dyDescent="0.3">
      <c r="A4032" s="2">
        <v>45730</v>
      </c>
      <c r="B4032" t="s">
        <v>2826</v>
      </c>
      <c r="C4032">
        <v>-5490.57</v>
      </c>
      <c r="D4032" s="2">
        <v>45730</v>
      </c>
      <c r="E4032" t="s">
        <v>2004</v>
      </c>
      <c r="F4032">
        <v>-5490.57</v>
      </c>
      <c r="G4032">
        <v>0</v>
      </c>
    </row>
    <row r="4033" spans="1:7" x14ac:dyDescent="0.3">
      <c r="A4033" s="2">
        <v>45730</v>
      </c>
      <c r="B4033" t="s">
        <v>2827</v>
      </c>
      <c r="C4033">
        <v>-80000</v>
      </c>
      <c r="D4033" s="2">
        <v>45730</v>
      </c>
      <c r="E4033" t="s">
        <v>2004</v>
      </c>
      <c r="F4033">
        <v>-80000</v>
      </c>
      <c r="G4033">
        <v>0</v>
      </c>
    </row>
    <row r="4034" spans="1:7" x14ac:dyDescent="0.3">
      <c r="A4034" s="2">
        <v>45730</v>
      </c>
      <c r="B4034" t="s">
        <v>2828</v>
      </c>
      <c r="C4034">
        <v>-8385.4</v>
      </c>
      <c r="D4034" s="2">
        <v>45730</v>
      </c>
      <c r="E4034" t="s">
        <v>2004</v>
      </c>
      <c r="F4034">
        <v>-8385.4</v>
      </c>
      <c r="G4034">
        <v>0</v>
      </c>
    </row>
    <row r="4035" spans="1:7" x14ac:dyDescent="0.3">
      <c r="A4035" s="2">
        <v>45730</v>
      </c>
      <c r="B4035" t="s">
        <v>2829</v>
      </c>
      <c r="C4035">
        <v>-256</v>
      </c>
      <c r="D4035" s="2">
        <v>45730</v>
      </c>
      <c r="E4035" t="s">
        <v>2004</v>
      </c>
      <c r="F4035">
        <v>-256</v>
      </c>
      <c r="G4035">
        <v>0</v>
      </c>
    </row>
    <row r="4036" spans="1:7" x14ac:dyDescent="0.3">
      <c r="A4036" s="2">
        <v>45730</v>
      </c>
      <c r="B4036" t="s">
        <v>2830</v>
      </c>
      <c r="C4036">
        <v>165</v>
      </c>
      <c r="D4036" s="2">
        <v>45729</v>
      </c>
      <c r="E4036" t="s">
        <v>25</v>
      </c>
      <c r="F4036">
        <v>165</v>
      </c>
      <c r="G4036">
        <v>0</v>
      </c>
    </row>
    <row r="4037" spans="1:7" x14ac:dyDescent="0.3">
      <c r="A4037" s="2">
        <v>45733</v>
      </c>
      <c r="B4037" t="s">
        <v>2831</v>
      </c>
      <c r="C4037">
        <v>-4646.25</v>
      </c>
      <c r="D4037" s="2">
        <v>45733</v>
      </c>
      <c r="E4037" t="s">
        <v>2004</v>
      </c>
      <c r="F4037">
        <v>-4646.25</v>
      </c>
      <c r="G4037">
        <v>0</v>
      </c>
    </row>
    <row r="4038" spans="1:7" x14ac:dyDescent="0.3">
      <c r="A4038" s="2">
        <v>45733</v>
      </c>
      <c r="B4038" t="s">
        <v>2832</v>
      </c>
      <c r="C4038">
        <v>-10.88</v>
      </c>
      <c r="D4038" s="2">
        <v>45733</v>
      </c>
      <c r="E4038" t="s">
        <v>2004</v>
      </c>
      <c r="F4038">
        <v>-10.88</v>
      </c>
      <c r="G4038">
        <v>0</v>
      </c>
    </row>
    <row r="4039" spans="1:7" x14ac:dyDescent="0.3">
      <c r="A4039" s="2">
        <v>45733</v>
      </c>
      <c r="B4039" t="s">
        <v>2833</v>
      </c>
      <c r="C4039">
        <v>-16.37</v>
      </c>
      <c r="D4039" s="2">
        <v>45733</v>
      </c>
      <c r="E4039" t="s">
        <v>2004</v>
      </c>
      <c r="F4039">
        <v>-16.37</v>
      </c>
      <c r="G4039">
        <v>0</v>
      </c>
    </row>
    <row r="4040" spans="1:7" x14ac:dyDescent="0.3">
      <c r="A4040" s="2">
        <v>45733</v>
      </c>
      <c r="B4040" t="s">
        <v>2834</v>
      </c>
      <c r="C4040">
        <v>165</v>
      </c>
      <c r="D4040" s="2">
        <v>45730</v>
      </c>
      <c r="E4040" t="s">
        <v>25</v>
      </c>
      <c r="F4040">
        <v>165</v>
      </c>
      <c r="G4040">
        <v>0</v>
      </c>
    </row>
    <row r="4041" spans="1:7" x14ac:dyDescent="0.3">
      <c r="A4041" s="2">
        <v>45733</v>
      </c>
      <c r="B4041" t="s">
        <v>2835</v>
      </c>
      <c r="C4041">
        <v>820</v>
      </c>
      <c r="D4041" s="2">
        <v>45731</v>
      </c>
      <c r="E4041" t="s">
        <v>25</v>
      </c>
      <c r="F4041">
        <v>820</v>
      </c>
      <c r="G4041">
        <v>0</v>
      </c>
    </row>
    <row r="4042" spans="1:7" x14ac:dyDescent="0.3">
      <c r="A4042" s="2">
        <v>45733</v>
      </c>
      <c r="B4042" t="s">
        <v>2836</v>
      </c>
      <c r="C4042">
        <v>1935</v>
      </c>
      <c r="D4042" s="2">
        <v>45732</v>
      </c>
      <c r="E4042" t="s">
        <v>25</v>
      </c>
      <c r="F4042">
        <v>1935</v>
      </c>
      <c r="G4042">
        <v>0</v>
      </c>
    </row>
    <row r="4043" spans="1:7" x14ac:dyDescent="0.3">
      <c r="A4043" s="2">
        <v>45735</v>
      </c>
      <c r="B4043" t="s">
        <v>2837</v>
      </c>
      <c r="C4043">
        <v>-19978.560000000001</v>
      </c>
      <c r="D4043" s="2">
        <v>45735</v>
      </c>
      <c r="E4043" t="s">
        <v>2004</v>
      </c>
      <c r="F4043">
        <v>-19978.560000000001</v>
      </c>
      <c r="G4043">
        <v>0</v>
      </c>
    </row>
    <row r="4044" spans="1:7" x14ac:dyDescent="0.3">
      <c r="A4044" s="2">
        <v>45735</v>
      </c>
      <c r="B4044" t="s">
        <v>2838</v>
      </c>
      <c r="C4044">
        <v>165</v>
      </c>
      <c r="D4044" s="2">
        <v>45734</v>
      </c>
      <c r="E4044" t="s">
        <v>25</v>
      </c>
      <c r="F4044">
        <v>165</v>
      </c>
      <c r="G4044">
        <v>0</v>
      </c>
    </row>
    <row r="4045" spans="1:7" x14ac:dyDescent="0.3">
      <c r="A4045" s="2">
        <v>45736</v>
      </c>
      <c r="B4045" t="s">
        <v>2839</v>
      </c>
      <c r="C4045">
        <v>260</v>
      </c>
      <c r="D4045" s="2">
        <v>45735</v>
      </c>
      <c r="E4045" t="s">
        <v>25</v>
      </c>
      <c r="F4045">
        <v>260</v>
      </c>
      <c r="G4045">
        <v>0</v>
      </c>
    </row>
    <row r="4046" spans="1:7" x14ac:dyDescent="0.3">
      <c r="A4046" s="2">
        <v>45736</v>
      </c>
      <c r="B4046" t="s">
        <v>2840</v>
      </c>
      <c r="C4046">
        <v>725</v>
      </c>
      <c r="D4046" s="2">
        <v>45736</v>
      </c>
      <c r="E4046" t="s">
        <v>25</v>
      </c>
      <c r="F4046">
        <v>725</v>
      </c>
      <c r="G4046">
        <v>0</v>
      </c>
    </row>
    <row r="4047" spans="1:7" x14ac:dyDescent="0.3">
      <c r="A4047" s="2">
        <v>45737</v>
      </c>
      <c r="B4047" t="s">
        <v>2841</v>
      </c>
      <c r="C4047">
        <v>190</v>
      </c>
      <c r="D4047" s="2">
        <v>45736</v>
      </c>
      <c r="E4047" t="s">
        <v>25</v>
      </c>
      <c r="F4047">
        <v>190</v>
      </c>
      <c r="G4047">
        <v>0</v>
      </c>
    </row>
    <row r="4048" spans="1:7" x14ac:dyDescent="0.3">
      <c r="A4048" s="2">
        <v>45740</v>
      </c>
      <c r="B4048" t="s">
        <v>2842</v>
      </c>
      <c r="C4048">
        <v>190</v>
      </c>
      <c r="D4048" s="2">
        <v>45737</v>
      </c>
      <c r="E4048" t="s">
        <v>25</v>
      </c>
      <c r="F4048">
        <v>190</v>
      </c>
      <c r="G4048">
        <v>0</v>
      </c>
    </row>
    <row r="4049" spans="1:7" x14ac:dyDescent="0.3">
      <c r="A4049" s="2">
        <v>45740</v>
      </c>
      <c r="B4049" t="s">
        <v>2843</v>
      </c>
      <c r="C4049">
        <v>215</v>
      </c>
      <c r="D4049" s="2">
        <v>45739</v>
      </c>
      <c r="E4049" t="s">
        <v>25</v>
      </c>
      <c r="F4049">
        <v>215</v>
      </c>
      <c r="G4049">
        <v>0</v>
      </c>
    </row>
    <row r="4050" spans="1:7" x14ac:dyDescent="0.3">
      <c r="A4050" s="2">
        <v>45740</v>
      </c>
      <c r="B4050" t="s">
        <v>2844</v>
      </c>
      <c r="C4050">
        <v>6950</v>
      </c>
      <c r="D4050" s="2">
        <v>45738</v>
      </c>
      <c r="E4050" t="s">
        <v>25</v>
      </c>
      <c r="F4050">
        <v>6950</v>
      </c>
      <c r="G4050">
        <v>0</v>
      </c>
    </row>
    <row r="4051" spans="1:7" x14ac:dyDescent="0.3">
      <c r="A4051" s="2">
        <v>45741</v>
      </c>
      <c r="B4051" t="s">
        <v>2845</v>
      </c>
      <c r="C4051">
        <v>100</v>
      </c>
      <c r="D4051" s="2">
        <v>45740</v>
      </c>
      <c r="E4051" t="s">
        <v>25</v>
      </c>
      <c r="F4051">
        <v>100</v>
      </c>
      <c r="G4051">
        <v>0</v>
      </c>
    </row>
    <row r="4052" spans="1:7" x14ac:dyDescent="0.3">
      <c r="A4052" s="2">
        <v>45742</v>
      </c>
      <c r="B4052" t="s">
        <v>2846</v>
      </c>
      <c r="C4052">
        <v>310</v>
      </c>
      <c r="D4052" s="2">
        <v>45741</v>
      </c>
      <c r="E4052" t="s">
        <v>25</v>
      </c>
      <c r="F4052">
        <v>310</v>
      </c>
      <c r="G4052">
        <v>0</v>
      </c>
    </row>
    <row r="4053" spans="1:7" x14ac:dyDescent="0.3">
      <c r="A4053" s="2">
        <v>45743</v>
      </c>
      <c r="B4053" t="s">
        <v>2847</v>
      </c>
      <c r="C4053">
        <v>1620</v>
      </c>
      <c r="D4053" s="2">
        <v>45742</v>
      </c>
      <c r="E4053" t="s">
        <v>25</v>
      </c>
      <c r="F4053">
        <v>1620</v>
      </c>
      <c r="G4053">
        <v>0</v>
      </c>
    </row>
    <row r="4054" spans="1:7" x14ac:dyDescent="0.3">
      <c r="A4054" s="2">
        <v>45747</v>
      </c>
      <c r="B4054" t="s">
        <v>2848</v>
      </c>
      <c r="C4054">
        <v>50</v>
      </c>
      <c r="D4054" s="2">
        <v>45746</v>
      </c>
      <c r="E4054" t="s">
        <v>25</v>
      </c>
      <c r="F4054">
        <v>50</v>
      </c>
      <c r="G4054">
        <v>0</v>
      </c>
    </row>
    <row r="4055" spans="1:7" x14ac:dyDescent="0.3">
      <c r="A4055" s="2">
        <v>45747</v>
      </c>
      <c r="B4055" t="s">
        <v>2849</v>
      </c>
      <c r="C4055">
        <v>560</v>
      </c>
      <c r="D4055" s="2">
        <v>45744</v>
      </c>
      <c r="E4055" t="s">
        <v>25</v>
      </c>
      <c r="F4055">
        <v>560</v>
      </c>
      <c r="G4055">
        <v>0</v>
      </c>
    </row>
    <row r="4056" spans="1:7" x14ac:dyDescent="0.3">
      <c r="A4056" s="2">
        <v>45747</v>
      </c>
      <c r="B4056" t="s">
        <v>2850</v>
      </c>
      <c r="C4056">
        <v>1645</v>
      </c>
      <c r="D4056" s="2">
        <v>45745</v>
      </c>
      <c r="E4056" t="s">
        <v>25</v>
      </c>
      <c r="F4056">
        <v>1645</v>
      </c>
      <c r="G4056">
        <v>0</v>
      </c>
    </row>
    <row r="4057" spans="1:7" x14ac:dyDescent="0.3">
      <c r="A4057" s="2">
        <v>45748</v>
      </c>
      <c r="B4057" t="s">
        <v>2370</v>
      </c>
      <c r="C4057">
        <v>-78.39</v>
      </c>
      <c r="D4057" s="2">
        <v>45748</v>
      </c>
      <c r="E4057" t="s">
        <v>2004</v>
      </c>
      <c r="F4057">
        <v>-78.39</v>
      </c>
      <c r="G4057">
        <v>0</v>
      </c>
    </row>
    <row r="4058" spans="1:7" x14ac:dyDescent="0.3">
      <c r="A4058" s="2">
        <v>45748</v>
      </c>
      <c r="B4058" t="s">
        <v>2851</v>
      </c>
      <c r="C4058">
        <v>-50000</v>
      </c>
      <c r="D4058" s="2">
        <v>45748</v>
      </c>
      <c r="E4058" t="s">
        <v>2004</v>
      </c>
      <c r="F4058">
        <v>-50000</v>
      </c>
      <c r="G4058">
        <v>0</v>
      </c>
    </row>
    <row r="4059" spans="1:7" x14ac:dyDescent="0.3">
      <c r="A4059" s="2">
        <v>45748</v>
      </c>
      <c r="B4059" t="s">
        <v>2852</v>
      </c>
      <c r="C4059">
        <v>380</v>
      </c>
      <c r="D4059" s="2">
        <v>45747</v>
      </c>
      <c r="E4059" t="s">
        <v>25</v>
      </c>
      <c r="F4059">
        <v>380</v>
      </c>
      <c r="G4059">
        <v>0</v>
      </c>
    </row>
    <row r="4060" spans="1:7" x14ac:dyDescent="0.3">
      <c r="A4060" s="2">
        <v>45749</v>
      </c>
      <c r="B4060" t="s">
        <v>2853</v>
      </c>
      <c r="C4060">
        <v>-1262.52</v>
      </c>
      <c r="D4060" s="2">
        <v>45749</v>
      </c>
      <c r="E4060" t="s">
        <v>2004</v>
      </c>
      <c r="F4060">
        <v>-1262.52</v>
      </c>
      <c r="G4060">
        <v>0</v>
      </c>
    </row>
    <row r="4061" spans="1:7" x14ac:dyDescent="0.3">
      <c r="A4061" s="2">
        <v>45749</v>
      </c>
      <c r="B4061" t="s">
        <v>2854</v>
      </c>
      <c r="C4061">
        <v>-125.89</v>
      </c>
      <c r="D4061" s="2">
        <v>45749</v>
      </c>
      <c r="E4061" t="s">
        <v>2004</v>
      </c>
      <c r="F4061">
        <v>-125.89</v>
      </c>
      <c r="G4061">
        <v>0</v>
      </c>
    </row>
    <row r="4062" spans="1:7" x14ac:dyDescent="0.3">
      <c r="A4062" s="2">
        <v>45749</v>
      </c>
      <c r="B4062" t="s">
        <v>2855</v>
      </c>
      <c r="C4062">
        <v>240</v>
      </c>
      <c r="D4062" s="2">
        <v>45748</v>
      </c>
      <c r="E4062" t="s">
        <v>25</v>
      </c>
      <c r="F4062">
        <v>240</v>
      </c>
      <c r="G4062">
        <v>0</v>
      </c>
    </row>
    <row r="4063" spans="1:7" x14ac:dyDescent="0.3">
      <c r="A4063" s="2">
        <v>45750</v>
      </c>
      <c r="B4063" t="s">
        <v>2373</v>
      </c>
      <c r="C4063">
        <v>-415</v>
      </c>
      <c r="D4063" s="2">
        <v>45750</v>
      </c>
      <c r="E4063" t="s">
        <v>2004</v>
      </c>
      <c r="F4063">
        <v>-415</v>
      </c>
      <c r="G4063">
        <v>0</v>
      </c>
    </row>
    <row r="4064" spans="1:7" x14ac:dyDescent="0.3">
      <c r="A4064" s="2">
        <v>45750</v>
      </c>
      <c r="B4064" t="s">
        <v>2374</v>
      </c>
      <c r="C4064">
        <v>-170.94</v>
      </c>
      <c r="D4064" s="2">
        <v>45750</v>
      </c>
      <c r="E4064" t="s">
        <v>2004</v>
      </c>
      <c r="F4064">
        <v>-170.94</v>
      </c>
      <c r="G4064">
        <v>0</v>
      </c>
    </row>
    <row r="4065" spans="1:7" x14ac:dyDescent="0.3">
      <c r="A4065" s="2">
        <v>45750</v>
      </c>
      <c r="B4065" t="s">
        <v>2856</v>
      </c>
      <c r="C4065">
        <v>123.75</v>
      </c>
      <c r="D4065" s="2">
        <v>45749</v>
      </c>
      <c r="E4065" t="s">
        <v>25</v>
      </c>
      <c r="F4065">
        <v>123.75</v>
      </c>
      <c r="G4065">
        <v>0</v>
      </c>
    </row>
    <row r="4066" spans="1:7" x14ac:dyDescent="0.3">
      <c r="A4066" s="2">
        <v>45751</v>
      </c>
      <c r="B4066" t="s">
        <v>2857</v>
      </c>
      <c r="C4066">
        <v>-50</v>
      </c>
      <c r="D4066" s="2">
        <v>45751</v>
      </c>
      <c r="E4066" t="s">
        <v>2004</v>
      </c>
      <c r="F4066">
        <v>-50</v>
      </c>
      <c r="G4066">
        <v>0</v>
      </c>
    </row>
    <row r="4067" spans="1:7" x14ac:dyDescent="0.3">
      <c r="A4067" s="2">
        <v>45751</v>
      </c>
      <c r="B4067" t="s">
        <v>2858</v>
      </c>
      <c r="C4067">
        <v>-257.19</v>
      </c>
      <c r="D4067" s="2">
        <v>45751</v>
      </c>
      <c r="E4067" t="s">
        <v>2004</v>
      </c>
      <c r="F4067">
        <v>-257.19</v>
      </c>
      <c r="G4067">
        <v>0</v>
      </c>
    </row>
    <row r="4068" spans="1:7" x14ac:dyDescent="0.3">
      <c r="A4068" s="2">
        <v>45754</v>
      </c>
      <c r="B4068" t="s">
        <v>2859</v>
      </c>
      <c r="C4068">
        <v>-132.26</v>
      </c>
      <c r="D4068" s="2">
        <v>45754</v>
      </c>
      <c r="E4068" t="s">
        <v>2004</v>
      </c>
      <c r="F4068">
        <v>-132.26</v>
      </c>
      <c r="G4068">
        <v>0</v>
      </c>
    </row>
    <row r="4069" spans="1:7" x14ac:dyDescent="0.3">
      <c r="A4069" s="2">
        <v>45754</v>
      </c>
      <c r="B4069" t="s">
        <v>2860</v>
      </c>
      <c r="C4069">
        <v>123.75</v>
      </c>
      <c r="D4069" s="2">
        <v>45753</v>
      </c>
      <c r="E4069" t="s">
        <v>25</v>
      </c>
      <c r="F4069">
        <v>123.75</v>
      </c>
      <c r="G4069">
        <v>0</v>
      </c>
    </row>
    <row r="4070" spans="1:7" x14ac:dyDescent="0.3">
      <c r="A4070" s="2">
        <v>45754</v>
      </c>
      <c r="B4070" t="s">
        <v>2861</v>
      </c>
      <c r="C4070">
        <v>536.25</v>
      </c>
      <c r="D4070" s="2">
        <v>45752</v>
      </c>
      <c r="E4070" t="s">
        <v>25</v>
      </c>
      <c r="F4070">
        <v>536.25</v>
      </c>
      <c r="G4070">
        <v>0</v>
      </c>
    </row>
    <row r="4071" spans="1:7" x14ac:dyDescent="0.3">
      <c r="A4071" s="2">
        <v>45755</v>
      </c>
      <c r="B4071" t="s">
        <v>2862</v>
      </c>
      <c r="C4071">
        <v>-2187.1999999999998</v>
      </c>
      <c r="D4071" s="2">
        <v>45755</v>
      </c>
      <c r="E4071" t="s">
        <v>2004</v>
      </c>
      <c r="F4071">
        <v>-2187.1999999999998</v>
      </c>
      <c r="G4071">
        <v>0</v>
      </c>
    </row>
    <row r="4072" spans="1:7" x14ac:dyDescent="0.3">
      <c r="A4072" s="2">
        <v>45756</v>
      </c>
      <c r="B4072" t="s">
        <v>2863</v>
      </c>
      <c r="C4072">
        <v>173.75</v>
      </c>
      <c r="D4072" s="2">
        <v>45755</v>
      </c>
      <c r="E4072" t="s">
        <v>25</v>
      </c>
      <c r="F4072">
        <v>173.75</v>
      </c>
      <c r="G4072">
        <v>0</v>
      </c>
    </row>
    <row r="4073" spans="1:7" x14ac:dyDescent="0.3">
      <c r="A4073" s="2">
        <v>45757</v>
      </c>
      <c r="B4073" t="s">
        <v>2386</v>
      </c>
      <c r="C4073">
        <v>-255.86</v>
      </c>
      <c r="D4073" s="2">
        <v>45757</v>
      </c>
      <c r="E4073" t="s">
        <v>2004</v>
      </c>
      <c r="F4073">
        <v>-255.86</v>
      </c>
      <c r="G4073">
        <v>0</v>
      </c>
    </row>
    <row r="4074" spans="1:7" x14ac:dyDescent="0.3">
      <c r="A4074" s="2">
        <v>45757</v>
      </c>
      <c r="B4074" t="s">
        <v>2864</v>
      </c>
      <c r="C4074">
        <v>-166.25</v>
      </c>
      <c r="D4074" s="2">
        <v>45757</v>
      </c>
      <c r="E4074" t="s">
        <v>2004</v>
      </c>
      <c r="F4074">
        <v>-166.25</v>
      </c>
      <c r="G4074">
        <v>0</v>
      </c>
    </row>
    <row r="4075" spans="1:7" x14ac:dyDescent="0.3">
      <c r="A4075" s="2">
        <v>45761</v>
      </c>
      <c r="B4075" t="s">
        <v>2865</v>
      </c>
      <c r="C4075">
        <v>-32261.67</v>
      </c>
      <c r="D4075" s="2">
        <v>45762</v>
      </c>
      <c r="E4075" t="s">
        <v>27</v>
      </c>
      <c r="F4075">
        <v>-32261.67</v>
      </c>
      <c r="G4075">
        <v>0</v>
      </c>
    </row>
    <row r="4076" spans="1:7" x14ac:dyDescent="0.3">
      <c r="A4076" s="2">
        <v>45761</v>
      </c>
      <c r="B4076" t="s">
        <v>2866</v>
      </c>
      <c r="C4076">
        <v>-13600</v>
      </c>
      <c r="D4076" s="2">
        <v>45761</v>
      </c>
      <c r="E4076" t="s">
        <v>2004</v>
      </c>
      <c r="F4076">
        <v>-13600</v>
      </c>
      <c r="G4076">
        <v>0</v>
      </c>
    </row>
    <row r="4077" spans="1:7" x14ac:dyDescent="0.3">
      <c r="A4077" s="2">
        <v>45761</v>
      </c>
      <c r="B4077" t="s">
        <v>2867</v>
      </c>
      <c r="C4077">
        <v>-562.17999999999995</v>
      </c>
      <c r="D4077" s="2">
        <v>45761</v>
      </c>
      <c r="E4077" t="s">
        <v>2004</v>
      </c>
      <c r="F4077">
        <v>-562.17999999999995</v>
      </c>
      <c r="G4077">
        <v>0</v>
      </c>
    </row>
    <row r="4078" spans="1:7" x14ac:dyDescent="0.3">
      <c r="A4078" s="2">
        <v>45761</v>
      </c>
      <c r="B4078" t="s">
        <v>2868</v>
      </c>
      <c r="C4078">
        <v>123.75</v>
      </c>
      <c r="D4078" s="2">
        <v>45758</v>
      </c>
      <c r="E4078" t="s">
        <v>25</v>
      </c>
      <c r="F4078">
        <v>123.75</v>
      </c>
      <c r="G4078">
        <v>0</v>
      </c>
    </row>
    <row r="4079" spans="1:7" x14ac:dyDescent="0.3">
      <c r="A4079" s="2">
        <v>45761</v>
      </c>
      <c r="B4079" t="s">
        <v>2869</v>
      </c>
      <c r="C4079">
        <v>247.5</v>
      </c>
      <c r="D4079" s="2">
        <v>45759</v>
      </c>
      <c r="E4079" t="s">
        <v>25</v>
      </c>
      <c r="F4079">
        <v>247.5</v>
      </c>
      <c r="G4079">
        <v>0</v>
      </c>
    </row>
    <row r="4080" spans="1:7" x14ac:dyDescent="0.3">
      <c r="A4080" s="2">
        <v>45762</v>
      </c>
      <c r="B4080" t="s">
        <v>2870</v>
      </c>
      <c r="C4080">
        <v>-97.67</v>
      </c>
      <c r="D4080" s="2">
        <v>45762</v>
      </c>
      <c r="E4080" t="s">
        <v>2004</v>
      </c>
      <c r="F4080">
        <v>-97.67</v>
      </c>
      <c r="G4080">
        <v>0</v>
      </c>
    </row>
    <row r="4081" spans="1:7" x14ac:dyDescent="0.3">
      <c r="A4081" s="2">
        <v>45763</v>
      </c>
      <c r="B4081" t="s">
        <v>2871</v>
      </c>
      <c r="C4081">
        <v>-16.37</v>
      </c>
      <c r="D4081" s="2">
        <v>45763</v>
      </c>
      <c r="E4081" t="s">
        <v>2004</v>
      </c>
      <c r="F4081">
        <v>-16.37</v>
      </c>
      <c r="G4081">
        <v>0</v>
      </c>
    </row>
    <row r="4082" spans="1:7" x14ac:dyDescent="0.3">
      <c r="A4082" s="2">
        <v>45763</v>
      </c>
      <c r="B4082" t="s">
        <v>2872</v>
      </c>
      <c r="C4082">
        <v>-3.54</v>
      </c>
      <c r="D4082" s="2">
        <v>45763</v>
      </c>
      <c r="E4082" t="s">
        <v>2004</v>
      </c>
      <c r="F4082">
        <v>-3.54</v>
      </c>
      <c r="G4082">
        <v>0</v>
      </c>
    </row>
    <row r="4083" spans="1:7" x14ac:dyDescent="0.3">
      <c r="A4083" s="2">
        <v>45763</v>
      </c>
      <c r="B4083" t="s">
        <v>2873</v>
      </c>
      <c r="C4083">
        <v>288.75</v>
      </c>
      <c r="D4083" s="2">
        <v>45762</v>
      </c>
      <c r="E4083" t="s">
        <v>25</v>
      </c>
      <c r="F4083">
        <v>288.75</v>
      </c>
      <c r="G4083">
        <v>0</v>
      </c>
    </row>
    <row r="4084" spans="1:7" x14ac:dyDescent="0.3">
      <c r="A4084" s="2">
        <v>45764</v>
      </c>
      <c r="B4084" t="s">
        <v>2874</v>
      </c>
      <c r="C4084">
        <v>50</v>
      </c>
      <c r="D4084" s="2">
        <v>45763</v>
      </c>
      <c r="E4084" t="s">
        <v>25</v>
      </c>
      <c r="F4084">
        <v>50</v>
      </c>
      <c r="G4084">
        <v>0</v>
      </c>
    </row>
    <row r="4085" spans="1:7" x14ac:dyDescent="0.3">
      <c r="A4085" s="2">
        <v>45765</v>
      </c>
      <c r="B4085" t="s">
        <v>2875</v>
      </c>
      <c r="C4085">
        <v>-127</v>
      </c>
      <c r="D4085" s="2">
        <v>45765</v>
      </c>
      <c r="E4085" t="s">
        <v>2004</v>
      </c>
      <c r="F4085">
        <v>-127</v>
      </c>
      <c r="G4085">
        <v>0</v>
      </c>
    </row>
    <row r="4086" spans="1:7" x14ac:dyDescent="0.3">
      <c r="A4086" s="2">
        <v>45765</v>
      </c>
      <c r="B4086" t="s">
        <v>2876</v>
      </c>
      <c r="C4086">
        <v>-10.88</v>
      </c>
      <c r="D4086" s="2">
        <v>45765</v>
      </c>
      <c r="E4086" t="s">
        <v>2004</v>
      </c>
      <c r="F4086">
        <v>-10.88</v>
      </c>
      <c r="G4086">
        <v>0</v>
      </c>
    </row>
    <row r="4087" spans="1:7" x14ac:dyDescent="0.3">
      <c r="A4087" s="2">
        <v>45768</v>
      </c>
      <c r="B4087" t="s">
        <v>2877</v>
      </c>
      <c r="C4087">
        <v>50</v>
      </c>
      <c r="D4087" s="2">
        <v>45766</v>
      </c>
      <c r="E4087" t="s">
        <v>25</v>
      </c>
      <c r="F4087">
        <v>50</v>
      </c>
      <c r="G4087">
        <v>0</v>
      </c>
    </row>
    <row r="4088" spans="1:7" x14ac:dyDescent="0.3">
      <c r="A4088" s="2">
        <v>45768</v>
      </c>
      <c r="B4088" t="s">
        <v>2878</v>
      </c>
      <c r="C4088">
        <v>825</v>
      </c>
      <c r="D4088" s="2">
        <v>45765</v>
      </c>
      <c r="E4088" t="s">
        <v>25</v>
      </c>
      <c r="F4088">
        <v>825</v>
      </c>
      <c r="G4088">
        <v>0</v>
      </c>
    </row>
    <row r="4089" spans="1:7" x14ac:dyDescent="0.3">
      <c r="A4089" s="2">
        <v>45769</v>
      </c>
      <c r="B4089" t="s">
        <v>2879</v>
      </c>
      <c r="C4089">
        <v>1375</v>
      </c>
      <c r="D4089" s="2">
        <v>45769</v>
      </c>
      <c r="E4089" t="s">
        <v>25</v>
      </c>
      <c r="F4089">
        <v>1375</v>
      </c>
      <c r="G4089">
        <v>0</v>
      </c>
    </row>
    <row r="4090" spans="1:7" x14ac:dyDescent="0.3">
      <c r="A4090" s="2">
        <v>45770</v>
      </c>
      <c r="B4090" t="s">
        <v>2880</v>
      </c>
      <c r="C4090">
        <v>50</v>
      </c>
      <c r="D4090" s="2">
        <v>45769</v>
      </c>
      <c r="E4090" t="s">
        <v>25</v>
      </c>
      <c r="F4090">
        <v>50</v>
      </c>
      <c r="G4090">
        <v>0</v>
      </c>
    </row>
    <row r="4091" spans="1:7" x14ac:dyDescent="0.3">
      <c r="A4091" s="2">
        <v>45771</v>
      </c>
      <c r="B4091" t="s">
        <v>2881</v>
      </c>
      <c r="C4091">
        <v>225</v>
      </c>
      <c r="D4091" s="2">
        <v>45770</v>
      </c>
      <c r="E4091" t="s">
        <v>25</v>
      </c>
      <c r="F4091">
        <v>225</v>
      </c>
      <c r="G4091">
        <v>0</v>
      </c>
    </row>
    <row r="4092" spans="1:7" x14ac:dyDescent="0.3">
      <c r="A4092" s="2">
        <v>45775</v>
      </c>
      <c r="B4092" t="s">
        <v>2882</v>
      </c>
      <c r="C4092">
        <v>462.5</v>
      </c>
      <c r="D4092" s="2">
        <v>45772</v>
      </c>
      <c r="E4092" t="s">
        <v>25</v>
      </c>
      <c r="F4092">
        <v>462.5</v>
      </c>
      <c r="G4092">
        <v>0</v>
      </c>
    </row>
    <row r="4093" spans="1:7" x14ac:dyDescent="0.3">
      <c r="A4093" s="2">
        <v>45775</v>
      </c>
      <c r="B4093" t="s">
        <v>2883</v>
      </c>
      <c r="C4093">
        <v>615</v>
      </c>
      <c r="D4093" s="2">
        <v>45773</v>
      </c>
      <c r="E4093" t="s">
        <v>25</v>
      </c>
      <c r="F4093">
        <v>615</v>
      </c>
      <c r="G4093">
        <v>0</v>
      </c>
    </row>
    <row r="4094" spans="1:7" x14ac:dyDescent="0.3">
      <c r="A4094" s="2">
        <v>45776</v>
      </c>
      <c r="B4094" t="s">
        <v>2884</v>
      </c>
      <c r="C4094">
        <v>123.75</v>
      </c>
      <c r="D4094" s="2">
        <v>45775</v>
      </c>
      <c r="E4094" t="s">
        <v>25</v>
      </c>
      <c r="F4094">
        <v>123.75</v>
      </c>
      <c r="G4094">
        <v>0</v>
      </c>
    </row>
    <row r="4095" spans="1:7" x14ac:dyDescent="0.3">
      <c r="A4095" s="2">
        <v>45777</v>
      </c>
      <c r="B4095" t="s">
        <v>2885</v>
      </c>
      <c r="C4095">
        <v>-13600</v>
      </c>
      <c r="D4095" s="2">
        <v>45778</v>
      </c>
      <c r="E4095" t="s">
        <v>2004</v>
      </c>
      <c r="F4095">
        <v>-13600</v>
      </c>
      <c r="G4095">
        <v>0</v>
      </c>
    </row>
    <row r="4096" spans="1:7" x14ac:dyDescent="0.3">
      <c r="A4096" s="2">
        <v>45777</v>
      </c>
      <c r="B4096" t="s">
        <v>2886</v>
      </c>
      <c r="C4096">
        <v>-3600</v>
      </c>
      <c r="D4096" s="2">
        <v>45777</v>
      </c>
      <c r="E4096" t="s">
        <v>2004</v>
      </c>
      <c r="F4096">
        <v>-3600</v>
      </c>
      <c r="G4096">
        <v>0</v>
      </c>
    </row>
    <row r="4097" spans="1:7" x14ac:dyDescent="0.3">
      <c r="A4097" s="2">
        <v>45777</v>
      </c>
      <c r="B4097" t="s">
        <v>2887</v>
      </c>
      <c r="C4097">
        <v>-9400</v>
      </c>
      <c r="D4097" s="2">
        <v>45777</v>
      </c>
      <c r="E4097" t="s">
        <v>2004</v>
      </c>
      <c r="F4097">
        <v>-9400</v>
      </c>
      <c r="G4097">
        <v>0</v>
      </c>
    </row>
    <row r="4098" spans="1:7" x14ac:dyDescent="0.3">
      <c r="A4098" s="2">
        <v>45777</v>
      </c>
      <c r="B4098" t="s">
        <v>2888</v>
      </c>
      <c r="C4098">
        <v>-27500</v>
      </c>
      <c r="D4098" s="2">
        <v>45777</v>
      </c>
      <c r="E4098" t="s">
        <v>2004</v>
      </c>
      <c r="F4098">
        <v>-27500</v>
      </c>
      <c r="G4098">
        <v>0</v>
      </c>
    </row>
    <row r="4099" spans="1:7" x14ac:dyDescent="0.3">
      <c r="A4099" s="2">
        <v>45777</v>
      </c>
      <c r="B4099" t="s">
        <v>2889</v>
      </c>
      <c r="C4099">
        <v>-21565</v>
      </c>
      <c r="D4099" s="2">
        <v>45777</v>
      </c>
      <c r="E4099" t="s">
        <v>2004</v>
      </c>
      <c r="F4099">
        <v>-21565</v>
      </c>
      <c r="G4099">
        <v>0</v>
      </c>
    </row>
    <row r="4100" spans="1:7" x14ac:dyDescent="0.3">
      <c r="A4100" s="2">
        <v>45777</v>
      </c>
      <c r="B4100" t="s">
        <v>2890</v>
      </c>
      <c r="C4100">
        <v>1073.75</v>
      </c>
      <c r="D4100" s="2">
        <v>45776</v>
      </c>
      <c r="E4100" t="s">
        <v>25</v>
      </c>
      <c r="F4100">
        <v>1073.75</v>
      </c>
      <c r="G4100">
        <v>0</v>
      </c>
    </row>
    <row r="4101" spans="1:7" x14ac:dyDescent="0.3">
      <c r="A4101" s="2">
        <v>45778</v>
      </c>
      <c r="B4101" t="s">
        <v>2415</v>
      </c>
      <c r="C4101">
        <v>-78.39</v>
      </c>
      <c r="D4101" s="2">
        <v>45778</v>
      </c>
      <c r="E4101" t="s">
        <v>2004</v>
      </c>
      <c r="F4101">
        <v>-78.39</v>
      </c>
      <c r="G4101">
        <v>0</v>
      </c>
    </row>
    <row r="4102" spans="1:7" x14ac:dyDescent="0.3">
      <c r="A4102" s="2">
        <v>45778</v>
      </c>
      <c r="B4102" t="s">
        <v>2891</v>
      </c>
      <c r="C4102">
        <v>563.75</v>
      </c>
      <c r="D4102" s="2">
        <v>45777</v>
      </c>
      <c r="E4102" t="s">
        <v>25</v>
      </c>
      <c r="F4102">
        <v>563.75</v>
      </c>
      <c r="G4102">
        <v>0</v>
      </c>
    </row>
    <row r="4103" spans="1:7" x14ac:dyDescent="0.3">
      <c r="A4103" s="2">
        <v>45779</v>
      </c>
      <c r="B4103" t="s">
        <v>2892</v>
      </c>
      <c r="C4103">
        <v>-293.92</v>
      </c>
      <c r="D4103" s="2">
        <v>45779</v>
      </c>
      <c r="E4103" t="s">
        <v>2004</v>
      </c>
      <c r="F4103">
        <v>-293.92</v>
      </c>
      <c r="G4103">
        <v>0</v>
      </c>
    </row>
    <row r="4104" spans="1:7" x14ac:dyDescent="0.3">
      <c r="A4104" s="2">
        <v>45779</v>
      </c>
      <c r="B4104" t="s">
        <v>2893</v>
      </c>
      <c r="C4104">
        <v>297.5</v>
      </c>
      <c r="D4104" s="2">
        <v>45778</v>
      </c>
      <c r="E4104" t="s">
        <v>25</v>
      </c>
      <c r="F4104">
        <v>297.5</v>
      </c>
      <c r="G4104">
        <v>0</v>
      </c>
    </row>
    <row r="4105" spans="1:7" x14ac:dyDescent="0.3">
      <c r="A4105" s="2">
        <v>45782</v>
      </c>
      <c r="B4105" t="s">
        <v>2420</v>
      </c>
      <c r="C4105">
        <v>-476</v>
      </c>
      <c r="D4105" s="2">
        <v>45782</v>
      </c>
      <c r="E4105" t="s">
        <v>2004</v>
      </c>
      <c r="F4105">
        <v>-476</v>
      </c>
      <c r="G4105">
        <v>0</v>
      </c>
    </row>
    <row r="4106" spans="1:7" x14ac:dyDescent="0.3">
      <c r="A4106" s="2">
        <v>45782</v>
      </c>
      <c r="B4106" t="s">
        <v>2421</v>
      </c>
      <c r="C4106">
        <v>-170.94</v>
      </c>
      <c r="D4106" s="2">
        <v>45782</v>
      </c>
      <c r="E4106" t="s">
        <v>2004</v>
      </c>
      <c r="F4106">
        <v>-170.94</v>
      </c>
      <c r="G4106">
        <v>0</v>
      </c>
    </row>
    <row r="4107" spans="1:7" x14ac:dyDescent="0.3">
      <c r="A4107" s="2">
        <v>45782</v>
      </c>
      <c r="B4107" t="s">
        <v>2894</v>
      </c>
      <c r="C4107">
        <v>-132.72</v>
      </c>
      <c r="D4107" s="2">
        <v>45782</v>
      </c>
      <c r="E4107" t="s">
        <v>2004</v>
      </c>
      <c r="F4107">
        <v>-132.72</v>
      </c>
      <c r="G4107">
        <v>0</v>
      </c>
    </row>
    <row r="4108" spans="1:7" x14ac:dyDescent="0.3">
      <c r="A4108" s="2">
        <v>45782</v>
      </c>
      <c r="B4108" t="s">
        <v>2895</v>
      </c>
      <c r="C4108">
        <v>165</v>
      </c>
      <c r="D4108" s="2">
        <v>45780</v>
      </c>
      <c r="E4108" t="s">
        <v>25</v>
      </c>
      <c r="F4108">
        <v>165</v>
      </c>
      <c r="G4108">
        <v>0</v>
      </c>
    </row>
    <row r="4109" spans="1:7" x14ac:dyDescent="0.3">
      <c r="A4109" s="2">
        <v>45782</v>
      </c>
      <c r="B4109" t="s">
        <v>2896</v>
      </c>
      <c r="C4109">
        <v>180</v>
      </c>
      <c r="D4109" s="2">
        <v>45781</v>
      </c>
      <c r="E4109" t="s">
        <v>25</v>
      </c>
      <c r="F4109">
        <v>180</v>
      </c>
      <c r="G4109">
        <v>0</v>
      </c>
    </row>
    <row r="4110" spans="1:7" x14ac:dyDescent="0.3">
      <c r="A4110" s="2">
        <v>45782</v>
      </c>
      <c r="B4110" t="s">
        <v>2897</v>
      </c>
      <c r="C4110">
        <v>533.75</v>
      </c>
      <c r="D4110" s="2">
        <v>45779</v>
      </c>
      <c r="E4110" t="s">
        <v>25</v>
      </c>
      <c r="F4110">
        <v>533.75</v>
      </c>
      <c r="G4110">
        <v>0</v>
      </c>
    </row>
    <row r="4111" spans="1:7" x14ac:dyDescent="0.3">
      <c r="A4111" s="2">
        <v>45782</v>
      </c>
      <c r="B4111" t="s">
        <v>2053</v>
      </c>
      <c r="C4111">
        <v>4000</v>
      </c>
      <c r="D4111" s="2">
        <v>45782</v>
      </c>
      <c r="E4111" t="s">
        <v>25</v>
      </c>
      <c r="F4111">
        <v>4000</v>
      </c>
      <c r="G4111">
        <v>0</v>
      </c>
    </row>
    <row r="4112" spans="1:7" x14ac:dyDescent="0.3">
      <c r="A4112" s="2">
        <v>45783</v>
      </c>
      <c r="B4112" t="s">
        <v>2898</v>
      </c>
      <c r="C4112">
        <v>-3000</v>
      </c>
      <c r="D4112" s="2">
        <v>45783</v>
      </c>
      <c r="E4112" t="s">
        <v>2004</v>
      </c>
      <c r="F4112">
        <v>-3000</v>
      </c>
      <c r="G4112">
        <v>0</v>
      </c>
    </row>
    <row r="4113" spans="1:7" x14ac:dyDescent="0.3">
      <c r="A4113" s="2">
        <v>45784</v>
      </c>
      <c r="B4113" t="s">
        <v>2899</v>
      </c>
      <c r="C4113">
        <v>223.75</v>
      </c>
      <c r="D4113" s="2">
        <v>45783</v>
      </c>
      <c r="E4113" t="s">
        <v>25</v>
      </c>
      <c r="F4113">
        <v>223.75</v>
      </c>
      <c r="G4113">
        <v>0</v>
      </c>
    </row>
    <row r="4114" spans="1:7" x14ac:dyDescent="0.3">
      <c r="A4114" s="2">
        <v>45786</v>
      </c>
      <c r="B4114" t="s">
        <v>2900</v>
      </c>
      <c r="C4114">
        <v>123.75</v>
      </c>
      <c r="D4114" s="2">
        <v>45785</v>
      </c>
      <c r="E4114" t="s">
        <v>25</v>
      </c>
      <c r="F4114">
        <v>123.75</v>
      </c>
      <c r="G4114">
        <v>0</v>
      </c>
    </row>
    <row r="4115" spans="1:7" x14ac:dyDescent="0.3">
      <c r="A4115" s="2">
        <v>45789</v>
      </c>
      <c r="B4115" t="s">
        <v>2437</v>
      </c>
      <c r="C4115">
        <v>-56.97</v>
      </c>
      <c r="D4115" s="2">
        <v>45789</v>
      </c>
      <c r="E4115" t="s">
        <v>2004</v>
      </c>
      <c r="F4115">
        <v>-56.97</v>
      </c>
      <c r="G4115">
        <v>0</v>
      </c>
    </row>
    <row r="4116" spans="1:7" x14ac:dyDescent="0.3">
      <c r="A4116" s="2">
        <v>45789</v>
      </c>
      <c r="B4116" t="s">
        <v>2435</v>
      </c>
      <c r="C4116">
        <v>-255.86</v>
      </c>
      <c r="D4116" s="2">
        <v>45789</v>
      </c>
      <c r="E4116" t="s">
        <v>2004</v>
      </c>
      <c r="F4116">
        <v>-255.86</v>
      </c>
      <c r="G4116">
        <v>0</v>
      </c>
    </row>
    <row r="4117" spans="1:7" x14ac:dyDescent="0.3">
      <c r="A4117" s="2">
        <v>45789</v>
      </c>
      <c r="B4117" t="s">
        <v>2901</v>
      </c>
      <c r="C4117">
        <v>50</v>
      </c>
      <c r="D4117" s="2">
        <v>45787</v>
      </c>
      <c r="E4117" t="s">
        <v>25</v>
      </c>
      <c r="F4117">
        <v>50</v>
      </c>
      <c r="G4117">
        <v>0</v>
      </c>
    </row>
    <row r="4118" spans="1:7" x14ac:dyDescent="0.3">
      <c r="A4118" s="2">
        <v>45789</v>
      </c>
      <c r="B4118" t="s">
        <v>2902</v>
      </c>
      <c r="C4118">
        <v>188.75</v>
      </c>
      <c r="D4118" s="2">
        <v>45786</v>
      </c>
      <c r="E4118" t="s">
        <v>25</v>
      </c>
      <c r="F4118">
        <v>188.75</v>
      </c>
      <c r="G4118">
        <v>0</v>
      </c>
    </row>
    <row r="4119" spans="1:7" x14ac:dyDescent="0.3">
      <c r="A4119" s="2">
        <v>45790</v>
      </c>
      <c r="B4119" t="s">
        <v>2903</v>
      </c>
      <c r="C4119">
        <v>-659.88</v>
      </c>
      <c r="D4119" s="2">
        <v>45790</v>
      </c>
      <c r="E4119" t="s">
        <v>2004</v>
      </c>
      <c r="F4119">
        <v>-659.88</v>
      </c>
      <c r="G4119">
        <v>0</v>
      </c>
    </row>
    <row r="4120" spans="1:7" x14ac:dyDescent="0.3">
      <c r="A4120" s="2">
        <v>45791</v>
      </c>
      <c r="B4120" t="s">
        <v>2904</v>
      </c>
      <c r="C4120">
        <v>50</v>
      </c>
      <c r="D4120" s="2">
        <v>45790</v>
      </c>
      <c r="E4120" t="s">
        <v>25</v>
      </c>
      <c r="F4120">
        <v>50</v>
      </c>
      <c r="G4120">
        <v>0</v>
      </c>
    </row>
    <row r="4121" spans="1:7" x14ac:dyDescent="0.3">
      <c r="A4121" s="2">
        <v>45791</v>
      </c>
      <c r="B4121" t="s">
        <v>2905</v>
      </c>
      <c r="C4121">
        <v>5479</v>
      </c>
      <c r="D4121" s="2">
        <v>45791</v>
      </c>
      <c r="E4121" t="s">
        <v>25</v>
      </c>
      <c r="F4121">
        <v>5479</v>
      </c>
      <c r="G4121">
        <v>0</v>
      </c>
    </row>
    <row r="4122" spans="1:7" x14ac:dyDescent="0.3">
      <c r="A4122" s="2">
        <v>45792</v>
      </c>
      <c r="B4122" t="s">
        <v>2906</v>
      </c>
      <c r="C4122">
        <v>123.75</v>
      </c>
      <c r="D4122" s="2">
        <v>45791</v>
      </c>
      <c r="E4122" t="s">
        <v>25</v>
      </c>
      <c r="F4122">
        <v>123.75</v>
      </c>
      <c r="G4122">
        <v>0</v>
      </c>
    </row>
    <row r="4123" spans="1:7" x14ac:dyDescent="0.3">
      <c r="A4123" s="2">
        <v>45793</v>
      </c>
      <c r="B4123" t="s">
        <v>2907</v>
      </c>
      <c r="C4123">
        <v>-818</v>
      </c>
      <c r="D4123" s="2">
        <v>45793</v>
      </c>
      <c r="E4123" t="s">
        <v>2004</v>
      </c>
      <c r="F4123">
        <v>-818</v>
      </c>
      <c r="G4123">
        <v>0</v>
      </c>
    </row>
    <row r="4124" spans="1:7" x14ac:dyDescent="0.3">
      <c r="A4124" s="2">
        <v>45793</v>
      </c>
      <c r="B4124" t="s">
        <v>2908</v>
      </c>
      <c r="C4124">
        <v>123.75</v>
      </c>
      <c r="D4124" s="2">
        <v>45792</v>
      </c>
      <c r="E4124" t="s">
        <v>25</v>
      </c>
      <c r="F4124">
        <v>123.75</v>
      </c>
      <c r="G4124">
        <v>0</v>
      </c>
    </row>
    <row r="4125" spans="1:7" x14ac:dyDescent="0.3">
      <c r="A4125" s="2">
        <v>45796</v>
      </c>
      <c r="B4125" t="s">
        <v>2909</v>
      </c>
      <c r="C4125">
        <v>-10.88</v>
      </c>
      <c r="D4125" s="2">
        <v>45796</v>
      </c>
      <c r="E4125" t="s">
        <v>2004</v>
      </c>
      <c r="F4125">
        <v>-10.88</v>
      </c>
      <c r="G4125">
        <v>0</v>
      </c>
    </row>
    <row r="4126" spans="1:7" x14ac:dyDescent="0.3">
      <c r="A4126" s="2">
        <v>45796</v>
      </c>
      <c r="B4126" t="s">
        <v>2910</v>
      </c>
      <c r="C4126">
        <v>165</v>
      </c>
      <c r="D4126" s="2">
        <v>45795</v>
      </c>
      <c r="E4126" t="s">
        <v>25</v>
      </c>
      <c r="F4126">
        <v>165</v>
      </c>
      <c r="G4126">
        <v>0</v>
      </c>
    </row>
    <row r="4127" spans="1:7" x14ac:dyDescent="0.3">
      <c r="A4127" s="2">
        <v>45798</v>
      </c>
      <c r="B4127" t="s">
        <v>2911</v>
      </c>
      <c r="C4127">
        <v>173.75</v>
      </c>
      <c r="D4127" s="2">
        <v>45797</v>
      </c>
      <c r="E4127" t="s">
        <v>25</v>
      </c>
      <c r="F4127">
        <v>173.75</v>
      </c>
      <c r="G4127">
        <v>0</v>
      </c>
    </row>
    <row r="4128" spans="1:7" x14ac:dyDescent="0.3">
      <c r="A4128" s="2">
        <v>45799</v>
      </c>
      <c r="B4128" t="s">
        <v>2912</v>
      </c>
      <c r="C4128">
        <v>203.75</v>
      </c>
      <c r="D4128" s="2">
        <v>45798</v>
      </c>
      <c r="E4128" t="s">
        <v>25</v>
      </c>
      <c r="F4128">
        <v>203.75</v>
      </c>
      <c r="G4128">
        <v>0</v>
      </c>
    </row>
    <row r="4129" spans="1:7" x14ac:dyDescent="0.3">
      <c r="A4129" s="2">
        <v>45800</v>
      </c>
      <c r="B4129" t="s">
        <v>2913</v>
      </c>
      <c r="C4129">
        <v>191.25</v>
      </c>
      <c r="D4129" s="2">
        <v>45799</v>
      </c>
      <c r="E4129" t="s">
        <v>25</v>
      </c>
      <c r="F4129">
        <v>191.25</v>
      </c>
      <c r="G4129">
        <v>0</v>
      </c>
    </row>
    <row r="4130" spans="1:7" x14ac:dyDescent="0.3">
      <c r="A4130" s="2">
        <v>45804</v>
      </c>
      <c r="B4130" t="s">
        <v>2914</v>
      </c>
      <c r="C4130">
        <v>150</v>
      </c>
      <c r="D4130" s="2">
        <v>45801</v>
      </c>
      <c r="E4130" t="s">
        <v>25</v>
      </c>
      <c r="F4130">
        <v>150</v>
      </c>
      <c r="G4130">
        <v>0</v>
      </c>
    </row>
    <row r="4131" spans="1:7" x14ac:dyDescent="0.3">
      <c r="A4131" s="2">
        <v>45804</v>
      </c>
      <c r="B4131" t="s">
        <v>2915</v>
      </c>
      <c r="C4131">
        <v>215</v>
      </c>
      <c r="D4131" s="2">
        <v>45803</v>
      </c>
      <c r="E4131" t="s">
        <v>25</v>
      </c>
      <c r="F4131">
        <v>215</v>
      </c>
      <c r="G4131">
        <v>0</v>
      </c>
    </row>
    <row r="4132" spans="1:7" x14ac:dyDescent="0.3">
      <c r="A4132" s="2">
        <v>45806</v>
      </c>
      <c r="B4132" t="s">
        <v>2916</v>
      </c>
      <c r="C4132">
        <v>123.75</v>
      </c>
      <c r="D4132" s="2">
        <v>45805</v>
      </c>
      <c r="E4132" t="s">
        <v>25</v>
      </c>
      <c r="F4132">
        <v>123.75</v>
      </c>
      <c r="G4132">
        <v>0</v>
      </c>
    </row>
    <row r="4133" spans="1:7" x14ac:dyDescent="0.3">
      <c r="A4133" s="2">
        <v>45807</v>
      </c>
      <c r="B4133" t="s">
        <v>2917</v>
      </c>
      <c r="C4133">
        <v>715</v>
      </c>
      <c r="D4133" s="2">
        <v>45806</v>
      </c>
      <c r="E4133" t="s">
        <v>25</v>
      </c>
      <c r="F4133">
        <v>715</v>
      </c>
      <c r="G4133">
        <v>0</v>
      </c>
    </row>
    <row r="4134" spans="1:7" x14ac:dyDescent="0.3">
      <c r="A4134" s="2">
        <v>45810</v>
      </c>
      <c r="B4134" t="s">
        <v>2918</v>
      </c>
      <c r="C4134">
        <v>123.75</v>
      </c>
      <c r="D4134" s="2">
        <v>45807</v>
      </c>
      <c r="E4134" t="s">
        <v>25</v>
      </c>
      <c r="F4134">
        <v>123.75</v>
      </c>
      <c r="G4134">
        <v>0</v>
      </c>
    </row>
    <row r="4135" spans="1:7" x14ac:dyDescent="0.3">
      <c r="A4135" s="2">
        <v>45810</v>
      </c>
      <c r="B4135" t="s">
        <v>2919</v>
      </c>
      <c r="C4135">
        <v>215</v>
      </c>
      <c r="D4135" s="2">
        <v>45808</v>
      </c>
      <c r="E4135" t="s">
        <v>25</v>
      </c>
      <c r="F4135">
        <v>215</v>
      </c>
      <c r="G4135">
        <v>0</v>
      </c>
    </row>
    <row r="4136" spans="1:7" x14ac:dyDescent="0.3">
      <c r="A4136" s="2">
        <v>45811</v>
      </c>
      <c r="B4136" t="s">
        <v>2920</v>
      </c>
      <c r="C4136">
        <v>50</v>
      </c>
      <c r="D4136" s="2">
        <v>45809</v>
      </c>
      <c r="E4136" t="s">
        <v>25</v>
      </c>
      <c r="F4136">
        <v>50</v>
      </c>
      <c r="G4136">
        <v>0</v>
      </c>
    </row>
    <row r="4137" spans="1:7" x14ac:dyDescent="0.3">
      <c r="A4137" s="2">
        <v>45811</v>
      </c>
      <c r="B4137" t="s">
        <v>2921</v>
      </c>
      <c r="C4137">
        <v>522.5</v>
      </c>
      <c r="D4137" s="2">
        <v>45810</v>
      </c>
      <c r="E4137" t="s">
        <v>25</v>
      </c>
      <c r="F4137">
        <v>522.5</v>
      </c>
      <c r="G4137">
        <v>0</v>
      </c>
    </row>
    <row r="4138" spans="1:7" x14ac:dyDescent="0.3">
      <c r="A4138" s="2">
        <v>45812</v>
      </c>
      <c r="B4138" t="s">
        <v>2922</v>
      </c>
      <c r="C4138">
        <v>2437.5</v>
      </c>
      <c r="D4138" s="2">
        <v>45811</v>
      </c>
      <c r="E4138" t="s">
        <v>25</v>
      </c>
      <c r="F4138">
        <v>2437.5</v>
      </c>
      <c r="G4138">
        <v>0</v>
      </c>
    </row>
    <row r="4139" spans="1:7" x14ac:dyDescent="0.3">
      <c r="A4139" s="2">
        <v>45813</v>
      </c>
      <c r="B4139" t="s">
        <v>2923</v>
      </c>
      <c r="C4139">
        <v>1632.5</v>
      </c>
      <c r="D4139" s="2">
        <v>45812</v>
      </c>
      <c r="E4139" t="s">
        <v>25</v>
      </c>
      <c r="F4139">
        <v>1632.5</v>
      </c>
      <c r="G4139">
        <v>0</v>
      </c>
    </row>
    <row r="4140" spans="1:7" x14ac:dyDescent="0.3">
      <c r="A4140" s="2">
        <v>45814</v>
      </c>
      <c r="B4140" t="s">
        <v>2924</v>
      </c>
      <c r="C4140">
        <v>1075</v>
      </c>
      <c r="D4140" s="2">
        <v>45813</v>
      </c>
      <c r="E4140" t="s">
        <v>25</v>
      </c>
      <c r="F4140">
        <v>1075</v>
      </c>
      <c r="G4140">
        <v>0</v>
      </c>
    </row>
    <row r="4141" spans="1:7" x14ac:dyDescent="0.3">
      <c r="A4141" s="2">
        <v>45817</v>
      </c>
      <c r="B4141" t="s">
        <v>2925</v>
      </c>
      <c r="C4141">
        <v>110</v>
      </c>
      <c r="D4141" s="2">
        <v>45816</v>
      </c>
      <c r="E4141" t="s">
        <v>25</v>
      </c>
      <c r="F4141">
        <v>110</v>
      </c>
      <c r="G4141">
        <v>0</v>
      </c>
    </row>
    <row r="4142" spans="1:7" x14ac:dyDescent="0.3">
      <c r="A4142" s="2">
        <v>45817</v>
      </c>
      <c r="B4142" t="s">
        <v>2926</v>
      </c>
      <c r="C4142">
        <v>640</v>
      </c>
      <c r="D4142" s="2">
        <v>45814</v>
      </c>
      <c r="E4142" t="s">
        <v>25</v>
      </c>
      <c r="F4142">
        <v>640</v>
      </c>
      <c r="G4142">
        <v>0</v>
      </c>
    </row>
    <row r="4143" spans="1:7" x14ac:dyDescent="0.3">
      <c r="A4143" s="2">
        <v>45817</v>
      </c>
      <c r="B4143" t="s">
        <v>2927</v>
      </c>
      <c r="C4143">
        <v>950</v>
      </c>
      <c r="D4143" s="2">
        <v>45815</v>
      </c>
      <c r="E4143" t="s">
        <v>25</v>
      </c>
      <c r="F4143">
        <v>950</v>
      </c>
      <c r="G4143">
        <v>0</v>
      </c>
    </row>
    <row r="4144" spans="1:7" x14ac:dyDescent="0.3">
      <c r="A4144" s="2">
        <v>45818</v>
      </c>
      <c r="B4144" t="s">
        <v>2928</v>
      </c>
      <c r="C4144">
        <v>1200</v>
      </c>
      <c r="D4144" s="2">
        <v>45817</v>
      </c>
      <c r="E4144" t="s">
        <v>25</v>
      </c>
      <c r="F4144">
        <v>1200</v>
      </c>
      <c r="G4144">
        <v>0</v>
      </c>
    </row>
    <row r="4145" spans="1:7" x14ac:dyDescent="0.3">
      <c r="A4145" s="2">
        <v>45819</v>
      </c>
      <c r="B4145" t="s">
        <v>2929</v>
      </c>
      <c r="C4145">
        <v>210</v>
      </c>
      <c r="D4145" s="2">
        <v>45818</v>
      </c>
      <c r="E4145" t="s">
        <v>25</v>
      </c>
      <c r="F4145">
        <v>210</v>
      </c>
      <c r="G4145">
        <v>0</v>
      </c>
    </row>
    <row r="4146" spans="1:7" x14ac:dyDescent="0.3">
      <c r="A4146" s="2">
        <v>45820</v>
      </c>
      <c r="B4146" t="s">
        <v>2930</v>
      </c>
      <c r="C4146">
        <v>1293.75</v>
      </c>
      <c r="D4146" s="2">
        <v>45819</v>
      </c>
      <c r="E4146" t="s">
        <v>25</v>
      </c>
      <c r="F4146">
        <v>1293.75</v>
      </c>
      <c r="G4146">
        <v>0</v>
      </c>
    </row>
    <row r="4147" spans="1:7" x14ac:dyDescent="0.3">
      <c r="A4147" s="2">
        <v>45821</v>
      </c>
      <c r="B4147" t="s">
        <v>2931</v>
      </c>
      <c r="C4147">
        <v>777.5</v>
      </c>
      <c r="D4147" s="2">
        <v>45820</v>
      </c>
      <c r="E4147" t="s">
        <v>25</v>
      </c>
      <c r="F4147">
        <v>777.5</v>
      </c>
      <c r="G4147">
        <v>0</v>
      </c>
    </row>
    <row r="4148" spans="1:7" x14ac:dyDescent="0.3">
      <c r="A4148" s="2">
        <v>45824</v>
      </c>
      <c r="B4148" t="s">
        <v>2932</v>
      </c>
      <c r="C4148">
        <v>705</v>
      </c>
      <c r="D4148" s="2">
        <v>45822</v>
      </c>
      <c r="E4148" t="s">
        <v>25</v>
      </c>
      <c r="F4148">
        <v>705</v>
      </c>
      <c r="G4148">
        <v>0</v>
      </c>
    </row>
    <row r="4149" spans="1:7" x14ac:dyDescent="0.3">
      <c r="A4149" s="2">
        <v>45824</v>
      </c>
      <c r="B4149" t="s">
        <v>2933</v>
      </c>
      <c r="C4149">
        <v>581.25</v>
      </c>
      <c r="D4149" s="2">
        <v>45821</v>
      </c>
      <c r="E4149" t="s">
        <v>25</v>
      </c>
      <c r="F4149">
        <v>581.25</v>
      </c>
      <c r="G4149">
        <v>0</v>
      </c>
    </row>
    <row r="4150" spans="1:7" x14ac:dyDescent="0.3">
      <c r="A4150" s="2">
        <v>45825</v>
      </c>
      <c r="B4150" t="s">
        <v>2934</v>
      </c>
      <c r="C4150">
        <v>220</v>
      </c>
      <c r="D4150" s="2">
        <v>45824</v>
      </c>
      <c r="E4150" t="s">
        <v>25</v>
      </c>
      <c r="F4150">
        <v>220</v>
      </c>
      <c r="G4150">
        <v>0</v>
      </c>
    </row>
    <row r="4151" spans="1:7" x14ac:dyDescent="0.3">
      <c r="A4151" s="2">
        <v>45826</v>
      </c>
      <c r="B4151" t="s">
        <v>2935</v>
      </c>
      <c r="C4151">
        <v>467.5</v>
      </c>
      <c r="D4151" s="2">
        <v>45825</v>
      </c>
      <c r="E4151" t="s">
        <v>25</v>
      </c>
      <c r="F4151">
        <v>467.5</v>
      </c>
      <c r="G4151">
        <v>0</v>
      </c>
    </row>
    <row r="4152" spans="1:7" x14ac:dyDescent="0.3">
      <c r="A4152" s="2">
        <v>45828</v>
      </c>
      <c r="B4152" t="s">
        <v>2936</v>
      </c>
      <c r="C4152">
        <v>220</v>
      </c>
      <c r="D4152" s="2">
        <v>45827</v>
      </c>
      <c r="E4152" t="s">
        <v>25</v>
      </c>
      <c r="F4152">
        <v>220</v>
      </c>
      <c r="G4152">
        <v>0</v>
      </c>
    </row>
    <row r="4153" spans="1:7" x14ac:dyDescent="0.3">
      <c r="A4153" s="2">
        <v>45828</v>
      </c>
      <c r="B4153" t="s">
        <v>2937</v>
      </c>
      <c r="C4153">
        <v>412.5</v>
      </c>
      <c r="D4153" s="2">
        <v>45826</v>
      </c>
      <c r="E4153" t="s">
        <v>25</v>
      </c>
      <c r="F4153">
        <v>412.5</v>
      </c>
      <c r="G4153">
        <v>0</v>
      </c>
    </row>
    <row r="4154" spans="1:7" x14ac:dyDescent="0.3">
      <c r="A4154" s="2">
        <v>45831</v>
      </c>
      <c r="B4154" t="s">
        <v>2938</v>
      </c>
      <c r="C4154">
        <v>210</v>
      </c>
      <c r="D4154" s="2">
        <v>45830</v>
      </c>
      <c r="E4154" t="s">
        <v>25</v>
      </c>
      <c r="F4154">
        <v>210</v>
      </c>
      <c r="G4154">
        <v>0</v>
      </c>
    </row>
    <row r="4155" spans="1:7" x14ac:dyDescent="0.3">
      <c r="A4155" s="2">
        <v>45831</v>
      </c>
      <c r="B4155" t="s">
        <v>2939</v>
      </c>
      <c r="C4155">
        <v>1720</v>
      </c>
      <c r="D4155" s="2">
        <v>45829</v>
      </c>
      <c r="E4155" t="s">
        <v>25</v>
      </c>
      <c r="F4155">
        <v>1720</v>
      </c>
      <c r="G4155">
        <v>0</v>
      </c>
    </row>
    <row r="4156" spans="1:7" x14ac:dyDescent="0.3">
      <c r="A4156" s="2">
        <v>45831</v>
      </c>
      <c r="B4156" t="s">
        <v>2940</v>
      </c>
      <c r="C4156">
        <v>2613.75</v>
      </c>
      <c r="D4156" s="2">
        <v>45828</v>
      </c>
      <c r="E4156" t="s">
        <v>25</v>
      </c>
      <c r="F4156">
        <v>2613.75</v>
      </c>
      <c r="G4156">
        <v>0</v>
      </c>
    </row>
    <row r="4157" spans="1:7" x14ac:dyDescent="0.3">
      <c r="A4157" s="2">
        <v>45832</v>
      </c>
      <c r="B4157" t="s">
        <v>2941</v>
      </c>
      <c r="C4157">
        <v>123.75</v>
      </c>
      <c r="D4157" s="2">
        <v>45831</v>
      </c>
      <c r="E4157" t="s">
        <v>25</v>
      </c>
      <c r="F4157">
        <v>123.75</v>
      </c>
      <c r="G4157">
        <v>0</v>
      </c>
    </row>
    <row r="4158" spans="1:7" x14ac:dyDescent="0.3">
      <c r="A4158" s="2">
        <v>45833</v>
      </c>
      <c r="B4158" t="s">
        <v>2942</v>
      </c>
      <c r="C4158">
        <v>1383.75</v>
      </c>
      <c r="D4158" s="2">
        <v>45832</v>
      </c>
      <c r="E4158" t="s">
        <v>25</v>
      </c>
      <c r="F4158">
        <v>1383.75</v>
      </c>
      <c r="G4158">
        <v>0</v>
      </c>
    </row>
    <row r="4159" spans="1:7" x14ac:dyDescent="0.3">
      <c r="A4159" s="2">
        <v>45834</v>
      </c>
      <c r="B4159" t="s">
        <v>2943</v>
      </c>
      <c r="C4159">
        <v>385</v>
      </c>
      <c r="D4159" s="2">
        <v>45833</v>
      </c>
      <c r="E4159" t="s">
        <v>25</v>
      </c>
      <c r="F4159">
        <v>385</v>
      </c>
      <c r="G4159">
        <v>0</v>
      </c>
    </row>
    <row r="4160" spans="1:7" x14ac:dyDescent="0.3">
      <c r="A4160" s="2">
        <v>45835</v>
      </c>
      <c r="B4160" t="s">
        <v>2944</v>
      </c>
      <c r="C4160">
        <v>965</v>
      </c>
      <c r="D4160" s="2">
        <v>45834</v>
      </c>
      <c r="E4160" t="s">
        <v>25</v>
      </c>
      <c r="F4160">
        <v>965</v>
      </c>
      <c r="G4160">
        <v>0</v>
      </c>
    </row>
    <row r="4161" spans="1:7" x14ac:dyDescent="0.3">
      <c r="A4161" s="2">
        <v>45838</v>
      </c>
      <c r="B4161" t="s">
        <v>2945</v>
      </c>
      <c r="C4161">
        <v>330</v>
      </c>
      <c r="D4161" s="2">
        <v>45837</v>
      </c>
      <c r="E4161" t="s">
        <v>25</v>
      </c>
      <c r="F4161">
        <v>330</v>
      </c>
      <c r="G4161">
        <v>0</v>
      </c>
    </row>
    <row r="4162" spans="1:7" x14ac:dyDescent="0.3">
      <c r="A4162" s="2">
        <v>45838</v>
      </c>
      <c r="B4162" t="s">
        <v>2946</v>
      </c>
      <c r="C4162">
        <v>698.75</v>
      </c>
      <c r="D4162" s="2">
        <v>45836</v>
      </c>
      <c r="E4162" t="s">
        <v>25</v>
      </c>
      <c r="F4162">
        <v>698.75</v>
      </c>
      <c r="G4162">
        <v>0</v>
      </c>
    </row>
    <row r="4163" spans="1:7" x14ac:dyDescent="0.3">
      <c r="A4163" s="2">
        <v>45838</v>
      </c>
      <c r="B4163" t="s">
        <v>2947</v>
      </c>
      <c r="C4163">
        <v>975</v>
      </c>
      <c r="D4163" s="2">
        <v>45835</v>
      </c>
      <c r="E4163" t="s">
        <v>25</v>
      </c>
      <c r="F4163">
        <v>975</v>
      </c>
      <c r="G4163">
        <v>0</v>
      </c>
    </row>
  </sheetData>
  <autoFilter ref="A1:G416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topLeftCell="A14" workbookViewId="0">
      <selection activeCell="B4" sqref="B4"/>
    </sheetView>
  </sheetViews>
  <sheetFormatPr defaultRowHeight="14.4" x14ac:dyDescent="0.3"/>
  <cols>
    <col min="1" max="1" width="18.109375" style="13" bestFit="1" customWidth="1"/>
    <col min="2" max="2" width="62.88671875" style="5" customWidth="1"/>
    <col min="3" max="3" width="31.88671875" style="11" customWidth="1"/>
    <col min="4" max="4" width="12.5546875" bestFit="1" customWidth="1"/>
    <col min="5" max="5" width="36.33203125" customWidth="1"/>
  </cols>
  <sheetData>
    <row r="1" spans="1:5" x14ac:dyDescent="0.3">
      <c r="A1" s="14" t="s">
        <v>2948</v>
      </c>
      <c r="B1" s="15" t="s">
        <v>2949</v>
      </c>
      <c r="C1" s="16" t="s">
        <v>2950</v>
      </c>
      <c r="D1" s="17" t="s">
        <v>2951</v>
      </c>
      <c r="E1" s="1" t="s">
        <v>2952</v>
      </c>
    </row>
    <row r="2" spans="1:5" ht="28.8" x14ac:dyDescent="0.3">
      <c r="A2" s="6">
        <v>44875</v>
      </c>
      <c r="B2" s="7" t="s">
        <v>2953</v>
      </c>
      <c r="C2" s="8">
        <v>-67442.960000000006</v>
      </c>
      <c r="D2" s="8">
        <v>591321.96</v>
      </c>
      <c r="E2" s="9" t="s">
        <v>2954</v>
      </c>
    </row>
    <row r="3" spans="1:5" x14ac:dyDescent="0.3">
      <c r="A3" s="6">
        <v>43889</v>
      </c>
      <c r="B3" s="7" t="s">
        <v>2955</v>
      </c>
      <c r="C3" s="8">
        <v>-50000</v>
      </c>
      <c r="D3" s="8">
        <v>304241.44000000012</v>
      </c>
      <c r="E3" s="9" t="s">
        <v>2954</v>
      </c>
    </row>
    <row r="4" spans="1:5" x14ac:dyDescent="0.3">
      <c r="A4" s="6">
        <v>45520</v>
      </c>
      <c r="B4" s="7" t="s">
        <v>2956</v>
      </c>
      <c r="C4" s="8">
        <v>-45808.32</v>
      </c>
      <c r="D4" s="10">
        <v>254541.46</v>
      </c>
      <c r="E4" s="9" t="s">
        <v>2954</v>
      </c>
    </row>
    <row r="5" spans="1:5" x14ac:dyDescent="0.3">
      <c r="A5" s="6">
        <v>44998</v>
      </c>
      <c r="B5" s="7" t="s">
        <v>2957</v>
      </c>
      <c r="C5" s="8">
        <v>-43026.28</v>
      </c>
      <c r="D5" s="8">
        <v>693930.96000000008</v>
      </c>
      <c r="E5" s="9" t="s">
        <v>2954</v>
      </c>
    </row>
    <row r="6" spans="1:5" x14ac:dyDescent="0.3">
      <c r="A6" s="6">
        <v>43258</v>
      </c>
      <c r="B6" s="7" t="s">
        <v>2958</v>
      </c>
      <c r="C6" s="8">
        <v>-11353.16</v>
      </c>
      <c r="D6" s="8">
        <v>431212.41</v>
      </c>
      <c r="E6" s="9" t="s">
        <v>2959</v>
      </c>
    </row>
    <row r="7" spans="1:5" x14ac:dyDescent="0.3">
      <c r="A7" s="6">
        <v>43354</v>
      </c>
      <c r="B7" s="7" t="s">
        <v>31</v>
      </c>
      <c r="C7" s="8">
        <v>2450</v>
      </c>
      <c r="D7" s="8">
        <v>457435.67999999988</v>
      </c>
      <c r="E7" s="9" t="s">
        <v>2959</v>
      </c>
    </row>
    <row r="8" spans="1:5" x14ac:dyDescent="0.3">
      <c r="A8" s="6">
        <v>45805</v>
      </c>
      <c r="B8" s="10" t="s">
        <v>2960</v>
      </c>
      <c r="C8" s="8">
        <v>-38750</v>
      </c>
      <c r="D8" s="10">
        <v>3396.110000000001</v>
      </c>
      <c r="E8" s="9" t="s">
        <v>2954</v>
      </c>
    </row>
    <row r="9" spans="1:5" x14ac:dyDescent="0.3">
      <c r="A9" s="6">
        <v>45838</v>
      </c>
      <c r="B9" s="10" t="s">
        <v>2961</v>
      </c>
      <c r="C9" s="8">
        <v>-35702.26</v>
      </c>
      <c r="D9" s="10">
        <v>233441.04</v>
      </c>
      <c r="E9" s="9" t="s">
        <v>2954</v>
      </c>
    </row>
    <row r="10" spans="1:5" x14ac:dyDescent="0.3">
      <c r="A10" s="6">
        <v>45419</v>
      </c>
      <c r="B10" s="7" t="s">
        <v>2962</v>
      </c>
      <c r="C10" s="8">
        <v>-35075.040000000001</v>
      </c>
      <c r="D10" s="10">
        <v>257742.15</v>
      </c>
      <c r="E10" s="9" t="s">
        <v>2954</v>
      </c>
    </row>
    <row r="11" spans="1:5" x14ac:dyDescent="0.3">
      <c r="A11" s="6">
        <v>43354</v>
      </c>
      <c r="B11" s="7" t="s">
        <v>31</v>
      </c>
      <c r="C11" s="8">
        <v>3100</v>
      </c>
      <c r="D11" s="8">
        <v>448185.67999999988</v>
      </c>
      <c r="E11" s="9" t="s">
        <v>2959</v>
      </c>
    </row>
    <row r="12" spans="1:5" x14ac:dyDescent="0.3">
      <c r="A12" s="6">
        <v>43354</v>
      </c>
      <c r="B12" s="7" t="s">
        <v>31</v>
      </c>
      <c r="C12" s="8">
        <v>5800</v>
      </c>
      <c r="D12" s="8">
        <v>454985.67999999988</v>
      </c>
      <c r="E12" s="9" t="s">
        <v>2959</v>
      </c>
    </row>
    <row r="13" spans="1:5" ht="28.8" x14ac:dyDescent="0.3">
      <c r="A13" s="6">
        <v>44655</v>
      </c>
      <c r="B13" s="7" t="s">
        <v>2963</v>
      </c>
      <c r="C13" s="8">
        <v>-27049.24</v>
      </c>
      <c r="D13" s="8">
        <v>650025.81000000006</v>
      </c>
      <c r="E13" s="9" t="s">
        <v>2954</v>
      </c>
    </row>
    <row r="14" spans="1:5" x14ac:dyDescent="0.3">
      <c r="A14" s="6">
        <v>44099</v>
      </c>
      <c r="B14" s="7" t="s">
        <v>2964</v>
      </c>
      <c r="C14" s="8">
        <v>-27000</v>
      </c>
      <c r="D14" s="8">
        <v>247969.17000000019</v>
      </c>
      <c r="E14" s="9" t="s">
        <v>2954</v>
      </c>
    </row>
    <row r="15" spans="1:5" x14ac:dyDescent="0.3">
      <c r="A15" s="6">
        <v>43528</v>
      </c>
      <c r="B15" s="7" t="s">
        <v>2965</v>
      </c>
      <c r="C15" s="8">
        <v>-25968.59</v>
      </c>
      <c r="D15" s="8">
        <v>569941.19000000006</v>
      </c>
      <c r="E15" s="9" t="s">
        <v>2954</v>
      </c>
    </row>
    <row r="16" spans="1:5" x14ac:dyDescent="0.3">
      <c r="A16" s="6">
        <v>43354</v>
      </c>
      <c r="B16" s="7" t="s">
        <v>31</v>
      </c>
      <c r="C16" s="8">
        <v>6400</v>
      </c>
      <c r="D16" s="8">
        <v>444885.67999999988</v>
      </c>
      <c r="E16" s="9" t="s">
        <v>2959</v>
      </c>
    </row>
    <row r="17" spans="1:5" ht="28.8" x14ac:dyDescent="0.3">
      <c r="A17" s="6">
        <v>43374</v>
      </c>
      <c r="B17" s="7" t="s">
        <v>2966</v>
      </c>
      <c r="C17" s="8">
        <v>2448.71</v>
      </c>
      <c r="D17" s="8">
        <v>466177.4499999999</v>
      </c>
      <c r="E17" s="9" t="s">
        <v>2959</v>
      </c>
    </row>
    <row r="18" spans="1:5" ht="28.8" x14ac:dyDescent="0.3">
      <c r="A18" s="6">
        <v>43448</v>
      </c>
      <c r="B18" s="7" t="s">
        <v>2967</v>
      </c>
      <c r="C18" s="8">
        <v>3000</v>
      </c>
      <c r="D18" s="8">
        <v>445510.99</v>
      </c>
      <c r="E18" s="9" t="s">
        <v>2959</v>
      </c>
    </row>
    <row r="19" spans="1:5" x14ac:dyDescent="0.3">
      <c r="A19" s="6">
        <v>45119</v>
      </c>
      <c r="B19" s="7" t="s">
        <v>2968</v>
      </c>
      <c r="C19" s="8">
        <v>-21750</v>
      </c>
      <c r="D19" s="8">
        <v>270146.87000000023</v>
      </c>
      <c r="E19" s="9" t="s">
        <v>2969</v>
      </c>
    </row>
    <row r="20" spans="1:5" ht="28.8" x14ac:dyDescent="0.3">
      <c r="A20" s="6">
        <v>45387</v>
      </c>
      <c r="B20" s="7" t="s">
        <v>2970</v>
      </c>
      <c r="C20" s="8">
        <v>-21750</v>
      </c>
      <c r="D20" s="10">
        <v>328113.46000000002</v>
      </c>
      <c r="E20" s="9" t="s">
        <v>2969</v>
      </c>
    </row>
    <row r="21" spans="1:5" x14ac:dyDescent="0.3">
      <c r="A21" s="6">
        <v>43448</v>
      </c>
      <c r="B21" s="7" t="s">
        <v>2971</v>
      </c>
      <c r="C21" s="8">
        <v>6995</v>
      </c>
      <c r="D21" s="8">
        <v>442510.99</v>
      </c>
      <c r="E21" s="9" t="s">
        <v>2959</v>
      </c>
    </row>
    <row r="22" spans="1:5" x14ac:dyDescent="0.3">
      <c r="A22" s="6">
        <v>43858</v>
      </c>
      <c r="B22" s="7" t="s">
        <v>2972</v>
      </c>
      <c r="C22" s="8">
        <v>-20000</v>
      </c>
      <c r="D22" s="8">
        <v>481517.47000000009</v>
      </c>
      <c r="E22" s="9" t="s">
        <v>2954</v>
      </c>
    </row>
    <row r="23" spans="1:5" x14ac:dyDescent="0.3">
      <c r="A23" s="6">
        <v>44585</v>
      </c>
      <c r="B23" s="7" t="s">
        <v>2973</v>
      </c>
      <c r="C23" s="8">
        <v>-20000</v>
      </c>
      <c r="D23" s="8">
        <v>783895.75999999978</v>
      </c>
      <c r="E23" s="9" t="s">
        <v>2954</v>
      </c>
    </row>
    <row r="24" spans="1:5" ht="28.8" x14ac:dyDescent="0.3">
      <c r="A24" s="6">
        <v>43476</v>
      </c>
      <c r="B24" s="7" t="s">
        <v>2974</v>
      </c>
      <c r="C24" s="8">
        <v>-8720</v>
      </c>
      <c r="D24" s="8">
        <v>504857.01</v>
      </c>
      <c r="E24" s="9" t="s">
        <v>2959</v>
      </c>
    </row>
    <row r="25" spans="1:5" x14ac:dyDescent="0.3">
      <c r="A25" s="6">
        <v>43479</v>
      </c>
      <c r="B25" s="7" t="s">
        <v>24</v>
      </c>
      <c r="C25" s="8">
        <v>6335</v>
      </c>
      <c r="D25" s="8">
        <v>524662.86999999988</v>
      </c>
      <c r="E25" s="9" t="s">
        <v>2959</v>
      </c>
    </row>
    <row r="26" spans="1:5" x14ac:dyDescent="0.3">
      <c r="A26" s="6">
        <v>43487</v>
      </c>
      <c r="B26" s="7" t="s">
        <v>24</v>
      </c>
      <c r="C26" s="8">
        <v>3600</v>
      </c>
      <c r="D26" s="8">
        <v>571610.99999999977</v>
      </c>
      <c r="E26" s="9" t="s">
        <v>2959</v>
      </c>
    </row>
    <row r="27" spans="1:5" x14ac:dyDescent="0.3">
      <c r="A27" s="6">
        <v>43487</v>
      </c>
      <c r="B27" s="7" t="s">
        <v>24</v>
      </c>
      <c r="C27" s="8">
        <v>4425</v>
      </c>
      <c r="D27" s="8">
        <v>576035.99999999977</v>
      </c>
      <c r="E27" s="9" t="s">
        <v>2959</v>
      </c>
    </row>
    <row r="28" spans="1:5" x14ac:dyDescent="0.3">
      <c r="A28" s="6">
        <v>45826</v>
      </c>
      <c r="B28" s="10" t="s">
        <v>2975</v>
      </c>
      <c r="C28" s="8">
        <v>-16682.59</v>
      </c>
      <c r="D28" s="10">
        <v>263147.11</v>
      </c>
      <c r="E28" s="9" t="s">
        <v>2954</v>
      </c>
    </row>
    <row r="29" spans="1:5" x14ac:dyDescent="0.3">
      <c r="A29" s="6">
        <v>45806</v>
      </c>
      <c r="B29" s="10" t="s">
        <v>2976</v>
      </c>
      <c r="C29" s="8">
        <v>-15600</v>
      </c>
      <c r="D29" s="10">
        <v>289980.88</v>
      </c>
      <c r="E29" s="9" t="s">
        <v>2954</v>
      </c>
    </row>
    <row r="30" spans="1:5" x14ac:dyDescent="0.3">
      <c r="A30" s="6">
        <v>43521</v>
      </c>
      <c r="B30" s="7" t="s">
        <v>24</v>
      </c>
      <c r="C30" s="8">
        <v>4950</v>
      </c>
      <c r="D30" s="8">
        <v>607443.21000000008</v>
      </c>
      <c r="E30" s="9" t="s">
        <v>2959</v>
      </c>
    </row>
    <row r="31" spans="1:5" ht="28.8" x14ac:dyDescent="0.3">
      <c r="A31" s="6">
        <v>43544</v>
      </c>
      <c r="B31" s="7" t="s">
        <v>2977</v>
      </c>
      <c r="C31" s="8">
        <v>-18225.57</v>
      </c>
      <c r="D31" s="8">
        <v>507298.52000000008</v>
      </c>
      <c r="E31" s="9" t="s">
        <v>2959</v>
      </c>
    </row>
    <row r="32" spans="1:5" ht="28.8" x14ac:dyDescent="0.3">
      <c r="A32" s="6">
        <v>44235</v>
      </c>
      <c r="B32" s="7" t="s">
        <v>2978</v>
      </c>
      <c r="C32" s="8">
        <v>-15000</v>
      </c>
      <c r="D32" s="8">
        <v>499183.18</v>
      </c>
      <c r="E32" s="9" t="s">
        <v>2954</v>
      </c>
    </row>
    <row r="33" spans="1:5" ht="28.8" x14ac:dyDescent="0.3">
      <c r="A33" s="6">
        <v>44270</v>
      </c>
      <c r="B33" s="7" t="s">
        <v>2979</v>
      </c>
      <c r="C33" s="8">
        <v>-15000</v>
      </c>
      <c r="D33" s="8">
        <v>449982.93999999983</v>
      </c>
      <c r="E33" s="9" t="s">
        <v>2954</v>
      </c>
    </row>
    <row r="34" spans="1:5" x14ac:dyDescent="0.3">
      <c r="A34" s="6">
        <v>44418</v>
      </c>
      <c r="B34" s="7" t="s">
        <v>2980</v>
      </c>
      <c r="C34" s="8">
        <v>-15000</v>
      </c>
      <c r="D34" s="8">
        <v>426551.65999999963</v>
      </c>
      <c r="E34" s="9" t="s">
        <v>2954</v>
      </c>
    </row>
    <row r="35" spans="1:5" ht="28.8" x14ac:dyDescent="0.3">
      <c r="A35" s="6">
        <v>44470</v>
      </c>
      <c r="B35" s="7" t="s">
        <v>2981</v>
      </c>
      <c r="C35" s="8">
        <v>-15000</v>
      </c>
      <c r="D35" s="8">
        <v>478791.78999999951</v>
      </c>
      <c r="E35" s="9" t="s">
        <v>2954</v>
      </c>
    </row>
    <row r="36" spans="1:5" x14ac:dyDescent="0.3">
      <c r="A36" s="6">
        <v>43837</v>
      </c>
      <c r="B36" s="7" t="s">
        <v>2982</v>
      </c>
      <c r="C36" s="8">
        <v>-14700</v>
      </c>
      <c r="D36" s="8">
        <v>365236.14000000019</v>
      </c>
      <c r="E36" s="9" t="s">
        <v>2954</v>
      </c>
    </row>
    <row r="37" spans="1:5" ht="28.8" x14ac:dyDescent="0.3">
      <c r="A37" s="6">
        <v>43566</v>
      </c>
      <c r="B37" s="7" t="s">
        <v>2983</v>
      </c>
      <c r="C37" s="8">
        <v>-5000</v>
      </c>
      <c r="D37" s="8">
        <v>484604.07</v>
      </c>
      <c r="E37" s="9" t="s">
        <v>2959</v>
      </c>
    </row>
    <row r="38" spans="1:5" x14ac:dyDescent="0.3">
      <c r="A38" s="6">
        <v>45225</v>
      </c>
      <c r="B38" s="7" t="s">
        <v>2984</v>
      </c>
      <c r="C38" s="8">
        <v>-13600</v>
      </c>
      <c r="D38" s="8">
        <v>222235.74000000019</v>
      </c>
      <c r="E38" s="9" t="s">
        <v>2985</v>
      </c>
    </row>
    <row r="39" spans="1:5" x14ac:dyDescent="0.3">
      <c r="A39" s="6">
        <v>45225</v>
      </c>
      <c r="B39" s="7" t="s">
        <v>2986</v>
      </c>
      <c r="C39" s="8">
        <v>-13600</v>
      </c>
      <c r="D39" s="8">
        <v>208635.74000000019</v>
      </c>
      <c r="E39" s="9" t="s">
        <v>2985</v>
      </c>
    </row>
    <row r="40" spans="1:5" x14ac:dyDescent="0.3">
      <c r="A40" s="6">
        <v>45308</v>
      </c>
      <c r="B40" s="7" t="s">
        <v>2987</v>
      </c>
      <c r="C40" s="8">
        <v>-13600</v>
      </c>
      <c r="D40" s="10">
        <v>457668.7200000002</v>
      </c>
      <c r="E40" s="9" t="s">
        <v>2985</v>
      </c>
    </row>
    <row r="41" spans="1:5" x14ac:dyDescent="0.3">
      <c r="A41" s="6">
        <v>45344</v>
      </c>
      <c r="B41" s="7" t="s">
        <v>2988</v>
      </c>
      <c r="C41" s="8">
        <v>-13600</v>
      </c>
      <c r="D41" s="10">
        <v>604008.23000000021</v>
      </c>
      <c r="E41" s="9" t="s">
        <v>2985</v>
      </c>
    </row>
    <row r="42" spans="1:5" x14ac:dyDescent="0.3">
      <c r="A42" s="6">
        <v>45348</v>
      </c>
      <c r="B42" s="7" t="s">
        <v>2989</v>
      </c>
      <c r="C42" s="8">
        <v>-13600</v>
      </c>
      <c r="D42" s="10">
        <v>595503.23000000021</v>
      </c>
      <c r="E42" s="9" t="s">
        <v>2985</v>
      </c>
    </row>
    <row r="43" spans="1:5" x14ac:dyDescent="0.3">
      <c r="A43" s="6">
        <v>45455</v>
      </c>
      <c r="B43" s="7" t="s">
        <v>2990</v>
      </c>
      <c r="C43" s="8">
        <v>-13600</v>
      </c>
      <c r="D43" s="10">
        <v>203071.34</v>
      </c>
      <c r="E43" s="9" t="s">
        <v>2985</v>
      </c>
    </row>
    <row r="44" spans="1:5" x14ac:dyDescent="0.3">
      <c r="A44" s="6">
        <v>45456</v>
      </c>
      <c r="B44" s="7" t="s">
        <v>2991</v>
      </c>
      <c r="C44" s="8">
        <v>-13600</v>
      </c>
      <c r="D44" s="10">
        <v>158032.45000000001</v>
      </c>
      <c r="E44" s="9" t="s">
        <v>2985</v>
      </c>
    </row>
    <row r="45" spans="1:5" x14ac:dyDescent="0.3">
      <c r="A45" s="6">
        <v>45533</v>
      </c>
      <c r="B45" s="7" t="s">
        <v>2992</v>
      </c>
      <c r="C45" s="8">
        <v>-13600</v>
      </c>
      <c r="D45" s="10">
        <v>254231.91</v>
      </c>
      <c r="E45" s="9" t="s">
        <v>2985</v>
      </c>
    </row>
    <row r="46" spans="1:5" x14ac:dyDescent="0.3">
      <c r="A46" s="6">
        <v>45533</v>
      </c>
      <c r="B46" s="7" t="s">
        <v>2993</v>
      </c>
      <c r="C46" s="8">
        <v>-13600</v>
      </c>
      <c r="D46" s="10">
        <v>240631.91</v>
      </c>
      <c r="E46" s="9" t="s">
        <v>2985</v>
      </c>
    </row>
    <row r="47" spans="1:5" x14ac:dyDescent="0.3">
      <c r="A47" s="6">
        <v>45562</v>
      </c>
      <c r="B47" s="7" t="s">
        <v>2994</v>
      </c>
      <c r="C47" s="8">
        <v>-13600</v>
      </c>
      <c r="D47" s="10">
        <v>178703.24</v>
      </c>
      <c r="E47" s="9" t="s">
        <v>2985</v>
      </c>
    </row>
    <row r="48" spans="1:5" x14ac:dyDescent="0.3">
      <c r="A48" s="6">
        <v>45679</v>
      </c>
      <c r="B48" s="10" t="s">
        <v>2995</v>
      </c>
      <c r="C48" s="8">
        <v>-13600</v>
      </c>
      <c r="D48" s="10">
        <v>384476.95</v>
      </c>
      <c r="E48" s="9" t="s">
        <v>2985</v>
      </c>
    </row>
    <row r="49" spans="1:5" x14ac:dyDescent="0.3">
      <c r="A49" s="6">
        <v>45747</v>
      </c>
      <c r="B49" s="10" t="s">
        <v>2996</v>
      </c>
      <c r="C49" s="8">
        <v>-13600</v>
      </c>
      <c r="D49" s="10">
        <v>204118.58</v>
      </c>
      <c r="E49" s="9" t="s">
        <v>2985</v>
      </c>
    </row>
    <row r="50" spans="1:5" x14ac:dyDescent="0.3">
      <c r="A50" s="6">
        <v>45503</v>
      </c>
      <c r="B50" s="7" t="s">
        <v>2997</v>
      </c>
      <c r="C50" s="8">
        <v>-13400</v>
      </c>
      <c r="D50" s="10">
        <v>271078</v>
      </c>
      <c r="E50" s="9" t="s">
        <v>2954</v>
      </c>
    </row>
    <row r="51" spans="1:5" x14ac:dyDescent="0.3">
      <c r="A51" s="6">
        <v>43636</v>
      </c>
      <c r="B51" s="7" t="s">
        <v>31</v>
      </c>
      <c r="C51" s="8">
        <v>9504.06</v>
      </c>
      <c r="D51" s="8">
        <v>115201.2300000001</v>
      </c>
      <c r="E51" s="9" t="s">
        <v>2959</v>
      </c>
    </row>
    <row r="52" spans="1:5" ht="28.8" x14ac:dyDescent="0.3">
      <c r="A52" s="6">
        <v>44595</v>
      </c>
      <c r="B52" s="7" t="s">
        <v>2998</v>
      </c>
      <c r="C52" s="8">
        <v>-12500</v>
      </c>
      <c r="D52" s="8">
        <v>786913.58999999985</v>
      </c>
      <c r="E52" s="9" t="s">
        <v>2954</v>
      </c>
    </row>
    <row r="53" spans="1:5" x14ac:dyDescent="0.3">
      <c r="A53" s="6">
        <v>43690</v>
      </c>
      <c r="B53" s="7" t="s">
        <v>31</v>
      </c>
      <c r="C53" s="8">
        <v>6500</v>
      </c>
      <c r="D53" s="8">
        <v>141359.60000000009</v>
      </c>
      <c r="E53" s="9" t="s">
        <v>2959</v>
      </c>
    </row>
    <row r="54" spans="1:5" x14ac:dyDescent="0.3">
      <c r="A54" s="6">
        <v>45805</v>
      </c>
      <c r="B54" s="10" t="s">
        <v>2999</v>
      </c>
      <c r="C54" s="8">
        <v>-12357.32</v>
      </c>
      <c r="D54" s="10">
        <v>-8961.2099999999991</v>
      </c>
      <c r="E54" s="9" t="s">
        <v>2954</v>
      </c>
    </row>
    <row r="55" spans="1:5" x14ac:dyDescent="0.3">
      <c r="A55" s="6">
        <v>43832</v>
      </c>
      <c r="B55" s="7" t="s">
        <v>3000</v>
      </c>
      <c r="C55" s="8">
        <v>-4229.62</v>
      </c>
      <c r="D55" s="8">
        <v>327879.47000000009</v>
      </c>
      <c r="E55" s="9" t="s">
        <v>2959</v>
      </c>
    </row>
    <row r="56" spans="1:5" x14ac:dyDescent="0.3">
      <c r="A56" s="6">
        <v>43895</v>
      </c>
      <c r="B56" s="7" t="s">
        <v>31</v>
      </c>
      <c r="C56" s="8">
        <v>2500</v>
      </c>
      <c r="D56" s="8">
        <v>302878.28000000009</v>
      </c>
      <c r="E56" s="9" t="s">
        <v>2959</v>
      </c>
    </row>
    <row r="57" spans="1:5" x14ac:dyDescent="0.3">
      <c r="A57" s="6">
        <v>43899</v>
      </c>
      <c r="B57" s="7" t="s">
        <v>24</v>
      </c>
      <c r="C57" s="8">
        <v>3000</v>
      </c>
      <c r="D57" s="8">
        <v>309871.76000000013</v>
      </c>
      <c r="E57" s="9" t="s">
        <v>2959</v>
      </c>
    </row>
    <row r="58" spans="1:5" x14ac:dyDescent="0.3">
      <c r="A58" s="6">
        <v>43937</v>
      </c>
      <c r="B58" s="7" t="s">
        <v>3001</v>
      </c>
      <c r="C58" s="8">
        <v>3119.98</v>
      </c>
      <c r="D58" s="8">
        <v>231621.95000000019</v>
      </c>
      <c r="E58" s="9" t="s">
        <v>2959</v>
      </c>
    </row>
    <row r="59" spans="1:5" x14ac:dyDescent="0.3">
      <c r="A59" s="6">
        <v>44064</v>
      </c>
      <c r="B59" s="7" t="s">
        <v>3002</v>
      </c>
      <c r="C59" s="8">
        <v>-6811.65</v>
      </c>
      <c r="D59" s="8">
        <v>286248.95000000019</v>
      </c>
      <c r="E59" s="9" t="s">
        <v>2959</v>
      </c>
    </row>
    <row r="60" spans="1:5" x14ac:dyDescent="0.3">
      <c r="A60" s="6">
        <v>44011</v>
      </c>
      <c r="B60" s="7" t="s">
        <v>3003</v>
      </c>
      <c r="C60" s="8">
        <v>-10566.75</v>
      </c>
      <c r="D60" s="8">
        <v>205879.35000000021</v>
      </c>
      <c r="E60" s="9" t="s">
        <v>2954</v>
      </c>
    </row>
    <row r="61" spans="1:5" x14ac:dyDescent="0.3">
      <c r="A61" s="2">
        <v>45456</v>
      </c>
      <c r="B61" t="s">
        <v>3004</v>
      </c>
      <c r="C61">
        <v>-10500</v>
      </c>
      <c r="D61">
        <v>192472.92</v>
      </c>
    </row>
    <row r="62" spans="1:5" ht="28.8" x14ac:dyDescent="0.3">
      <c r="A62" s="6">
        <v>44586</v>
      </c>
      <c r="B62" s="7" t="s">
        <v>1433</v>
      </c>
      <c r="C62" s="8">
        <v>-10473.69</v>
      </c>
      <c r="D62" s="8">
        <v>753455.19999999984</v>
      </c>
      <c r="E62" s="9" t="s">
        <v>3005</v>
      </c>
    </row>
    <row r="63" spans="1:5" ht="28.8" x14ac:dyDescent="0.3">
      <c r="A63" s="6">
        <v>43931</v>
      </c>
      <c r="B63" s="7" t="s">
        <v>3006</v>
      </c>
      <c r="C63" s="8">
        <v>-10300</v>
      </c>
      <c r="D63" s="8">
        <v>244811.54000000021</v>
      </c>
      <c r="E63" s="9" t="s">
        <v>2954</v>
      </c>
    </row>
    <row r="64" spans="1:5" x14ac:dyDescent="0.3">
      <c r="A64" s="6">
        <v>44110</v>
      </c>
      <c r="B64" s="7" t="s">
        <v>3007</v>
      </c>
      <c r="C64" s="8">
        <v>-4784.9799999999996</v>
      </c>
      <c r="D64" s="8">
        <v>276541.08000000031</v>
      </c>
      <c r="E64" s="9" t="s">
        <v>2959</v>
      </c>
    </row>
    <row r="65" spans="1:5" ht="28.8" x14ac:dyDescent="0.3">
      <c r="A65" s="6">
        <v>44032</v>
      </c>
      <c r="B65" s="7" t="s">
        <v>3008</v>
      </c>
      <c r="C65" s="8">
        <v>-10000</v>
      </c>
      <c r="D65" s="8">
        <v>299020.82000000018</v>
      </c>
      <c r="E65" s="9" t="s">
        <v>2954</v>
      </c>
    </row>
    <row r="66" spans="1:5" ht="28.8" x14ac:dyDescent="0.3">
      <c r="A66" s="6">
        <v>44075</v>
      </c>
      <c r="B66" s="7" t="s">
        <v>3009</v>
      </c>
      <c r="C66" s="8">
        <v>-10000</v>
      </c>
      <c r="D66" s="8">
        <v>266531.56000000017</v>
      </c>
      <c r="E66" s="9" t="s">
        <v>2954</v>
      </c>
    </row>
    <row r="67" spans="1:5" x14ac:dyDescent="0.3">
      <c r="A67" s="6">
        <v>44377</v>
      </c>
      <c r="B67" s="7" t="s">
        <v>3010</v>
      </c>
      <c r="C67" s="8">
        <v>-10000</v>
      </c>
      <c r="D67" s="8">
        <v>350835.27999999968</v>
      </c>
      <c r="E67" s="9" t="s">
        <v>3011</v>
      </c>
    </row>
    <row r="68" spans="1:5" x14ac:dyDescent="0.3">
      <c r="A68" s="20">
        <v>45821</v>
      </c>
      <c r="B68" s="21" t="s">
        <v>3012</v>
      </c>
      <c r="C68" s="21">
        <v>-10000</v>
      </c>
      <c r="D68" s="21">
        <v>284545.93</v>
      </c>
      <c r="E68" s="21"/>
    </row>
    <row r="69" spans="1:5" x14ac:dyDescent="0.3">
      <c r="A69" s="18">
        <v>45148</v>
      </c>
      <c r="B69" s="19" t="s">
        <v>3013</v>
      </c>
      <c r="C69" s="19">
        <v>-9600</v>
      </c>
      <c r="D69" s="19">
        <v>203681.83000000019</v>
      </c>
      <c r="E69" s="19"/>
    </row>
    <row r="70" spans="1:5" x14ac:dyDescent="0.3">
      <c r="A70" s="6">
        <v>43616</v>
      </c>
      <c r="B70" s="7" t="s">
        <v>3014</v>
      </c>
      <c r="C70" s="8">
        <v>-9250</v>
      </c>
      <c r="D70" s="8">
        <v>97957.210000000094</v>
      </c>
      <c r="E70" s="9" t="s">
        <v>2954</v>
      </c>
    </row>
    <row r="71" spans="1:5" x14ac:dyDescent="0.3">
      <c r="A71" s="20">
        <v>45299</v>
      </c>
      <c r="B71" s="21" t="s">
        <v>3015</v>
      </c>
      <c r="C71" s="21">
        <v>-8831.02</v>
      </c>
      <c r="D71" s="21">
        <v>415586.4700000002</v>
      </c>
      <c r="E71" s="21"/>
    </row>
    <row r="72" spans="1:5" x14ac:dyDescent="0.3">
      <c r="A72" s="12">
        <v>44998</v>
      </c>
      <c r="B72" s="9" t="s">
        <v>3016</v>
      </c>
      <c r="C72" s="9">
        <v>-8750</v>
      </c>
      <c r="D72" s="9">
        <v>685180.96000000008</v>
      </c>
      <c r="E72" s="9"/>
    </row>
    <row r="73" spans="1:5" x14ac:dyDescent="0.3">
      <c r="A73" s="12">
        <v>44999</v>
      </c>
      <c r="B73" s="9" t="s">
        <v>3017</v>
      </c>
      <c r="C73" s="9">
        <v>-8750</v>
      </c>
      <c r="D73" s="9">
        <v>672680.96000000008</v>
      </c>
      <c r="E73" s="9"/>
    </row>
    <row r="74" spans="1:5" x14ac:dyDescent="0.3">
      <c r="A74" s="12">
        <v>45148</v>
      </c>
      <c r="B74" s="9" t="s">
        <v>3018</v>
      </c>
      <c r="C74" s="9">
        <v>-8750</v>
      </c>
      <c r="D74" s="9">
        <v>213281.83000000019</v>
      </c>
      <c r="E74" s="9"/>
    </row>
    <row r="75" spans="1:5" x14ac:dyDescent="0.3">
      <c r="A75" s="18">
        <v>45141</v>
      </c>
      <c r="B75" s="19" t="s">
        <v>3019</v>
      </c>
      <c r="C75" s="19">
        <v>-8732.74</v>
      </c>
      <c r="D75" s="19">
        <v>230131.83000000019</v>
      </c>
      <c r="E75" s="19"/>
    </row>
    <row r="76" spans="1:5" x14ac:dyDescent="0.3">
      <c r="A76" s="6">
        <v>44182</v>
      </c>
      <c r="B76" s="7" t="s">
        <v>31</v>
      </c>
      <c r="C76" s="8">
        <v>5390</v>
      </c>
      <c r="D76" s="8">
        <v>378984.30000000022</v>
      </c>
      <c r="E76" s="9" t="s">
        <v>2959</v>
      </c>
    </row>
    <row r="77" spans="1:5" x14ac:dyDescent="0.3">
      <c r="A77" s="20">
        <v>45091</v>
      </c>
      <c r="B77" s="21" t="s">
        <v>3020</v>
      </c>
      <c r="C77" s="21">
        <v>-8650</v>
      </c>
      <c r="D77" s="21">
        <v>234865.41000000021</v>
      </c>
      <c r="E77" s="21"/>
    </row>
    <row r="78" spans="1:5" x14ac:dyDescent="0.3">
      <c r="A78" s="12">
        <v>45120</v>
      </c>
      <c r="B78" s="9" t="s">
        <v>3021</v>
      </c>
      <c r="C78" s="9">
        <v>-8400</v>
      </c>
      <c r="D78" s="9">
        <v>253346.8700000002</v>
      </c>
      <c r="E78" s="9"/>
    </row>
    <row r="79" spans="1:5" x14ac:dyDescent="0.3">
      <c r="A79" s="12">
        <v>45091</v>
      </c>
      <c r="B79" s="9" t="s">
        <v>3022</v>
      </c>
      <c r="C79" s="9">
        <v>-8009.92</v>
      </c>
      <c r="D79" s="9">
        <v>211294.41000000021</v>
      </c>
      <c r="E79" s="9"/>
    </row>
    <row r="80" spans="1:5" x14ac:dyDescent="0.3">
      <c r="A80" s="12">
        <v>45489</v>
      </c>
      <c r="B80" s="9" t="s">
        <v>3023</v>
      </c>
      <c r="C80" s="9">
        <v>-8008.33</v>
      </c>
      <c r="D80" s="9">
        <v>281401.56</v>
      </c>
      <c r="E80" s="9"/>
    </row>
    <row r="81" spans="1:5" x14ac:dyDescent="0.3">
      <c r="A81" s="12">
        <v>45503</v>
      </c>
      <c r="B81" s="9" t="s">
        <v>3024</v>
      </c>
      <c r="C81" s="9">
        <v>-8008.33</v>
      </c>
      <c r="D81" s="9">
        <v>284478</v>
      </c>
      <c r="E81" s="9"/>
    </row>
    <row r="82" spans="1:5" x14ac:dyDescent="0.3">
      <c r="A82" s="12">
        <v>43291</v>
      </c>
      <c r="B82" s="9" t="s">
        <v>3025</v>
      </c>
      <c r="C82" s="9">
        <v>-7990</v>
      </c>
      <c r="D82" s="9">
        <v>395856.90999999992</v>
      </c>
      <c r="E82" s="9"/>
    </row>
    <row r="83" spans="1:5" x14ac:dyDescent="0.3">
      <c r="A83" s="12">
        <v>44789</v>
      </c>
      <c r="B83" s="9" t="s">
        <v>3026</v>
      </c>
      <c r="C83" s="9">
        <v>-7776</v>
      </c>
      <c r="D83" s="9">
        <v>692586.98000000033</v>
      </c>
      <c r="E83" s="9"/>
    </row>
    <row r="84" spans="1:5" x14ac:dyDescent="0.3">
      <c r="A84" s="12">
        <v>44351</v>
      </c>
      <c r="B84" s="9" t="s">
        <v>3027</v>
      </c>
      <c r="C84" s="9">
        <v>-7614.25</v>
      </c>
      <c r="D84" s="9">
        <v>408486.52999999968</v>
      </c>
      <c r="E84" s="9"/>
    </row>
    <row r="85" spans="1:5" x14ac:dyDescent="0.3">
      <c r="A85" s="18">
        <v>45418</v>
      </c>
      <c r="B85" s="19" t="s">
        <v>3028</v>
      </c>
      <c r="C85" s="19">
        <v>-7500</v>
      </c>
      <c r="D85" s="19">
        <v>328405.01</v>
      </c>
      <c r="E85" s="19"/>
    </row>
    <row r="86" spans="1:5" x14ac:dyDescent="0.3">
      <c r="A86" s="6">
        <v>43528</v>
      </c>
      <c r="B86" s="7" t="s">
        <v>3029</v>
      </c>
      <c r="C86" s="8">
        <v>-7350</v>
      </c>
      <c r="D86" s="8">
        <v>561833.9</v>
      </c>
      <c r="E86" s="9" t="s">
        <v>3030</v>
      </c>
    </row>
    <row r="87" spans="1:5" x14ac:dyDescent="0.3">
      <c r="A87" s="6">
        <v>43544</v>
      </c>
      <c r="B87" s="7" t="s">
        <v>3031</v>
      </c>
      <c r="C87" s="8">
        <v>-7350</v>
      </c>
      <c r="D87" s="8">
        <v>491239.31000000011</v>
      </c>
      <c r="E87" s="9" t="s">
        <v>3030</v>
      </c>
    </row>
    <row r="88" spans="1:5" x14ac:dyDescent="0.3">
      <c r="A88" s="6">
        <v>43551</v>
      </c>
      <c r="B88" s="7" t="s">
        <v>3032</v>
      </c>
      <c r="C88" s="8">
        <v>-7350</v>
      </c>
      <c r="D88" s="8">
        <v>486010.6</v>
      </c>
      <c r="E88" s="9" t="s">
        <v>3030</v>
      </c>
    </row>
    <row r="89" spans="1:5" x14ac:dyDescent="0.3">
      <c r="A89" s="6">
        <v>43556</v>
      </c>
      <c r="B89" s="7" t="s">
        <v>3033</v>
      </c>
      <c r="C89" s="8">
        <v>-7350</v>
      </c>
      <c r="D89" s="8">
        <v>484124.56</v>
      </c>
      <c r="E89" s="9" t="s">
        <v>3030</v>
      </c>
    </row>
    <row r="90" spans="1:5" x14ac:dyDescent="0.3">
      <c r="A90" s="6">
        <v>43570</v>
      </c>
      <c r="B90" s="7" t="s">
        <v>3034</v>
      </c>
      <c r="C90" s="8">
        <v>-7350</v>
      </c>
      <c r="D90" s="8">
        <v>471476.33</v>
      </c>
      <c r="E90" s="9" t="s">
        <v>3030</v>
      </c>
    </row>
    <row r="91" spans="1:5" x14ac:dyDescent="0.3">
      <c r="A91" s="6">
        <v>43823</v>
      </c>
      <c r="B91" s="7" t="s">
        <v>3035</v>
      </c>
      <c r="C91" s="8">
        <v>-7350</v>
      </c>
      <c r="D91" s="8">
        <v>301434.40000000008</v>
      </c>
      <c r="E91" s="9" t="s">
        <v>3030</v>
      </c>
    </row>
    <row r="92" spans="1:5" x14ac:dyDescent="0.3">
      <c r="A92" s="20">
        <v>44874</v>
      </c>
      <c r="B92" s="21" t="s">
        <v>3036</v>
      </c>
      <c r="C92" s="21">
        <v>-7350</v>
      </c>
      <c r="D92" s="21">
        <v>658764.92000000004</v>
      </c>
      <c r="E92" s="21"/>
    </row>
    <row r="93" spans="1:5" x14ac:dyDescent="0.3">
      <c r="A93" s="12">
        <v>44991</v>
      </c>
      <c r="B93" s="9" t="s">
        <v>3037</v>
      </c>
      <c r="C93" s="9">
        <v>-7350</v>
      </c>
      <c r="D93" s="9">
        <v>1242182.24</v>
      </c>
      <c r="E93" s="9"/>
    </row>
    <row r="94" spans="1:5" x14ac:dyDescent="0.3">
      <c r="A94" s="18">
        <v>45225</v>
      </c>
      <c r="B94" s="19" t="s">
        <v>3038</v>
      </c>
      <c r="C94" s="19">
        <v>-7071.76</v>
      </c>
      <c r="D94" s="19">
        <v>201563.98000000021</v>
      </c>
      <c r="E94" s="19"/>
    </row>
    <row r="95" spans="1:5" x14ac:dyDescent="0.3">
      <c r="A95" s="6">
        <v>44011</v>
      </c>
      <c r="B95" s="7" t="s">
        <v>3039</v>
      </c>
      <c r="C95" s="8">
        <v>-7000</v>
      </c>
      <c r="D95" s="8">
        <v>221473.2800000002</v>
      </c>
      <c r="E95" s="9" t="s">
        <v>3040</v>
      </c>
    </row>
    <row r="96" spans="1:5" x14ac:dyDescent="0.3">
      <c r="A96" s="2">
        <v>45826</v>
      </c>
      <c r="B96" t="s">
        <v>3041</v>
      </c>
      <c r="C96">
        <v>-7000</v>
      </c>
      <c r="D96">
        <v>279829.7</v>
      </c>
    </row>
    <row r="97" spans="1:5" x14ac:dyDescent="0.3">
      <c r="A97" s="2">
        <v>45714</v>
      </c>
      <c r="B97" t="s">
        <v>3042</v>
      </c>
      <c r="C97">
        <v>-6858.69</v>
      </c>
      <c r="D97">
        <v>629945.15999999992</v>
      </c>
    </row>
    <row r="98" spans="1:5" x14ac:dyDescent="0.3">
      <c r="A98" s="2">
        <v>44586</v>
      </c>
      <c r="B98" t="s">
        <v>1433</v>
      </c>
      <c r="C98">
        <v>-6835.62</v>
      </c>
      <c r="D98">
        <v>769150.13999999978</v>
      </c>
    </row>
    <row r="99" spans="1:5" x14ac:dyDescent="0.3">
      <c r="A99" s="6">
        <v>44195</v>
      </c>
      <c r="B99" s="7" t="s">
        <v>3043</v>
      </c>
      <c r="C99" s="8">
        <v>-4810.5600000000004</v>
      </c>
      <c r="D99" s="8">
        <v>389199.57000000012</v>
      </c>
      <c r="E99" s="9" t="s">
        <v>2959</v>
      </c>
    </row>
    <row r="100" spans="1:5" x14ac:dyDescent="0.3">
      <c r="A100" s="2">
        <v>45679</v>
      </c>
      <c r="B100" t="s">
        <v>3044</v>
      </c>
      <c r="C100">
        <v>-6747.46</v>
      </c>
      <c r="D100">
        <v>377729.48999999987</v>
      </c>
    </row>
    <row r="101" spans="1:5" x14ac:dyDescent="0.3">
      <c r="A101" s="2">
        <v>43357</v>
      </c>
      <c r="B101" t="s">
        <v>3045</v>
      </c>
      <c r="C101">
        <v>-6675</v>
      </c>
      <c r="D101">
        <v>451929.6999999999</v>
      </c>
    </row>
    <row r="102" spans="1:5" x14ac:dyDescent="0.3">
      <c r="A102" s="6">
        <v>43585</v>
      </c>
      <c r="B102" s="7" t="s">
        <v>3046</v>
      </c>
      <c r="C102" s="8">
        <v>-6675</v>
      </c>
      <c r="D102" s="8">
        <v>217891.8</v>
      </c>
      <c r="E102" s="9" t="s">
        <v>3047</v>
      </c>
    </row>
    <row r="103" spans="1:5" x14ac:dyDescent="0.3">
      <c r="A103" s="6">
        <v>43707</v>
      </c>
      <c r="B103" s="7" t="s">
        <v>3048</v>
      </c>
      <c r="C103" s="8">
        <v>-6675</v>
      </c>
      <c r="D103" s="8">
        <v>157502.49000000011</v>
      </c>
      <c r="E103" s="9" t="s">
        <v>3047</v>
      </c>
    </row>
    <row r="104" spans="1:5" x14ac:dyDescent="0.3">
      <c r="A104" s="6">
        <v>43707</v>
      </c>
      <c r="B104" s="7" t="s">
        <v>3049</v>
      </c>
      <c r="C104" s="8">
        <v>-6675</v>
      </c>
      <c r="D104" s="8">
        <v>150827.49000000011</v>
      </c>
      <c r="E104" s="9" t="s">
        <v>3047</v>
      </c>
    </row>
    <row r="105" spans="1:5" x14ac:dyDescent="0.3">
      <c r="A105" s="6">
        <v>43707</v>
      </c>
      <c r="B105" s="7" t="s">
        <v>3050</v>
      </c>
      <c r="C105" s="8">
        <v>-6675</v>
      </c>
      <c r="D105" s="8">
        <v>144152.49000000011</v>
      </c>
      <c r="E105" s="9" t="s">
        <v>3047</v>
      </c>
    </row>
    <row r="106" spans="1:5" x14ac:dyDescent="0.3">
      <c r="A106" s="6">
        <v>43781</v>
      </c>
      <c r="B106" s="7" t="s">
        <v>3051</v>
      </c>
      <c r="C106" s="8">
        <v>-6675</v>
      </c>
      <c r="D106" s="8">
        <v>152372.6700000001</v>
      </c>
      <c r="E106" s="9" t="s">
        <v>3047</v>
      </c>
    </row>
    <row r="107" spans="1:5" x14ac:dyDescent="0.3">
      <c r="A107" s="6">
        <v>43782</v>
      </c>
      <c r="B107" s="7" t="s">
        <v>3052</v>
      </c>
      <c r="C107" s="8">
        <v>-6675</v>
      </c>
      <c r="D107" s="8">
        <v>147197.6700000001</v>
      </c>
      <c r="E107" s="9" t="s">
        <v>3047</v>
      </c>
    </row>
    <row r="108" spans="1:5" x14ac:dyDescent="0.3">
      <c r="A108" s="6">
        <v>43879</v>
      </c>
      <c r="B108" s="7" t="s">
        <v>3053</v>
      </c>
      <c r="C108" s="8">
        <v>-6675</v>
      </c>
      <c r="D108" s="8">
        <v>483854.2900000001</v>
      </c>
      <c r="E108" s="9" t="s">
        <v>3047</v>
      </c>
    </row>
    <row r="109" spans="1:5" x14ac:dyDescent="0.3">
      <c r="A109" s="6">
        <v>43895</v>
      </c>
      <c r="B109" s="7" t="s">
        <v>3054</v>
      </c>
      <c r="C109" s="8">
        <v>-6675</v>
      </c>
      <c r="D109" s="8">
        <v>300378.28000000009</v>
      </c>
      <c r="E109" s="9" t="s">
        <v>3047</v>
      </c>
    </row>
    <row r="110" spans="1:5" x14ac:dyDescent="0.3">
      <c r="A110" s="2">
        <v>44652</v>
      </c>
      <c r="B110" t="s">
        <v>3055</v>
      </c>
      <c r="C110">
        <v>-6500</v>
      </c>
      <c r="D110">
        <v>805920.93</v>
      </c>
    </row>
    <row r="111" spans="1:5" x14ac:dyDescent="0.3">
      <c r="A111" s="2">
        <v>44747</v>
      </c>
      <c r="B111" t="s">
        <v>3056</v>
      </c>
      <c r="C111">
        <v>-6500</v>
      </c>
      <c r="D111">
        <v>631694.15000000014</v>
      </c>
    </row>
    <row r="112" spans="1:5" x14ac:dyDescent="0.3">
      <c r="A112" s="2">
        <v>44944</v>
      </c>
      <c r="B112" t="s">
        <v>3057</v>
      </c>
      <c r="C112">
        <v>-6312</v>
      </c>
      <c r="D112">
        <v>1003708.9</v>
      </c>
    </row>
    <row r="113" spans="1:5" x14ac:dyDescent="0.3">
      <c r="A113" s="2">
        <v>45546</v>
      </c>
      <c r="B113" t="s">
        <v>3058</v>
      </c>
      <c r="C113">
        <v>-6060</v>
      </c>
      <c r="D113">
        <v>157033.41</v>
      </c>
    </row>
    <row r="114" spans="1:5" x14ac:dyDescent="0.3">
      <c r="A114" s="2">
        <v>44747</v>
      </c>
      <c r="B114" t="s">
        <v>3059</v>
      </c>
      <c r="C114">
        <v>-6041.22</v>
      </c>
      <c r="D114">
        <v>638194.15000000014</v>
      </c>
    </row>
    <row r="115" spans="1:5" x14ac:dyDescent="0.3">
      <c r="A115" s="2">
        <v>45308</v>
      </c>
      <c r="B115" t="s">
        <v>3060</v>
      </c>
      <c r="C115">
        <v>-6019.31</v>
      </c>
      <c r="D115">
        <v>443799.5900000002</v>
      </c>
    </row>
    <row r="116" spans="1:5" x14ac:dyDescent="0.3">
      <c r="A116" s="6">
        <v>43529</v>
      </c>
      <c r="B116" s="7" t="s">
        <v>3061</v>
      </c>
      <c r="C116" s="8">
        <v>-6000</v>
      </c>
      <c r="D116" s="8">
        <v>515917.61</v>
      </c>
      <c r="E116" s="9" t="s">
        <v>2954</v>
      </c>
    </row>
    <row r="117" spans="1:5" x14ac:dyDescent="0.3">
      <c r="A117" s="2">
        <v>44830</v>
      </c>
      <c r="B117" t="s">
        <v>1686</v>
      </c>
      <c r="C117">
        <v>-6000</v>
      </c>
      <c r="D117">
        <v>650893.92000000039</v>
      </c>
    </row>
    <row r="118" spans="1:5" x14ac:dyDescent="0.3">
      <c r="A118" s="2">
        <v>45805</v>
      </c>
      <c r="B118" t="s">
        <v>3062</v>
      </c>
      <c r="C118">
        <v>-5806.41</v>
      </c>
      <c r="D118">
        <v>42146.11</v>
      </c>
    </row>
    <row r="119" spans="1:5" x14ac:dyDescent="0.3">
      <c r="A119" s="2">
        <v>45565</v>
      </c>
      <c r="B119" t="s">
        <v>3063</v>
      </c>
      <c r="C119">
        <v>-5791.67</v>
      </c>
      <c r="D119">
        <v>174281.57</v>
      </c>
    </row>
    <row r="120" spans="1:5" x14ac:dyDescent="0.3">
      <c r="A120" s="2">
        <v>44641</v>
      </c>
      <c r="B120" t="s">
        <v>3064</v>
      </c>
      <c r="C120">
        <v>-5597.46</v>
      </c>
      <c r="D120">
        <v>841298.11</v>
      </c>
    </row>
    <row r="121" spans="1:5" x14ac:dyDescent="0.3">
      <c r="A121" s="2">
        <v>45491</v>
      </c>
      <c r="B121" t="s">
        <v>3065</v>
      </c>
      <c r="C121">
        <v>-5591.67</v>
      </c>
      <c r="D121">
        <v>284320.44</v>
      </c>
    </row>
    <row r="122" spans="1:5" x14ac:dyDescent="0.3">
      <c r="A122" s="2">
        <v>45603</v>
      </c>
      <c r="B122" t="s">
        <v>3066</v>
      </c>
      <c r="C122">
        <v>-5587.79</v>
      </c>
      <c r="D122">
        <v>152826.07</v>
      </c>
    </row>
    <row r="123" spans="1:5" x14ac:dyDescent="0.3">
      <c r="A123" s="2">
        <v>44481</v>
      </c>
      <c r="B123" t="s">
        <v>3067</v>
      </c>
      <c r="C123">
        <v>-5513.39</v>
      </c>
      <c r="D123">
        <v>487397.18999999948</v>
      </c>
    </row>
    <row r="124" spans="1:5" x14ac:dyDescent="0.3">
      <c r="A124" s="6">
        <v>43865</v>
      </c>
      <c r="B124" s="7" t="s">
        <v>3068</v>
      </c>
      <c r="C124" s="8">
        <v>-5510.65</v>
      </c>
      <c r="D124" s="8">
        <v>464726.93000000011</v>
      </c>
      <c r="E124" s="9" t="s">
        <v>2954</v>
      </c>
    </row>
    <row r="125" spans="1:5" x14ac:dyDescent="0.3">
      <c r="A125" s="2">
        <v>45806</v>
      </c>
      <c r="B125" t="s">
        <v>3069</v>
      </c>
      <c r="C125">
        <v>-5500</v>
      </c>
      <c r="D125">
        <v>284480.88</v>
      </c>
    </row>
    <row r="126" spans="1:5" x14ac:dyDescent="0.3">
      <c r="A126" s="6">
        <v>44110</v>
      </c>
      <c r="B126" s="7" t="s">
        <v>3070</v>
      </c>
      <c r="C126" s="8">
        <v>-5273.36</v>
      </c>
      <c r="D126" s="8">
        <v>281326.06000000029</v>
      </c>
      <c r="E126" s="9" t="s">
        <v>2954</v>
      </c>
    </row>
    <row r="127" spans="1:5" x14ac:dyDescent="0.3">
      <c r="A127" s="2">
        <v>44389</v>
      </c>
      <c r="B127" t="s">
        <v>1229</v>
      </c>
      <c r="C127">
        <v>-5247.07</v>
      </c>
      <c r="D127">
        <v>372564.09999999969</v>
      </c>
    </row>
    <row r="128" spans="1:5" x14ac:dyDescent="0.3">
      <c r="A128" s="2">
        <v>44700</v>
      </c>
      <c r="B128" t="s">
        <v>1567</v>
      </c>
      <c r="C128">
        <v>-5184.78</v>
      </c>
      <c r="D128">
        <v>652711.74</v>
      </c>
    </row>
    <row r="129" spans="1:5" x14ac:dyDescent="0.3">
      <c r="A129" s="2">
        <v>45786</v>
      </c>
      <c r="B129" t="s">
        <v>3071</v>
      </c>
      <c r="C129">
        <v>-5175.3</v>
      </c>
      <c r="D129">
        <v>32620.45</v>
      </c>
    </row>
    <row r="130" spans="1:5" x14ac:dyDescent="0.3">
      <c r="A130" s="2">
        <v>44481</v>
      </c>
      <c r="B130" t="s">
        <v>3067</v>
      </c>
      <c r="C130">
        <v>-5156.96</v>
      </c>
      <c r="D130">
        <v>482240.22999999952</v>
      </c>
    </row>
    <row r="131" spans="1:5" x14ac:dyDescent="0.3">
      <c r="A131" s="2">
        <v>44351</v>
      </c>
      <c r="B131" t="s">
        <v>3072</v>
      </c>
      <c r="C131">
        <v>-5128.99</v>
      </c>
      <c r="D131">
        <v>358595.4299999997</v>
      </c>
    </row>
    <row r="132" spans="1:5" x14ac:dyDescent="0.3">
      <c r="A132" s="2">
        <v>44529</v>
      </c>
      <c r="B132" t="s">
        <v>3073</v>
      </c>
      <c r="C132">
        <v>-5117.28</v>
      </c>
      <c r="D132">
        <v>579693.02999999956</v>
      </c>
    </row>
    <row r="133" spans="1:5" ht="28.8" x14ac:dyDescent="0.3">
      <c r="A133" s="6">
        <v>44235</v>
      </c>
      <c r="B133" s="7" t="s">
        <v>3074</v>
      </c>
      <c r="C133" s="8">
        <v>-32500</v>
      </c>
      <c r="D133" s="8">
        <v>466683.18</v>
      </c>
      <c r="E133" s="9" t="s">
        <v>2959</v>
      </c>
    </row>
    <row r="134" spans="1:5" x14ac:dyDescent="0.3">
      <c r="A134" s="2">
        <v>45091</v>
      </c>
      <c r="B134" t="s">
        <v>3075</v>
      </c>
      <c r="C134">
        <v>-5000</v>
      </c>
      <c r="D134">
        <v>185494.41000000021</v>
      </c>
    </row>
    <row r="135" spans="1:5" x14ac:dyDescent="0.3">
      <c r="A135" s="2">
        <v>45146</v>
      </c>
      <c r="B135" t="s">
        <v>3076</v>
      </c>
      <c r="C135">
        <v>-5000</v>
      </c>
      <c r="D135">
        <v>222031.83000000019</v>
      </c>
    </row>
    <row r="136" spans="1:5" x14ac:dyDescent="0.3">
      <c r="A136" s="2">
        <v>45447</v>
      </c>
      <c r="B136" t="s">
        <v>3077</v>
      </c>
      <c r="C136">
        <v>-5000</v>
      </c>
      <c r="D136">
        <v>231087.84</v>
      </c>
    </row>
    <row r="137" spans="1:5" x14ac:dyDescent="0.3">
      <c r="A137" s="6">
        <v>43489</v>
      </c>
      <c r="B137" s="7" t="s">
        <v>3078</v>
      </c>
      <c r="C137" s="8">
        <v>-4896.3</v>
      </c>
      <c r="D137" s="8">
        <v>564917.19999999972</v>
      </c>
      <c r="E137" s="9" t="s">
        <v>2954</v>
      </c>
    </row>
    <row r="138" spans="1:5" ht="28.8" x14ac:dyDescent="0.3">
      <c r="A138" s="6">
        <v>44351</v>
      </c>
      <c r="B138" s="7" t="s">
        <v>3027</v>
      </c>
      <c r="C138" s="8">
        <v>-10042.11</v>
      </c>
      <c r="D138" s="8">
        <v>394644.41999999969</v>
      </c>
      <c r="E138" s="9" t="s">
        <v>2959</v>
      </c>
    </row>
    <row r="139" spans="1:5" x14ac:dyDescent="0.3">
      <c r="A139" s="6">
        <v>44481</v>
      </c>
      <c r="B139" s="7" t="s">
        <v>3079</v>
      </c>
      <c r="C139" s="8">
        <v>19925</v>
      </c>
      <c r="D139" s="8">
        <v>517766.47999999952</v>
      </c>
      <c r="E139" s="9" t="s">
        <v>2959</v>
      </c>
    </row>
    <row r="140" spans="1:5" x14ac:dyDescent="0.3">
      <c r="A140" s="20">
        <v>44929</v>
      </c>
      <c r="B140" s="21" t="s">
        <v>1766</v>
      </c>
      <c r="C140" s="21">
        <v>-4689.8900000000003</v>
      </c>
      <c r="D140" s="21">
        <v>1043385.9</v>
      </c>
      <c r="E140" s="21"/>
    </row>
    <row r="141" spans="1:5" x14ac:dyDescent="0.3">
      <c r="A141" s="18">
        <v>43570</v>
      </c>
      <c r="B141" s="19" t="s">
        <v>3080</v>
      </c>
      <c r="C141" s="19">
        <v>-4600</v>
      </c>
      <c r="D141" s="19">
        <v>467000.08</v>
      </c>
      <c r="E141" s="19"/>
    </row>
    <row r="142" spans="1:5" x14ac:dyDescent="0.3">
      <c r="A142" s="6">
        <v>44586</v>
      </c>
      <c r="B142" s="7" t="s">
        <v>3081</v>
      </c>
      <c r="C142" s="8">
        <v>-18500</v>
      </c>
      <c r="D142" s="8">
        <v>776160.75999999978</v>
      </c>
      <c r="E142" s="9" t="s">
        <v>2959</v>
      </c>
    </row>
    <row r="143" spans="1:5" x14ac:dyDescent="0.3">
      <c r="A143" s="6">
        <v>44106</v>
      </c>
      <c r="B143" s="7" t="s">
        <v>3082</v>
      </c>
      <c r="C143" s="8">
        <v>-4108.99</v>
      </c>
      <c r="D143" s="8">
        <v>262819.41000000032</v>
      </c>
      <c r="E143" s="9" t="s">
        <v>2954</v>
      </c>
    </row>
    <row r="144" spans="1:5" x14ac:dyDescent="0.3">
      <c r="A144" s="6">
        <v>44109</v>
      </c>
      <c r="B144" s="7" t="s">
        <v>3083</v>
      </c>
      <c r="C144" s="8">
        <v>-4108.99</v>
      </c>
      <c r="D144" s="8">
        <v>286599.42000000027</v>
      </c>
      <c r="E144" s="9" t="s">
        <v>2954</v>
      </c>
    </row>
    <row r="145" spans="1:5" x14ac:dyDescent="0.3">
      <c r="A145" s="20">
        <v>44700</v>
      </c>
      <c r="B145" s="21" t="s">
        <v>3084</v>
      </c>
      <c r="C145" s="21">
        <v>-3800</v>
      </c>
      <c r="D145" s="21">
        <v>657896.52</v>
      </c>
      <c r="E145" s="21"/>
    </row>
    <row r="146" spans="1:5" x14ac:dyDescent="0.3">
      <c r="A146" s="12">
        <v>45698</v>
      </c>
      <c r="B146" s="9" t="s">
        <v>3085</v>
      </c>
      <c r="C146" s="9">
        <v>-3775</v>
      </c>
      <c r="D146" s="9">
        <v>511871.76</v>
      </c>
      <c r="E146" s="9"/>
    </row>
    <row r="147" spans="1:5" x14ac:dyDescent="0.3">
      <c r="A147" s="12">
        <v>44235</v>
      </c>
      <c r="B147" s="9" t="s">
        <v>3086</v>
      </c>
      <c r="C147" s="9">
        <v>-3750</v>
      </c>
      <c r="D147" s="9">
        <v>463953.18</v>
      </c>
      <c r="E147" s="9"/>
    </row>
    <row r="148" spans="1:5" x14ac:dyDescent="0.3">
      <c r="A148" s="12">
        <v>44573</v>
      </c>
      <c r="B148" s="9" t="s">
        <v>3087</v>
      </c>
      <c r="C148" s="9">
        <v>-3750</v>
      </c>
      <c r="D148" s="9">
        <v>761711.39999999979</v>
      </c>
      <c r="E148" s="9"/>
    </row>
    <row r="149" spans="1:5" x14ac:dyDescent="0.3">
      <c r="A149" s="12">
        <v>44789</v>
      </c>
      <c r="B149" s="9" t="s">
        <v>3088</v>
      </c>
      <c r="C149" s="9">
        <v>-3750</v>
      </c>
      <c r="D149" s="9">
        <v>688836.98000000033</v>
      </c>
      <c r="E149" s="9"/>
    </row>
    <row r="150" spans="1:5" x14ac:dyDescent="0.3">
      <c r="A150" s="12">
        <v>44875</v>
      </c>
      <c r="B150" s="9" t="s">
        <v>3089</v>
      </c>
      <c r="C150" s="9">
        <v>-3750</v>
      </c>
      <c r="D150" s="9">
        <v>575292.72</v>
      </c>
      <c r="E150" s="9"/>
    </row>
    <row r="151" spans="1:5" x14ac:dyDescent="0.3">
      <c r="A151" s="12">
        <v>44998</v>
      </c>
      <c r="B151" s="9" t="s">
        <v>3090</v>
      </c>
      <c r="C151" s="9">
        <v>-3750</v>
      </c>
      <c r="D151" s="9">
        <v>681430.96000000008</v>
      </c>
      <c r="E151" s="9"/>
    </row>
    <row r="152" spans="1:5" x14ac:dyDescent="0.3">
      <c r="A152" s="12">
        <v>43544</v>
      </c>
      <c r="B152" s="9" t="s">
        <v>3091</v>
      </c>
      <c r="C152" s="9">
        <v>-3609.21</v>
      </c>
      <c r="D152" s="9">
        <v>503689.31000000011</v>
      </c>
      <c r="E152" s="9"/>
    </row>
    <row r="153" spans="1:5" x14ac:dyDescent="0.3">
      <c r="A153" s="12">
        <v>44148</v>
      </c>
      <c r="B153" s="9" t="s">
        <v>3092</v>
      </c>
      <c r="C153" s="9">
        <v>-3470</v>
      </c>
      <c r="D153" s="9">
        <v>284015.91000000021</v>
      </c>
      <c r="E153" s="9"/>
    </row>
    <row r="154" spans="1:5" x14ac:dyDescent="0.3">
      <c r="A154" s="12">
        <v>45482</v>
      </c>
      <c r="B154" s="9" t="s">
        <v>3093</v>
      </c>
      <c r="C154" s="9">
        <v>-3409.84</v>
      </c>
      <c r="D154" s="9">
        <v>188947.62</v>
      </c>
      <c r="E154" s="9"/>
    </row>
    <row r="155" spans="1:5" x14ac:dyDescent="0.3">
      <c r="A155" s="12">
        <v>44655</v>
      </c>
      <c r="B155" s="9" t="s">
        <v>3094</v>
      </c>
      <c r="C155" s="9">
        <v>-3375</v>
      </c>
      <c r="D155" s="9">
        <v>677105.05</v>
      </c>
      <c r="E155" s="9"/>
    </row>
    <row r="156" spans="1:5" x14ac:dyDescent="0.3">
      <c r="A156" s="12">
        <v>44991</v>
      </c>
      <c r="B156" s="9" t="s">
        <v>3095</v>
      </c>
      <c r="C156" s="9">
        <v>-3300</v>
      </c>
      <c r="D156" s="9">
        <v>1249532.24</v>
      </c>
      <c r="E156" s="9"/>
    </row>
    <row r="157" spans="1:5" x14ac:dyDescent="0.3">
      <c r="A157" s="12">
        <v>43259</v>
      </c>
      <c r="B157" s="9" t="s">
        <v>3096</v>
      </c>
      <c r="C157" s="9">
        <v>-3215.08</v>
      </c>
      <c r="D157" s="9">
        <v>435801.15</v>
      </c>
      <c r="E157" s="9"/>
    </row>
    <row r="158" spans="1:5" x14ac:dyDescent="0.3">
      <c r="A158" s="12">
        <v>45418</v>
      </c>
      <c r="B158" s="9" t="s">
        <v>3097</v>
      </c>
      <c r="C158" s="9">
        <v>-3201.76</v>
      </c>
      <c r="D158" s="9">
        <v>348200.74</v>
      </c>
      <c r="E158" s="9"/>
    </row>
    <row r="159" spans="1:5" x14ac:dyDescent="0.3">
      <c r="A159" s="12">
        <v>44700</v>
      </c>
      <c r="B159" s="9" t="s">
        <v>3098</v>
      </c>
      <c r="C159" s="9">
        <v>-2665.26</v>
      </c>
      <c r="D159" s="9">
        <v>670278.93000000005</v>
      </c>
      <c r="E159" s="9"/>
    </row>
    <row r="160" spans="1:5" x14ac:dyDescent="0.3">
      <c r="A160" s="12">
        <v>44111</v>
      </c>
      <c r="B160" s="9" t="s">
        <v>3099</v>
      </c>
      <c r="C160" s="9">
        <v>-2437.5</v>
      </c>
      <c r="D160" s="9">
        <v>267853.58000000031</v>
      </c>
      <c r="E160" s="9"/>
    </row>
    <row r="161" spans="1:5" x14ac:dyDescent="0.3">
      <c r="A161" s="12">
        <v>44200</v>
      </c>
      <c r="B161" s="9" t="s">
        <v>921</v>
      </c>
      <c r="C161" s="9">
        <v>-2404.17</v>
      </c>
      <c r="D161" s="9">
        <v>403901.65000000008</v>
      </c>
      <c r="E161" s="9"/>
    </row>
    <row r="162" spans="1:5" x14ac:dyDescent="0.3">
      <c r="A162" s="2">
        <v>45838</v>
      </c>
      <c r="B162" t="s">
        <v>3100</v>
      </c>
      <c r="C162">
        <v>-2341.31</v>
      </c>
      <c r="D162">
        <v>269143.3</v>
      </c>
    </row>
    <row r="163" spans="1:5" x14ac:dyDescent="0.3">
      <c r="A163" s="2">
        <v>43581</v>
      </c>
      <c r="B163" t="s">
        <v>3101</v>
      </c>
      <c r="C163">
        <v>-2318.75</v>
      </c>
      <c r="D163">
        <v>471783.20000000013</v>
      </c>
    </row>
    <row r="164" spans="1:5" x14ac:dyDescent="0.3">
      <c r="A164" s="2">
        <v>43606</v>
      </c>
      <c r="B164" t="s">
        <v>3102</v>
      </c>
      <c r="C164">
        <v>-2278.75</v>
      </c>
      <c r="D164">
        <v>207819.9200000001</v>
      </c>
    </row>
    <row r="165" spans="1:5" x14ac:dyDescent="0.3">
      <c r="A165" s="2">
        <v>44573</v>
      </c>
      <c r="B165" t="s">
        <v>3103</v>
      </c>
      <c r="C165">
        <v>-2200</v>
      </c>
      <c r="D165">
        <v>759511.39999999979</v>
      </c>
    </row>
    <row r="166" spans="1:5" x14ac:dyDescent="0.3">
      <c r="A166" s="2">
        <v>45308</v>
      </c>
      <c r="B166" t="s">
        <v>3104</v>
      </c>
      <c r="C166">
        <v>-2000</v>
      </c>
      <c r="D166">
        <v>455668.7200000002</v>
      </c>
    </row>
    <row r="167" spans="1:5" x14ac:dyDescent="0.3">
      <c r="A167" s="2">
        <v>45726</v>
      </c>
      <c r="B167" t="s">
        <v>3105</v>
      </c>
      <c r="C167">
        <v>-2000</v>
      </c>
      <c r="D167">
        <v>322276.55</v>
      </c>
    </row>
    <row r="168" spans="1:5" x14ac:dyDescent="0.3">
      <c r="A168" s="2">
        <v>45706</v>
      </c>
      <c r="B168" t="s">
        <v>3106</v>
      </c>
      <c r="C168">
        <v>-1991.76</v>
      </c>
      <c r="D168">
        <v>621389.40999999992</v>
      </c>
    </row>
    <row r="169" spans="1:5" x14ac:dyDescent="0.3">
      <c r="A169" s="2">
        <v>45419</v>
      </c>
      <c r="B169" t="s">
        <v>3107</v>
      </c>
      <c r="C169">
        <v>-1850</v>
      </c>
      <c r="D169">
        <v>315692.19</v>
      </c>
    </row>
    <row r="170" spans="1:5" x14ac:dyDescent="0.3">
      <c r="A170" s="2">
        <v>45616</v>
      </c>
      <c r="B170" t="s">
        <v>3108</v>
      </c>
      <c r="C170">
        <v>-1795.17</v>
      </c>
      <c r="D170">
        <v>167807.95</v>
      </c>
    </row>
    <row r="171" spans="1:5" x14ac:dyDescent="0.3">
      <c r="A171" s="2">
        <v>44747</v>
      </c>
      <c r="B171" t="s">
        <v>3109</v>
      </c>
      <c r="C171">
        <v>-1625</v>
      </c>
      <c r="D171">
        <v>630069.15000000014</v>
      </c>
    </row>
    <row r="172" spans="1:5" x14ac:dyDescent="0.3">
      <c r="A172" s="2">
        <v>45765</v>
      </c>
      <c r="B172" t="s">
        <v>3110</v>
      </c>
      <c r="C172">
        <v>-1425.3</v>
      </c>
      <c r="D172">
        <v>106859.85</v>
      </c>
    </row>
    <row r="173" spans="1:5" x14ac:dyDescent="0.3">
      <c r="A173" s="2">
        <v>44973</v>
      </c>
      <c r="B173" t="s">
        <v>1795</v>
      </c>
      <c r="C173">
        <v>-1300</v>
      </c>
      <c r="D173">
        <v>1119327.23</v>
      </c>
    </row>
    <row r="174" spans="1:5" x14ac:dyDescent="0.3">
      <c r="A174" s="2">
        <v>43259</v>
      </c>
      <c r="B174" t="s">
        <v>3096</v>
      </c>
      <c r="C174">
        <v>-1277.0999999999999</v>
      </c>
      <c r="D174">
        <v>434687.8</v>
      </c>
    </row>
    <row r="175" spans="1:5" x14ac:dyDescent="0.3">
      <c r="A175" s="2">
        <v>43908</v>
      </c>
      <c r="B175" t="s">
        <v>3111</v>
      </c>
      <c r="C175">
        <v>-1250</v>
      </c>
      <c r="D175">
        <v>306073.15000000008</v>
      </c>
    </row>
    <row r="176" spans="1:5" x14ac:dyDescent="0.3">
      <c r="A176" s="2">
        <v>44111</v>
      </c>
      <c r="B176" t="s">
        <v>3112</v>
      </c>
      <c r="C176">
        <v>-1250</v>
      </c>
      <c r="D176">
        <v>274041.08000000031</v>
      </c>
    </row>
    <row r="177" spans="1:5" x14ac:dyDescent="0.3">
      <c r="A177" s="2">
        <v>44111</v>
      </c>
      <c r="B177" t="s">
        <v>3113</v>
      </c>
      <c r="C177">
        <v>-1250</v>
      </c>
      <c r="D177">
        <v>266266.08000000031</v>
      </c>
    </row>
    <row r="178" spans="1:5" x14ac:dyDescent="0.3">
      <c r="A178" s="2">
        <v>45663</v>
      </c>
      <c r="B178" t="s">
        <v>3114</v>
      </c>
      <c r="C178">
        <v>-1120</v>
      </c>
      <c r="D178">
        <v>160497.09</v>
      </c>
    </row>
    <row r="179" spans="1:5" x14ac:dyDescent="0.3">
      <c r="A179" s="2">
        <v>45811</v>
      </c>
      <c r="B179" t="s">
        <v>2454</v>
      </c>
      <c r="C179">
        <v>-1087.6600000000001</v>
      </c>
      <c r="D179">
        <v>284861.46000000002</v>
      </c>
    </row>
    <row r="180" spans="1:5" x14ac:dyDescent="0.3">
      <c r="A180" s="2">
        <v>43528</v>
      </c>
      <c r="B180" t="s">
        <v>3115</v>
      </c>
      <c r="C180">
        <v>-1040</v>
      </c>
      <c r="D180">
        <v>595909.78</v>
      </c>
    </row>
    <row r="181" spans="1:5" x14ac:dyDescent="0.3">
      <c r="A181" s="2">
        <v>44656</v>
      </c>
      <c r="B181" t="s">
        <v>3116</v>
      </c>
      <c r="C181">
        <v>-1035</v>
      </c>
      <c r="D181">
        <v>609435.81000000006</v>
      </c>
    </row>
    <row r="182" spans="1:5" x14ac:dyDescent="0.3">
      <c r="A182" s="2">
        <v>45664</v>
      </c>
      <c r="B182" t="s">
        <v>3117</v>
      </c>
      <c r="C182">
        <v>-1025</v>
      </c>
      <c r="D182">
        <v>271712.18999999989</v>
      </c>
    </row>
    <row r="183" spans="1:5" x14ac:dyDescent="0.3">
      <c r="A183" s="12">
        <v>45422</v>
      </c>
      <c r="B183" s="9" t="s">
        <v>3118</v>
      </c>
      <c r="C183" s="9">
        <v>-1000.21</v>
      </c>
      <c r="D183" s="9">
        <v>251518.71</v>
      </c>
      <c r="E183" s="9"/>
    </row>
    <row r="184" spans="1:5" x14ac:dyDescent="0.3">
      <c r="A184" s="12">
        <v>43557</v>
      </c>
      <c r="B184" s="9" t="s">
        <v>3119</v>
      </c>
      <c r="C184" s="9">
        <v>-1000</v>
      </c>
      <c r="D184" s="9">
        <v>483599.56</v>
      </c>
      <c r="E184" s="9"/>
    </row>
    <row r="185" spans="1:5" x14ac:dyDescent="0.3">
      <c r="A185" s="12">
        <v>44063</v>
      </c>
      <c r="B185" s="9" t="s">
        <v>3120</v>
      </c>
      <c r="C185" s="9">
        <v>-1000</v>
      </c>
      <c r="D185" s="9">
        <v>292130.60000000021</v>
      </c>
      <c r="E185" s="9"/>
    </row>
    <row r="186" spans="1:5" x14ac:dyDescent="0.3">
      <c r="A186" s="12">
        <v>44949</v>
      </c>
      <c r="B186" s="9" t="s">
        <v>1778</v>
      </c>
      <c r="C186" s="9">
        <v>-920</v>
      </c>
      <c r="D186" s="9">
        <v>1002788.9</v>
      </c>
      <c r="E186" s="9"/>
    </row>
    <row r="187" spans="1:5" x14ac:dyDescent="0.3">
      <c r="A187" s="12">
        <v>45145</v>
      </c>
      <c r="B187" s="9"/>
      <c r="C187" s="9">
        <v>-850</v>
      </c>
      <c r="D187" s="9">
        <v>227031.83000000019</v>
      </c>
      <c r="E187" s="9"/>
    </row>
    <row r="188" spans="1:5" x14ac:dyDescent="0.3">
      <c r="A188" s="12">
        <v>45460</v>
      </c>
      <c r="B188" s="9" t="s">
        <v>3121</v>
      </c>
      <c r="C188" s="9">
        <v>-839.3</v>
      </c>
      <c r="D188" s="9">
        <v>157193.15</v>
      </c>
      <c r="E188" s="9"/>
    </row>
    <row r="189" spans="1:5" x14ac:dyDescent="0.3">
      <c r="A189" s="12">
        <v>43252</v>
      </c>
      <c r="B189" s="9" t="s">
        <v>3122</v>
      </c>
      <c r="C189" s="9">
        <v>-830</v>
      </c>
      <c r="D189" s="9">
        <v>442791.26</v>
      </c>
      <c r="E189" s="9"/>
    </row>
    <row r="190" spans="1:5" x14ac:dyDescent="0.3">
      <c r="A190" s="2">
        <v>44988</v>
      </c>
      <c r="B190" t="s">
        <v>1807</v>
      </c>
      <c r="C190">
        <v>-800</v>
      </c>
      <c r="D190">
        <v>1252832.24</v>
      </c>
    </row>
    <row r="191" spans="1:5" x14ac:dyDescent="0.3">
      <c r="A191" s="2">
        <v>43908</v>
      </c>
      <c r="B191" t="s">
        <v>3123</v>
      </c>
      <c r="C191">
        <v>-750</v>
      </c>
      <c r="D191">
        <v>295080.60000000021</v>
      </c>
    </row>
    <row r="192" spans="1:5" x14ac:dyDescent="0.3">
      <c r="A192" s="2">
        <v>44111</v>
      </c>
      <c r="B192" t="s">
        <v>3124</v>
      </c>
      <c r="C192">
        <v>-750</v>
      </c>
      <c r="D192">
        <v>267103.58000000031</v>
      </c>
    </row>
    <row r="193" spans="1:5" x14ac:dyDescent="0.3">
      <c r="A193" s="2">
        <v>44215</v>
      </c>
      <c r="B193" t="s">
        <v>3125</v>
      </c>
      <c r="C193">
        <v>-703.62</v>
      </c>
      <c r="D193">
        <v>463951.99000000011</v>
      </c>
    </row>
    <row r="194" spans="1:5" x14ac:dyDescent="0.3">
      <c r="A194" s="2">
        <v>44389</v>
      </c>
      <c r="B194" t="s">
        <v>3126</v>
      </c>
      <c r="C194">
        <v>-700</v>
      </c>
      <c r="D194">
        <v>391666.16999999969</v>
      </c>
    </row>
    <row r="195" spans="1:5" x14ac:dyDescent="0.3">
      <c r="A195" s="2">
        <v>44025</v>
      </c>
      <c r="B195" t="s">
        <v>3127</v>
      </c>
      <c r="C195">
        <v>-697.89</v>
      </c>
      <c r="D195">
        <v>222857.36000000019</v>
      </c>
    </row>
    <row r="196" spans="1:5" x14ac:dyDescent="0.3">
      <c r="A196" s="2">
        <v>45805</v>
      </c>
      <c r="B196" t="s">
        <v>3128</v>
      </c>
      <c r="C196">
        <v>-663.92</v>
      </c>
      <c r="D196">
        <v>48616.44</v>
      </c>
    </row>
    <row r="197" spans="1:5" x14ac:dyDescent="0.3">
      <c r="A197" s="2">
        <v>45805</v>
      </c>
      <c r="B197" t="s">
        <v>3129</v>
      </c>
      <c r="C197">
        <v>-663.92</v>
      </c>
      <c r="D197">
        <v>47952.52</v>
      </c>
    </row>
    <row r="198" spans="1:5" x14ac:dyDescent="0.3">
      <c r="A198" s="12">
        <v>44967</v>
      </c>
      <c r="B198" s="9" t="s">
        <v>1792</v>
      </c>
      <c r="C198" s="9">
        <v>-625</v>
      </c>
      <c r="D198" s="9">
        <v>1121102.23</v>
      </c>
      <c r="E198" s="9"/>
    </row>
    <row r="199" spans="1:5" x14ac:dyDescent="0.3">
      <c r="A199" s="12">
        <v>45308</v>
      </c>
      <c r="B199" s="9" t="s">
        <v>3130</v>
      </c>
      <c r="C199" s="9">
        <v>-600</v>
      </c>
      <c r="D199" s="9">
        <v>484868.7200000002</v>
      </c>
      <c r="E199" s="9"/>
    </row>
    <row r="200" spans="1:5" x14ac:dyDescent="0.3">
      <c r="A200" s="2">
        <v>45492</v>
      </c>
      <c r="B200" t="s">
        <v>3131</v>
      </c>
      <c r="C200">
        <v>-584</v>
      </c>
      <c r="D200">
        <v>286526.44</v>
      </c>
    </row>
    <row r="201" spans="1:5" x14ac:dyDescent="0.3">
      <c r="A201" s="12">
        <v>44789</v>
      </c>
      <c r="B201" s="9" t="s">
        <v>3132</v>
      </c>
      <c r="C201" s="9">
        <v>-572</v>
      </c>
      <c r="D201" s="9">
        <v>688403.48000000033</v>
      </c>
      <c r="E201" s="9"/>
    </row>
    <row r="202" spans="1:5" x14ac:dyDescent="0.3">
      <c r="A202" s="12">
        <v>45611</v>
      </c>
      <c r="B202" s="9" t="s">
        <v>3133</v>
      </c>
      <c r="C202" s="9">
        <v>-572</v>
      </c>
      <c r="D202" s="9">
        <v>135308.87</v>
      </c>
      <c r="E202" s="9"/>
    </row>
    <row r="203" spans="1:5" x14ac:dyDescent="0.3">
      <c r="A203" s="2">
        <v>45323</v>
      </c>
      <c r="B203" t="s">
        <v>3134</v>
      </c>
      <c r="C203">
        <v>-550</v>
      </c>
      <c r="D203">
        <v>526363.74000000022</v>
      </c>
    </row>
    <row r="204" spans="1:5" x14ac:dyDescent="0.3">
      <c r="A204" s="2">
        <v>45460</v>
      </c>
      <c r="B204" t="s">
        <v>3135</v>
      </c>
      <c r="C204">
        <v>-533.49</v>
      </c>
      <c r="D204">
        <v>156643.29</v>
      </c>
    </row>
    <row r="205" spans="1:5" x14ac:dyDescent="0.3">
      <c r="A205" s="2">
        <v>45085</v>
      </c>
      <c r="B205" t="s">
        <v>3136</v>
      </c>
      <c r="C205">
        <v>-533</v>
      </c>
      <c r="D205">
        <v>246049.2500000002</v>
      </c>
    </row>
    <row r="206" spans="1:5" x14ac:dyDescent="0.3">
      <c r="A206" s="2">
        <v>45678</v>
      </c>
      <c r="B206" t="s">
        <v>3137</v>
      </c>
      <c r="C206">
        <v>-525</v>
      </c>
      <c r="D206">
        <v>343361.02</v>
      </c>
    </row>
    <row r="207" spans="1:5" x14ac:dyDescent="0.3">
      <c r="A207" s="2">
        <v>44637</v>
      </c>
      <c r="B207" t="s">
        <v>3138</v>
      </c>
      <c r="C207">
        <v>-500</v>
      </c>
      <c r="D207">
        <v>846515.55999999994</v>
      </c>
    </row>
    <row r="208" spans="1:5" x14ac:dyDescent="0.3">
      <c r="A208" s="12">
        <v>45447</v>
      </c>
      <c r="B208" s="9" t="s">
        <v>3139</v>
      </c>
      <c r="C208" s="9">
        <v>-500</v>
      </c>
      <c r="D208" s="9">
        <v>236087.84</v>
      </c>
      <c r="E208" s="9"/>
    </row>
    <row r="209" spans="1:5" x14ac:dyDescent="0.3">
      <c r="A209" s="2">
        <v>44754</v>
      </c>
      <c r="B209" t="s">
        <v>3140</v>
      </c>
      <c r="C209">
        <v>-495</v>
      </c>
      <c r="D209">
        <v>635212.79000000027</v>
      </c>
    </row>
    <row r="210" spans="1:5" x14ac:dyDescent="0.3">
      <c r="A210" s="2">
        <v>43542</v>
      </c>
      <c r="B210" t="s">
        <v>3141</v>
      </c>
      <c r="C210">
        <v>-492.19</v>
      </c>
      <c r="D210">
        <v>523751.59</v>
      </c>
    </row>
    <row r="211" spans="1:5" x14ac:dyDescent="0.3">
      <c r="A211" s="2">
        <v>44963</v>
      </c>
      <c r="B211" t="s">
        <v>3142</v>
      </c>
      <c r="C211">
        <v>-475</v>
      </c>
      <c r="D211">
        <v>1121791.73</v>
      </c>
    </row>
    <row r="212" spans="1:5" x14ac:dyDescent="0.3">
      <c r="A212" s="2">
        <v>44970</v>
      </c>
      <c r="B212" t="s">
        <v>3143</v>
      </c>
      <c r="C212">
        <v>-475</v>
      </c>
      <c r="D212">
        <v>1120627.23</v>
      </c>
    </row>
    <row r="213" spans="1:5" x14ac:dyDescent="0.3">
      <c r="A213" s="2">
        <v>45695</v>
      </c>
      <c r="B213" t="s">
        <v>3144</v>
      </c>
      <c r="C213">
        <v>-425</v>
      </c>
      <c r="D213">
        <v>502727.61999999988</v>
      </c>
    </row>
    <row r="214" spans="1:5" x14ac:dyDescent="0.3">
      <c r="A214" s="2">
        <v>45414</v>
      </c>
      <c r="B214" t="s">
        <v>3145</v>
      </c>
      <c r="C214">
        <v>-424.17</v>
      </c>
      <c r="D214">
        <v>345611.62</v>
      </c>
    </row>
    <row r="215" spans="1:5" x14ac:dyDescent="0.3">
      <c r="A215" s="2">
        <v>43255</v>
      </c>
      <c r="B215" t="s">
        <v>53</v>
      </c>
      <c r="C215">
        <v>-393.31</v>
      </c>
      <c r="D215">
        <v>442561.7</v>
      </c>
    </row>
    <row r="216" spans="1:5" x14ac:dyDescent="0.3">
      <c r="A216" s="2">
        <v>45625</v>
      </c>
      <c r="B216" t="s">
        <v>3146</v>
      </c>
      <c r="C216">
        <v>-384</v>
      </c>
      <c r="D216">
        <v>60867.669999999976</v>
      </c>
    </row>
    <row r="217" spans="1:5" x14ac:dyDescent="0.3">
      <c r="A217" s="2">
        <v>44718</v>
      </c>
      <c r="B217" t="s">
        <v>1584</v>
      </c>
      <c r="C217">
        <v>-381.05</v>
      </c>
      <c r="D217">
        <v>650937.40000000014</v>
      </c>
    </row>
    <row r="218" spans="1:5" x14ac:dyDescent="0.3">
      <c r="A218" s="2">
        <v>45699</v>
      </c>
      <c r="B218" t="s">
        <v>3147</v>
      </c>
      <c r="C218">
        <v>-375</v>
      </c>
      <c r="D218">
        <v>626261.76000000001</v>
      </c>
    </row>
    <row r="219" spans="1:5" x14ac:dyDescent="0.3">
      <c r="A219" s="12">
        <v>45712</v>
      </c>
      <c r="B219" s="9" t="s">
        <v>3148</v>
      </c>
      <c r="C219" s="9">
        <v>-350</v>
      </c>
      <c r="D219" s="9">
        <v>634870.78999999992</v>
      </c>
      <c r="E219" s="9"/>
    </row>
    <row r="220" spans="1:5" x14ac:dyDescent="0.3">
      <c r="A220" s="2">
        <v>43262</v>
      </c>
      <c r="B220" t="s">
        <v>3149</v>
      </c>
      <c r="C220">
        <v>-339.5</v>
      </c>
      <c r="D220">
        <v>434575.38</v>
      </c>
    </row>
    <row r="221" spans="1:5" x14ac:dyDescent="0.3">
      <c r="A221" s="2">
        <v>44235</v>
      </c>
      <c r="B221" t="s">
        <v>3150</v>
      </c>
      <c r="C221">
        <v>-331.61</v>
      </c>
      <c r="D221">
        <v>516414.6</v>
      </c>
    </row>
    <row r="222" spans="1:5" x14ac:dyDescent="0.3">
      <c r="A222" s="12">
        <v>45744</v>
      </c>
      <c r="B222" s="9" t="s">
        <v>3151</v>
      </c>
      <c r="C222" s="9">
        <v>-313.79000000000002</v>
      </c>
      <c r="D222" s="9">
        <v>217915.27</v>
      </c>
      <c r="E222" s="9"/>
    </row>
    <row r="223" spans="1:5" x14ac:dyDescent="0.3">
      <c r="A223" s="12">
        <v>44655</v>
      </c>
      <c r="B223" s="9" t="s">
        <v>3152</v>
      </c>
      <c r="C223" s="9">
        <v>-301.43</v>
      </c>
      <c r="D223" s="9">
        <v>680286.58000000007</v>
      </c>
      <c r="E223" s="9"/>
    </row>
    <row r="224" spans="1:5" x14ac:dyDescent="0.3">
      <c r="A224" s="12">
        <v>44573</v>
      </c>
      <c r="B224" s="9" t="s">
        <v>3153</v>
      </c>
      <c r="C224" s="9">
        <v>-300</v>
      </c>
      <c r="D224" s="9">
        <v>763683.89999999979</v>
      </c>
      <c r="E224" s="9"/>
    </row>
    <row r="225" spans="1:5" x14ac:dyDescent="0.3">
      <c r="A225" s="2">
        <v>44874</v>
      </c>
      <c r="B225" t="s">
        <v>3154</v>
      </c>
      <c r="C225">
        <v>-300</v>
      </c>
      <c r="D225">
        <v>666114.92000000004</v>
      </c>
    </row>
    <row r="226" spans="1:5" x14ac:dyDescent="0.3">
      <c r="A226" s="12">
        <v>43955</v>
      </c>
      <c r="B226" s="9" t="s">
        <v>3155</v>
      </c>
      <c r="C226" s="9">
        <v>-295</v>
      </c>
      <c r="D226" s="9">
        <v>229429.35000000021</v>
      </c>
      <c r="E226" s="9"/>
    </row>
    <row r="227" spans="1:5" x14ac:dyDescent="0.3">
      <c r="A227" s="2">
        <v>45810</v>
      </c>
      <c r="B227" t="s">
        <v>3156</v>
      </c>
      <c r="C227">
        <v>-292.27999999999997</v>
      </c>
      <c r="D227">
        <v>285691.27</v>
      </c>
    </row>
    <row r="228" spans="1:5" x14ac:dyDescent="0.3">
      <c r="A228" s="2">
        <v>43958</v>
      </c>
      <c r="B228" t="s">
        <v>3157</v>
      </c>
      <c r="C228">
        <v>-275</v>
      </c>
      <c r="D228">
        <v>214123.1500000002</v>
      </c>
    </row>
    <row r="229" spans="1:5" x14ac:dyDescent="0.3">
      <c r="A229" s="2">
        <v>43958</v>
      </c>
      <c r="B229" t="s">
        <v>3158</v>
      </c>
      <c r="C229">
        <v>-275</v>
      </c>
      <c r="D229">
        <v>213489.41000000021</v>
      </c>
    </row>
    <row r="230" spans="1:5" x14ac:dyDescent="0.3">
      <c r="A230" s="2">
        <v>43965</v>
      </c>
      <c r="B230" t="s">
        <v>3159</v>
      </c>
      <c r="C230">
        <v>-275</v>
      </c>
      <c r="D230">
        <v>212166.98000000021</v>
      </c>
    </row>
    <row r="231" spans="1:5" x14ac:dyDescent="0.3">
      <c r="A231" s="2">
        <v>45765</v>
      </c>
      <c r="B231" t="s">
        <v>3160</v>
      </c>
      <c r="C231">
        <v>-256</v>
      </c>
      <c r="D231">
        <v>108285.15</v>
      </c>
    </row>
    <row r="232" spans="1:5" x14ac:dyDescent="0.3">
      <c r="A232" s="2">
        <v>45007</v>
      </c>
      <c r="B232"/>
      <c r="C232">
        <v>-212.27</v>
      </c>
      <c r="D232">
        <v>1269463.81</v>
      </c>
    </row>
    <row r="233" spans="1:5" x14ac:dyDescent="0.3">
      <c r="A233" s="12">
        <v>45744</v>
      </c>
      <c r="B233" s="9" t="s">
        <v>3161</v>
      </c>
      <c r="C233" s="9">
        <v>-196.69</v>
      </c>
      <c r="D233" s="9">
        <v>217718.58</v>
      </c>
      <c r="E233" s="9"/>
    </row>
    <row r="234" spans="1:5" x14ac:dyDescent="0.3">
      <c r="A234" s="2">
        <v>45811</v>
      </c>
      <c r="B234" t="s">
        <v>2455</v>
      </c>
      <c r="C234">
        <v>-190.54</v>
      </c>
      <c r="D234">
        <v>284670.92</v>
      </c>
    </row>
    <row r="235" spans="1:5" x14ac:dyDescent="0.3">
      <c r="A235" s="2">
        <v>45812</v>
      </c>
      <c r="B235" t="s">
        <v>3162</v>
      </c>
      <c r="C235">
        <v>-170</v>
      </c>
      <c r="D235">
        <v>285073.42</v>
      </c>
    </row>
    <row r="236" spans="1:5" x14ac:dyDescent="0.3">
      <c r="A236" s="2">
        <v>45562</v>
      </c>
      <c r="B236" t="s">
        <v>3163</v>
      </c>
      <c r="C236">
        <v>-165</v>
      </c>
      <c r="D236">
        <v>178538.23999999999</v>
      </c>
    </row>
    <row r="237" spans="1:5" x14ac:dyDescent="0.3">
      <c r="A237" s="2">
        <v>45833</v>
      </c>
      <c r="B237" t="s">
        <v>3164</v>
      </c>
      <c r="C237">
        <v>-163.75</v>
      </c>
      <c r="D237">
        <v>268750.86</v>
      </c>
    </row>
    <row r="238" spans="1:5" x14ac:dyDescent="0.3">
      <c r="A238" s="2">
        <v>45141</v>
      </c>
      <c r="B238" t="s">
        <v>1647</v>
      </c>
      <c r="C238">
        <v>-157.87</v>
      </c>
      <c r="D238">
        <v>244152.24000000019</v>
      </c>
    </row>
    <row r="239" spans="1:5" x14ac:dyDescent="0.3">
      <c r="A239" s="2">
        <v>45348</v>
      </c>
      <c r="B239" t="s">
        <v>3165</v>
      </c>
      <c r="C239">
        <v>-150</v>
      </c>
      <c r="D239">
        <v>609103.23000000021</v>
      </c>
    </row>
    <row r="240" spans="1:5" x14ac:dyDescent="0.3">
      <c r="A240" s="2">
        <v>43255</v>
      </c>
      <c r="B240" t="s">
        <v>3166</v>
      </c>
      <c r="C240">
        <v>-132</v>
      </c>
      <c r="D240">
        <v>442429.7</v>
      </c>
    </row>
    <row r="241" spans="1:4" x14ac:dyDescent="0.3">
      <c r="A241" s="2">
        <v>44265</v>
      </c>
      <c r="B241" t="s">
        <v>3167</v>
      </c>
      <c r="C241">
        <v>-114.09</v>
      </c>
      <c r="D241">
        <v>462054.17999999982</v>
      </c>
    </row>
    <row r="242" spans="1:4" x14ac:dyDescent="0.3">
      <c r="A242" s="2">
        <v>44573</v>
      </c>
      <c r="B242" t="s">
        <v>3168</v>
      </c>
      <c r="C242">
        <v>-112.5</v>
      </c>
      <c r="D242">
        <v>759398.89999999979</v>
      </c>
    </row>
    <row r="243" spans="1:4" x14ac:dyDescent="0.3">
      <c r="A243" s="2">
        <v>44820</v>
      </c>
      <c r="B243" t="s">
        <v>3169</v>
      </c>
      <c r="C243">
        <v>-109</v>
      </c>
      <c r="D243">
        <v>674177.54000000039</v>
      </c>
    </row>
    <row r="244" spans="1:4" x14ac:dyDescent="0.3">
      <c r="A244" s="2">
        <v>44851</v>
      </c>
      <c r="B244" t="s">
        <v>3170</v>
      </c>
      <c r="C244">
        <v>-109</v>
      </c>
      <c r="D244">
        <v>568659.13000000035</v>
      </c>
    </row>
    <row r="245" spans="1:4" x14ac:dyDescent="0.3">
      <c r="A245" s="2">
        <v>44881</v>
      </c>
      <c r="B245" t="s">
        <v>3171</v>
      </c>
      <c r="C245">
        <v>-109</v>
      </c>
      <c r="D245">
        <v>575017.62</v>
      </c>
    </row>
    <row r="246" spans="1:4" x14ac:dyDescent="0.3">
      <c r="A246" s="2">
        <v>44510</v>
      </c>
      <c r="B246" t="s">
        <v>3172</v>
      </c>
      <c r="C246">
        <v>-100</v>
      </c>
      <c r="D246">
        <v>530251.25999999954</v>
      </c>
    </row>
    <row r="247" spans="1:4" x14ac:dyDescent="0.3">
      <c r="A247" s="2">
        <v>45099</v>
      </c>
      <c r="B247" t="s">
        <v>3173</v>
      </c>
      <c r="C247">
        <v>-90.08</v>
      </c>
      <c r="D247">
        <v>245181.2500000002</v>
      </c>
    </row>
    <row r="248" spans="1:4" x14ac:dyDescent="0.3">
      <c r="A248" s="2">
        <v>45103</v>
      </c>
      <c r="B248" t="s">
        <v>3174</v>
      </c>
      <c r="C248">
        <v>-88.61</v>
      </c>
      <c r="D248">
        <v>245092.64000000019</v>
      </c>
    </row>
    <row r="249" spans="1:4" x14ac:dyDescent="0.3">
      <c r="A249" s="2">
        <v>45065</v>
      </c>
      <c r="B249" t="s">
        <v>3175</v>
      </c>
      <c r="C249">
        <v>-85</v>
      </c>
      <c r="D249">
        <v>221460.96000000011</v>
      </c>
    </row>
    <row r="250" spans="1:4" x14ac:dyDescent="0.3">
      <c r="A250" s="2">
        <v>45810</v>
      </c>
      <c r="B250" t="s">
        <v>2456</v>
      </c>
      <c r="C250">
        <v>-80.900000000000006</v>
      </c>
      <c r="D250">
        <v>285610.36999999988</v>
      </c>
    </row>
    <row r="251" spans="1:4" x14ac:dyDescent="0.3">
      <c r="A251" s="2">
        <v>44083</v>
      </c>
      <c r="B251" t="s">
        <v>3176</v>
      </c>
      <c r="C251">
        <v>-79.989999999999995</v>
      </c>
      <c r="D251">
        <v>268157.53000000032</v>
      </c>
    </row>
    <row r="252" spans="1:4" x14ac:dyDescent="0.3">
      <c r="A252" s="2">
        <v>45813</v>
      </c>
      <c r="B252" t="s">
        <v>3177</v>
      </c>
      <c r="C252">
        <v>-76.239999999999995</v>
      </c>
      <c r="D252">
        <v>287434.68</v>
      </c>
    </row>
    <row r="253" spans="1:4" x14ac:dyDescent="0.3">
      <c r="A253" s="2">
        <v>43980</v>
      </c>
      <c r="B253" t="s">
        <v>358</v>
      </c>
      <c r="C253">
        <v>-70.77</v>
      </c>
      <c r="D253">
        <v>204632.36000000019</v>
      </c>
    </row>
    <row r="254" spans="1:4" x14ac:dyDescent="0.3">
      <c r="A254" s="2">
        <v>44041</v>
      </c>
      <c r="B254" t="s">
        <v>83</v>
      </c>
      <c r="C254">
        <v>-70.77</v>
      </c>
      <c r="D254">
        <v>295442.56000000017</v>
      </c>
    </row>
    <row r="255" spans="1:4" x14ac:dyDescent="0.3">
      <c r="A255" s="2">
        <v>43252</v>
      </c>
      <c r="B255" t="s">
        <v>3178</v>
      </c>
      <c r="C255">
        <v>-57.49</v>
      </c>
      <c r="D255">
        <v>443621.26</v>
      </c>
    </row>
    <row r="256" spans="1:4" x14ac:dyDescent="0.3">
      <c r="A256" s="2">
        <v>43857</v>
      </c>
      <c r="B256" t="s">
        <v>211</v>
      </c>
      <c r="C256">
        <v>-54.99</v>
      </c>
      <c r="D256">
        <v>501730.9000000002</v>
      </c>
    </row>
    <row r="257" spans="1:5" x14ac:dyDescent="0.3">
      <c r="A257" s="2">
        <v>45139</v>
      </c>
      <c r="B257" t="s">
        <v>3179</v>
      </c>
      <c r="C257">
        <v>-52.26</v>
      </c>
      <c r="D257">
        <v>244344.11000000019</v>
      </c>
    </row>
    <row r="258" spans="1:5" x14ac:dyDescent="0.3">
      <c r="A258" s="2">
        <v>44951</v>
      </c>
      <c r="B258" t="s">
        <v>3180</v>
      </c>
      <c r="C258">
        <v>-50</v>
      </c>
      <c r="D258">
        <v>1048075.79</v>
      </c>
    </row>
    <row r="259" spans="1:5" x14ac:dyDescent="0.3">
      <c r="A259" s="2">
        <v>45316</v>
      </c>
      <c r="B259" t="s">
        <v>3181</v>
      </c>
      <c r="C259">
        <v>-50</v>
      </c>
      <c r="D259">
        <v>502633.07000000018</v>
      </c>
    </row>
    <row r="260" spans="1:5" x14ac:dyDescent="0.3">
      <c r="A260" s="2">
        <v>45726</v>
      </c>
      <c r="B260" t="s">
        <v>3182</v>
      </c>
      <c r="C260">
        <v>-49.1</v>
      </c>
      <c r="D260">
        <v>322112.45</v>
      </c>
    </row>
    <row r="261" spans="1:5" x14ac:dyDescent="0.3">
      <c r="A261" s="2">
        <v>44799</v>
      </c>
      <c r="B261" t="s">
        <v>3183</v>
      </c>
      <c r="C261">
        <v>-45</v>
      </c>
      <c r="D261">
        <v>665714.8200000003</v>
      </c>
    </row>
    <row r="262" spans="1:5" x14ac:dyDescent="0.3">
      <c r="A262" s="12">
        <v>44082</v>
      </c>
      <c r="B262" s="9" t="s">
        <v>3184</v>
      </c>
      <c r="C262" s="9">
        <v>-38.159999999999997</v>
      </c>
      <c r="D262" s="9">
        <v>266990.02000000031</v>
      </c>
      <c r="E262" s="9"/>
    </row>
    <row r="263" spans="1:5" x14ac:dyDescent="0.3">
      <c r="A263" s="2">
        <v>43255</v>
      </c>
      <c r="B263" t="s">
        <v>373</v>
      </c>
      <c r="C263">
        <v>-35</v>
      </c>
      <c r="D263">
        <v>442383.24</v>
      </c>
    </row>
    <row r="264" spans="1:5" x14ac:dyDescent="0.3">
      <c r="A264" s="2">
        <v>43836</v>
      </c>
      <c r="B264" t="s">
        <v>189</v>
      </c>
      <c r="C264">
        <v>-34.950000000000003</v>
      </c>
      <c r="D264">
        <v>358880.13000000018</v>
      </c>
    </row>
    <row r="265" spans="1:5" x14ac:dyDescent="0.3">
      <c r="A265" s="2">
        <v>44412</v>
      </c>
      <c r="B265" t="s">
        <v>85</v>
      </c>
      <c r="C265">
        <v>-34.950000000000003</v>
      </c>
      <c r="D265">
        <v>438491.65999999963</v>
      </c>
    </row>
    <row r="266" spans="1:5" x14ac:dyDescent="0.3">
      <c r="A266" s="2">
        <v>44474</v>
      </c>
      <c r="B266" t="s">
        <v>113</v>
      </c>
      <c r="C266">
        <v>-34.950000000000003</v>
      </c>
      <c r="D266">
        <v>481802.63999999949</v>
      </c>
    </row>
    <row r="267" spans="1:5" x14ac:dyDescent="0.3">
      <c r="A267" s="12">
        <v>43808</v>
      </c>
      <c r="B267" s="9" t="s">
        <v>3185</v>
      </c>
      <c r="C267" s="9">
        <v>-34.39</v>
      </c>
      <c r="D267" s="9">
        <v>223420.88000000009</v>
      </c>
      <c r="E267" s="9"/>
    </row>
    <row r="268" spans="1:5" x14ac:dyDescent="0.3">
      <c r="A268" s="12">
        <v>44743</v>
      </c>
      <c r="B268" s="9" t="s">
        <v>3186</v>
      </c>
      <c r="C268" s="9">
        <v>-30</v>
      </c>
      <c r="D268" s="9">
        <v>643805.37000000011</v>
      </c>
      <c r="E268" s="9"/>
    </row>
    <row r="269" spans="1:5" x14ac:dyDescent="0.3">
      <c r="A269" s="2">
        <v>45838</v>
      </c>
      <c r="B269" t="s">
        <v>3187</v>
      </c>
      <c r="C269">
        <v>-29.55</v>
      </c>
      <c r="D269">
        <v>233411.49</v>
      </c>
    </row>
    <row r="270" spans="1:5" x14ac:dyDescent="0.3">
      <c r="A270" s="2">
        <v>45737</v>
      </c>
      <c r="B270" t="s">
        <v>3188</v>
      </c>
      <c r="C270">
        <v>-29.37</v>
      </c>
      <c r="D270">
        <v>208654.06</v>
      </c>
    </row>
    <row r="271" spans="1:5" x14ac:dyDescent="0.3">
      <c r="A271" s="2">
        <v>43258</v>
      </c>
      <c r="B271" t="s">
        <v>3189</v>
      </c>
      <c r="C271">
        <v>-27.71</v>
      </c>
      <c r="D271">
        <v>438584.7</v>
      </c>
    </row>
    <row r="272" spans="1:5" x14ac:dyDescent="0.3">
      <c r="A272" s="2">
        <v>43990</v>
      </c>
      <c r="B272" t="s">
        <v>3190</v>
      </c>
      <c r="C272">
        <v>-26.99</v>
      </c>
      <c r="D272">
        <v>213867.16000000021</v>
      </c>
    </row>
    <row r="273" spans="1:5" x14ac:dyDescent="0.3">
      <c r="A273" s="2">
        <v>45310</v>
      </c>
      <c r="B273" t="s">
        <v>3191</v>
      </c>
      <c r="C273">
        <v>-25</v>
      </c>
      <c r="D273">
        <v>469829.7100000002</v>
      </c>
    </row>
    <row r="274" spans="1:5" x14ac:dyDescent="0.3">
      <c r="A274" s="2">
        <v>43803</v>
      </c>
      <c r="B274" t="s">
        <v>3192</v>
      </c>
      <c r="C274">
        <v>-21.36</v>
      </c>
      <c r="D274">
        <v>210841.52000000011</v>
      </c>
    </row>
    <row r="275" spans="1:5" x14ac:dyDescent="0.3">
      <c r="A275" s="2">
        <v>44452</v>
      </c>
      <c r="B275" t="s">
        <v>103</v>
      </c>
      <c r="C275">
        <v>-19.59</v>
      </c>
      <c r="D275">
        <v>470921.12999999948</v>
      </c>
    </row>
    <row r="276" spans="1:5" x14ac:dyDescent="0.3">
      <c r="A276" s="12">
        <v>44418</v>
      </c>
      <c r="B276" s="9" t="s">
        <v>3193</v>
      </c>
      <c r="C276" s="9">
        <v>-16.95</v>
      </c>
      <c r="D276" s="9">
        <v>426534.70999999961</v>
      </c>
      <c r="E276" s="9"/>
    </row>
    <row r="277" spans="1:5" x14ac:dyDescent="0.3">
      <c r="A277" s="12">
        <v>43801</v>
      </c>
      <c r="B277" s="9" t="s">
        <v>3194</v>
      </c>
      <c r="C277" s="9">
        <v>-15.18</v>
      </c>
      <c r="D277" s="9">
        <v>209701.5800000001</v>
      </c>
      <c r="E277" s="9"/>
    </row>
    <row r="278" spans="1:5" x14ac:dyDescent="0.3">
      <c r="A278" s="2">
        <v>43256</v>
      </c>
      <c r="B278" t="s">
        <v>3195</v>
      </c>
      <c r="C278">
        <v>-14.49</v>
      </c>
      <c r="D278">
        <v>442452.55</v>
      </c>
    </row>
    <row r="279" spans="1:5" x14ac:dyDescent="0.3">
      <c r="A279" s="2">
        <v>43528</v>
      </c>
      <c r="B279" t="s">
        <v>3196</v>
      </c>
      <c r="C279">
        <v>-12.87</v>
      </c>
      <c r="D279">
        <v>597051.79</v>
      </c>
    </row>
    <row r="280" spans="1:5" x14ac:dyDescent="0.3">
      <c r="A280" s="2">
        <v>43255</v>
      </c>
      <c r="B280" t="s">
        <v>3197</v>
      </c>
      <c r="C280">
        <v>-11.46</v>
      </c>
      <c r="D280">
        <v>442418.24</v>
      </c>
    </row>
    <row r="281" spans="1:5" x14ac:dyDescent="0.3">
      <c r="A281" s="12">
        <v>44944</v>
      </c>
      <c r="B281" s="9" t="s">
        <v>1420</v>
      </c>
      <c r="C281" s="9">
        <v>-10.88</v>
      </c>
      <c r="D281" s="9">
        <v>1048125.79</v>
      </c>
      <c r="E281" s="9"/>
    </row>
    <row r="282" spans="1:5" x14ac:dyDescent="0.3">
      <c r="A282" s="2">
        <v>43872</v>
      </c>
      <c r="B282" t="s">
        <v>3198</v>
      </c>
      <c r="C282">
        <v>-9.99</v>
      </c>
      <c r="D282">
        <v>482478.76000000013</v>
      </c>
    </row>
    <row r="283" spans="1:5" x14ac:dyDescent="0.3">
      <c r="A283" s="2">
        <v>45007</v>
      </c>
      <c r="B283" t="s">
        <v>3199</v>
      </c>
      <c r="C283">
        <v>-9.6</v>
      </c>
      <c r="D283">
        <v>1267786.1499999999</v>
      </c>
    </row>
    <row r="284" spans="1:5" x14ac:dyDescent="0.3">
      <c r="A284" s="12">
        <v>43915</v>
      </c>
      <c r="B284" s="9" t="s">
        <v>3200</v>
      </c>
      <c r="C284" s="9">
        <v>-0.05</v>
      </c>
      <c r="D284" s="9">
        <v>273334.19000000012</v>
      </c>
      <c r="E284" s="9"/>
    </row>
    <row r="285" spans="1:5" x14ac:dyDescent="0.3">
      <c r="A285" s="12">
        <v>44929</v>
      </c>
      <c r="B285" s="9" t="s">
        <v>3201</v>
      </c>
      <c r="C285" s="9">
        <v>0</v>
      </c>
      <c r="D285" s="9">
        <v>676757.5</v>
      </c>
      <c r="E285" s="9"/>
    </row>
    <row r="286" spans="1:5" x14ac:dyDescent="0.3">
      <c r="A286" s="12">
        <v>44958</v>
      </c>
      <c r="B286" s="9" t="s">
        <v>3201</v>
      </c>
      <c r="C286" s="9">
        <v>0</v>
      </c>
      <c r="D286" s="9">
        <v>1002788.9</v>
      </c>
      <c r="E286" s="9"/>
    </row>
    <row r="287" spans="1:5" x14ac:dyDescent="0.3">
      <c r="A287" s="12">
        <v>44986</v>
      </c>
      <c r="B287" s="9" t="s">
        <v>3201</v>
      </c>
      <c r="C287" s="9">
        <v>0</v>
      </c>
      <c r="D287" s="9">
        <v>1119227.23</v>
      </c>
      <c r="E287" s="9"/>
    </row>
    <row r="288" spans="1:5" x14ac:dyDescent="0.3">
      <c r="A288" s="2">
        <v>45019</v>
      </c>
      <c r="B288" t="s">
        <v>3201</v>
      </c>
      <c r="C288">
        <v>0</v>
      </c>
      <c r="D288">
        <v>378850.49000000011</v>
      </c>
    </row>
    <row r="289" spans="1:5" x14ac:dyDescent="0.3">
      <c r="A289" s="12">
        <v>45047</v>
      </c>
      <c r="B289" s="9" t="s">
        <v>3201</v>
      </c>
      <c r="C289" s="9">
        <v>0</v>
      </c>
      <c r="D289" s="9">
        <v>264803.25000000012</v>
      </c>
      <c r="E289" s="9"/>
    </row>
    <row r="290" spans="1:5" x14ac:dyDescent="0.3">
      <c r="A290" s="12">
        <v>45139</v>
      </c>
      <c r="B290" s="9" t="s">
        <v>3201</v>
      </c>
      <c r="C290" s="9">
        <v>0</v>
      </c>
      <c r="D290" s="9">
        <v>220381.3700000002</v>
      </c>
      <c r="E290" s="9"/>
    </row>
    <row r="291" spans="1:5" x14ac:dyDescent="0.3">
      <c r="A291" s="2">
        <v>45824</v>
      </c>
      <c r="B291" t="s">
        <v>3202</v>
      </c>
      <c r="C291">
        <v>0.02</v>
      </c>
      <c r="D291">
        <v>286609.7</v>
      </c>
    </row>
    <row r="292" spans="1:5" x14ac:dyDescent="0.3">
      <c r="A292" s="12">
        <v>43915</v>
      </c>
      <c r="B292" s="9" t="s">
        <v>3200</v>
      </c>
      <c r="C292" s="9">
        <v>0.05</v>
      </c>
      <c r="D292" s="9">
        <v>273350.56000000011</v>
      </c>
      <c r="E292" s="9"/>
    </row>
    <row r="293" spans="1:5" x14ac:dyDescent="0.3">
      <c r="A293" s="2">
        <v>43607</v>
      </c>
      <c r="B293" t="s">
        <v>52</v>
      </c>
      <c r="C293">
        <v>10</v>
      </c>
      <c r="D293">
        <v>130247.2300000001</v>
      </c>
    </row>
    <row r="294" spans="1:5" x14ac:dyDescent="0.3">
      <c r="A294" s="2">
        <v>43711</v>
      </c>
      <c r="B294" t="s">
        <v>24</v>
      </c>
      <c r="C294">
        <v>20</v>
      </c>
      <c r="D294">
        <v>143925.2000000001</v>
      </c>
    </row>
    <row r="295" spans="1:5" x14ac:dyDescent="0.3">
      <c r="A295" s="2">
        <v>43717</v>
      </c>
      <c r="B295" t="s">
        <v>24</v>
      </c>
      <c r="C295">
        <v>20</v>
      </c>
      <c r="D295">
        <v>127953.82000000009</v>
      </c>
    </row>
    <row r="296" spans="1:5" x14ac:dyDescent="0.3">
      <c r="A296" s="2">
        <v>43406</v>
      </c>
      <c r="B296" t="s">
        <v>24</v>
      </c>
      <c r="C296">
        <v>30</v>
      </c>
      <c r="D296">
        <v>427096.54999999987</v>
      </c>
    </row>
    <row r="297" spans="1:5" x14ac:dyDescent="0.3">
      <c r="A297" s="2">
        <v>43417</v>
      </c>
      <c r="B297" t="s">
        <v>24</v>
      </c>
      <c r="C297">
        <v>30</v>
      </c>
      <c r="D297">
        <v>420758.6999999999</v>
      </c>
    </row>
    <row r="298" spans="1:5" x14ac:dyDescent="0.3">
      <c r="A298" s="2">
        <v>44747</v>
      </c>
      <c r="B298" t="s">
        <v>3203</v>
      </c>
      <c r="C298">
        <v>48.3</v>
      </c>
      <c r="D298">
        <v>629964.66000000027</v>
      </c>
    </row>
    <row r="299" spans="1:5" x14ac:dyDescent="0.3">
      <c r="A299" s="2">
        <v>44718</v>
      </c>
      <c r="B299" t="s">
        <v>3204</v>
      </c>
      <c r="C299">
        <v>60</v>
      </c>
      <c r="D299">
        <v>632497.40000000014</v>
      </c>
    </row>
    <row r="300" spans="1:5" x14ac:dyDescent="0.3">
      <c r="A300" s="2">
        <v>43712</v>
      </c>
      <c r="B300" t="s">
        <v>24</v>
      </c>
      <c r="C300">
        <v>80</v>
      </c>
      <c r="D300">
        <v>146775.2000000001</v>
      </c>
    </row>
    <row r="301" spans="1:5" x14ac:dyDescent="0.3">
      <c r="A301" s="2">
        <v>44053</v>
      </c>
      <c r="B301" t="s">
        <v>785</v>
      </c>
      <c r="C301">
        <v>82.5</v>
      </c>
      <c r="D301">
        <v>291919.4700000002</v>
      </c>
    </row>
    <row r="302" spans="1:5" x14ac:dyDescent="0.3">
      <c r="A302" s="2">
        <v>44067</v>
      </c>
      <c r="B302" t="s">
        <v>801</v>
      </c>
      <c r="C302">
        <v>82.5</v>
      </c>
      <c r="D302">
        <v>275972.33000000019</v>
      </c>
    </row>
    <row r="303" spans="1:5" x14ac:dyDescent="0.3">
      <c r="A303" s="2">
        <v>44082</v>
      </c>
      <c r="B303" t="s">
        <v>813</v>
      </c>
      <c r="C303">
        <v>82.5</v>
      </c>
      <c r="D303">
        <v>267072.52000000031</v>
      </c>
    </row>
    <row r="304" spans="1:5" x14ac:dyDescent="0.3">
      <c r="A304" s="2">
        <v>44095</v>
      </c>
      <c r="B304" t="s">
        <v>3205</v>
      </c>
      <c r="C304">
        <v>82.5</v>
      </c>
      <c r="D304">
        <v>272991.67000000022</v>
      </c>
    </row>
    <row r="305" spans="1:4" x14ac:dyDescent="0.3">
      <c r="A305" s="2">
        <v>44798</v>
      </c>
      <c r="B305" t="s">
        <v>3206</v>
      </c>
      <c r="C305">
        <v>82.5</v>
      </c>
      <c r="D305">
        <v>665759.8200000003</v>
      </c>
    </row>
    <row r="306" spans="1:4" x14ac:dyDescent="0.3">
      <c r="A306" s="2">
        <v>44624</v>
      </c>
      <c r="B306" t="s">
        <v>3207</v>
      </c>
      <c r="C306">
        <v>85</v>
      </c>
      <c r="D306">
        <v>832841.32</v>
      </c>
    </row>
    <row r="307" spans="1:4" x14ac:dyDescent="0.3">
      <c r="A307" s="2">
        <v>44634</v>
      </c>
      <c r="B307" t="s">
        <v>3208</v>
      </c>
      <c r="C307">
        <v>85</v>
      </c>
      <c r="D307">
        <v>847109.55999999994</v>
      </c>
    </row>
    <row r="308" spans="1:4" x14ac:dyDescent="0.3">
      <c r="A308" s="2">
        <v>44089</v>
      </c>
      <c r="B308" t="s">
        <v>3209</v>
      </c>
      <c r="C308">
        <v>110</v>
      </c>
      <c r="D308">
        <v>270089.17000000022</v>
      </c>
    </row>
    <row r="309" spans="1:4" x14ac:dyDescent="0.3">
      <c r="A309" s="2">
        <v>44433</v>
      </c>
      <c r="B309" t="s">
        <v>3210</v>
      </c>
      <c r="C309">
        <v>122.5</v>
      </c>
      <c r="D309">
        <v>466526.72999999957</v>
      </c>
    </row>
    <row r="310" spans="1:4" x14ac:dyDescent="0.3">
      <c r="A310" s="2">
        <v>43937</v>
      </c>
      <c r="B310" t="s">
        <v>47</v>
      </c>
      <c r="C310">
        <v>123.75</v>
      </c>
      <c r="D310">
        <v>231470.70000000019</v>
      </c>
    </row>
    <row r="311" spans="1:4" x14ac:dyDescent="0.3">
      <c r="A311" s="2">
        <v>43941</v>
      </c>
      <c r="B311" t="s">
        <v>47</v>
      </c>
      <c r="C311">
        <v>123.75</v>
      </c>
      <c r="D311">
        <v>232336.95000000019</v>
      </c>
    </row>
    <row r="312" spans="1:4" x14ac:dyDescent="0.3">
      <c r="A312" s="2">
        <v>43965</v>
      </c>
      <c r="B312" t="s">
        <v>47</v>
      </c>
      <c r="C312">
        <v>123.75</v>
      </c>
      <c r="D312">
        <v>212207.67000000019</v>
      </c>
    </row>
    <row r="313" spans="1:4" x14ac:dyDescent="0.3">
      <c r="A313" s="2">
        <v>44802</v>
      </c>
      <c r="B313" t="s">
        <v>3211</v>
      </c>
      <c r="C313">
        <v>150</v>
      </c>
      <c r="D313">
        <v>665864.8200000003</v>
      </c>
    </row>
    <row r="314" spans="1:4" x14ac:dyDescent="0.3">
      <c r="A314" s="2">
        <v>43280</v>
      </c>
      <c r="B314" t="s">
        <v>47</v>
      </c>
      <c r="C314">
        <v>163.75</v>
      </c>
      <c r="D314">
        <v>403403.83</v>
      </c>
    </row>
    <row r="315" spans="1:4" x14ac:dyDescent="0.3">
      <c r="A315" s="2">
        <v>43515</v>
      </c>
      <c r="B315" t="s">
        <v>24</v>
      </c>
      <c r="C315">
        <v>165</v>
      </c>
      <c r="D315">
        <v>622223.24999999988</v>
      </c>
    </row>
    <row r="316" spans="1:4" x14ac:dyDescent="0.3">
      <c r="A316" s="2">
        <v>43515</v>
      </c>
      <c r="B316" t="s">
        <v>24</v>
      </c>
      <c r="C316">
        <v>165</v>
      </c>
      <c r="D316">
        <v>621993.84</v>
      </c>
    </row>
    <row r="317" spans="1:4" x14ac:dyDescent="0.3">
      <c r="A317" s="2">
        <v>44571</v>
      </c>
      <c r="B317" t="s">
        <v>31</v>
      </c>
      <c r="C317">
        <v>165</v>
      </c>
      <c r="D317">
        <v>751261.39999999979</v>
      </c>
    </row>
    <row r="318" spans="1:4" x14ac:dyDescent="0.3">
      <c r="A318" s="2">
        <v>44614</v>
      </c>
      <c r="B318" t="s">
        <v>3212</v>
      </c>
      <c r="C318">
        <v>165</v>
      </c>
      <c r="D318">
        <v>815629.45</v>
      </c>
    </row>
    <row r="319" spans="1:4" x14ac:dyDescent="0.3">
      <c r="A319" s="2">
        <v>44634</v>
      </c>
      <c r="B319" t="s">
        <v>3208</v>
      </c>
      <c r="C319">
        <v>165</v>
      </c>
      <c r="D319">
        <v>847024.55999999994</v>
      </c>
    </row>
    <row r="320" spans="1:4" x14ac:dyDescent="0.3">
      <c r="A320" s="2">
        <v>44635</v>
      </c>
      <c r="B320" t="s">
        <v>3213</v>
      </c>
      <c r="C320">
        <v>165</v>
      </c>
      <c r="D320">
        <v>847124.55999999994</v>
      </c>
    </row>
    <row r="321" spans="1:5" x14ac:dyDescent="0.3">
      <c r="A321" s="2">
        <v>44642</v>
      </c>
      <c r="B321" t="s">
        <v>3214</v>
      </c>
      <c r="C321">
        <v>165</v>
      </c>
      <c r="D321">
        <v>841463.11</v>
      </c>
    </row>
    <row r="322" spans="1:5" x14ac:dyDescent="0.3">
      <c r="A322" s="2">
        <v>44645</v>
      </c>
      <c r="B322" t="s">
        <v>3215</v>
      </c>
      <c r="C322">
        <v>165</v>
      </c>
      <c r="D322">
        <v>841628.11</v>
      </c>
    </row>
    <row r="323" spans="1:5" x14ac:dyDescent="0.3">
      <c r="A323" s="2">
        <v>44648</v>
      </c>
      <c r="B323" t="s">
        <v>3216</v>
      </c>
      <c r="C323">
        <v>165</v>
      </c>
      <c r="D323">
        <v>841793.11</v>
      </c>
    </row>
    <row r="324" spans="1:5" x14ac:dyDescent="0.3">
      <c r="A324" s="2">
        <v>44651</v>
      </c>
      <c r="B324" t="s">
        <v>3217</v>
      </c>
      <c r="C324">
        <v>165</v>
      </c>
      <c r="D324">
        <v>839470.17</v>
      </c>
    </row>
    <row r="325" spans="1:5" x14ac:dyDescent="0.3">
      <c r="A325" s="2">
        <v>45359</v>
      </c>
      <c r="B325" t="s">
        <v>3218</v>
      </c>
      <c r="C325">
        <v>195</v>
      </c>
      <c r="D325">
        <v>467463.94000000012</v>
      </c>
    </row>
    <row r="326" spans="1:5" x14ac:dyDescent="0.3">
      <c r="A326" s="2">
        <v>43761</v>
      </c>
      <c r="B326" t="s">
        <v>24</v>
      </c>
      <c r="C326">
        <v>206.25</v>
      </c>
      <c r="D326">
        <v>157269.27000000011</v>
      </c>
    </row>
    <row r="327" spans="1:5" x14ac:dyDescent="0.3">
      <c r="A327" s="2">
        <v>44138</v>
      </c>
      <c r="B327" t="s">
        <v>3219</v>
      </c>
      <c r="C327">
        <v>206.25</v>
      </c>
      <c r="D327">
        <v>280716.80000000028</v>
      </c>
    </row>
    <row r="328" spans="1:5" x14ac:dyDescent="0.3">
      <c r="A328" s="2">
        <v>44139</v>
      </c>
      <c r="B328" t="s">
        <v>3220</v>
      </c>
      <c r="C328">
        <v>206.25</v>
      </c>
      <c r="D328">
        <v>280880.15000000031</v>
      </c>
    </row>
    <row r="329" spans="1:5" x14ac:dyDescent="0.3">
      <c r="A329" s="2">
        <v>44140</v>
      </c>
      <c r="B329" t="s">
        <v>3221</v>
      </c>
      <c r="C329">
        <v>206.25</v>
      </c>
      <c r="D329">
        <v>281086.40000000031</v>
      </c>
    </row>
    <row r="330" spans="1:5" x14ac:dyDescent="0.3">
      <c r="A330" s="2">
        <v>44621</v>
      </c>
      <c r="B330" t="s">
        <v>31</v>
      </c>
      <c r="C330">
        <v>220</v>
      </c>
      <c r="D330">
        <v>827859.44</v>
      </c>
    </row>
    <row r="331" spans="1:5" x14ac:dyDescent="0.3">
      <c r="A331" s="2">
        <v>44789</v>
      </c>
      <c r="B331" t="s">
        <v>3222</v>
      </c>
      <c r="C331">
        <v>247.5</v>
      </c>
      <c r="D331">
        <v>688975.48000000033</v>
      </c>
    </row>
    <row r="332" spans="1:5" x14ac:dyDescent="0.3">
      <c r="A332" s="2">
        <v>44834</v>
      </c>
      <c r="B332" t="s">
        <v>3223</v>
      </c>
      <c r="C332">
        <v>270</v>
      </c>
      <c r="D332">
        <v>618939.43000000028</v>
      </c>
    </row>
    <row r="333" spans="1:5" x14ac:dyDescent="0.3">
      <c r="A333" s="12">
        <v>43941</v>
      </c>
      <c r="B333" s="9" t="s">
        <v>3224</v>
      </c>
      <c r="C333" s="9">
        <v>275</v>
      </c>
      <c r="D333" s="9">
        <v>232611.95000000019</v>
      </c>
      <c r="E333" s="9"/>
    </row>
    <row r="334" spans="1:5" x14ac:dyDescent="0.3">
      <c r="A334" s="2">
        <v>44011</v>
      </c>
      <c r="B334" t="s">
        <v>3225</v>
      </c>
      <c r="C334">
        <v>275</v>
      </c>
      <c r="D334">
        <v>206199.83000000019</v>
      </c>
    </row>
    <row r="335" spans="1:5" x14ac:dyDescent="0.3">
      <c r="A335" s="2">
        <v>44571</v>
      </c>
      <c r="B335" t="s">
        <v>31</v>
      </c>
      <c r="C335">
        <v>300</v>
      </c>
      <c r="D335">
        <v>746896.39999999979</v>
      </c>
    </row>
    <row r="336" spans="1:5" x14ac:dyDescent="0.3">
      <c r="A336" s="2">
        <v>44953</v>
      </c>
      <c r="B336" t="s">
        <v>3226</v>
      </c>
      <c r="C336">
        <v>300</v>
      </c>
      <c r="D336">
        <v>1021961.25</v>
      </c>
    </row>
    <row r="337" spans="1:5" x14ac:dyDescent="0.3">
      <c r="A337" s="2">
        <v>44973</v>
      </c>
      <c r="B337" t="s">
        <v>3227</v>
      </c>
      <c r="C337">
        <v>300</v>
      </c>
      <c r="D337">
        <v>1096633.8999999999</v>
      </c>
    </row>
    <row r="338" spans="1:5" x14ac:dyDescent="0.3">
      <c r="A338" s="2">
        <v>44974</v>
      </c>
      <c r="B338" t="s">
        <v>3228</v>
      </c>
      <c r="C338">
        <v>300</v>
      </c>
      <c r="D338">
        <v>1098733.8999999999</v>
      </c>
    </row>
    <row r="339" spans="1:5" x14ac:dyDescent="0.3">
      <c r="A339" s="2">
        <v>45390</v>
      </c>
      <c r="B339" t="s">
        <v>2053</v>
      </c>
      <c r="C339">
        <v>300</v>
      </c>
      <c r="D339">
        <v>331042.46999999997</v>
      </c>
    </row>
    <row r="340" spans="1:5" x14ac:dyDescent="0.3">
      <c r="A340" s="12">
        <v>45145</v>
      </c>
      <c r="B340" s="9" t="s">
        <v>3229</v>
      </c>
      <c r="C340" s="9">
        <v>315</v>
      </c>
      <c r="D340" s="9">
        <v>221896.3700000002</v>
      </c>
      <c r="E340" s="9"/>
    </row>
    <row r="341" spans="1:5" x14ac:dyDescent="0.3">
      <c r="A341" s="2">
        <v>43808</v>
      </c>
      <c r="B341" t="s">
        <v>24</v>
      </c>
      <c r="C341">
        <v>330</v>
      </c>
      <c r="D341">
        <v>223750.88000000009</v>
      </c>
    </row>
    <row r="342" spans="1:5" x14ac:dyDescent="0.3">
      <c r="A342" s="2">
        <v>43816</v>
      </c>
      <c r="B342" t="s">
        <v>24</v>
      </c>
      <c r="C342">
        <v>330</v>
      </c>
      <c r="D342">
        <v>253866.90000000011</v>
      </c>
    </row>
    <row r="343" spans="1:5" x14ac:dyDescent="0.3">
      <c r="A343" s="2">
        <v>44627</v>
      </c>
      <c r="B343" t="s">
        <v>3230</v>
      </c>
      <c r="C343">
        <v>330</v>
      </c>
      <c r="D343">
        <v>833421.32</v>
      </c>
    </row>
    <row r="344" spans="1:5" x14ac:dyDescent="0.3">
      <c r="A344" s="2">
        <v>44630</v>
      </c>
      <c r="B344" t="s">
        <v>3231</v>
      </c>
      <c r="C344">
        <v>330</v>
      </c>
      <c r="D344">
        <v>833894.55999999994</v>
      </c>
    </row>
    <row r="345" spans="1:5" x14ac:dyDescent="0.3">
      <c r="A345" s="2">
        <v>44011</v>
      </c>
      <c r="B345" t="s">
        <v>3232</v>
      </c>
      <c r="C345">
        <v>375</v>
      </c>
      <c r="D345">
        <v>203683.58000000019</v>
      </c>
    </row>
    <row r="346" spans="1:5" x14ac:dyDescent="0.3">
      <c r="A346" s="2">
        <v>44012</v>
      </c>
      <c r="B346" t="s">
        <v>3233</v>
      </c>
      <c r="C346">
        <v>375</v>
      </c>
      <c r="D346">
        <v>206822.33000000019</v>
      </c>
    </row>
    <row r="347" spans="1:5" x14ac:dyDescent="0.3">
      <c r="A347" s="2">
        <v>44718</v>
      </c>
      <c r="B347" t="s">
        <v>3234</v>
      </c>
      <c r="C347">
        <v>381.05</v>
      </c>
      <c r="D347">
        <v>651318.45000000019</v>
      </c>
    </row>
    <row r="348" spans="1:5" x14ac:dyDescent="0.3">
      <c r="A348" s="2">
        <v>43740</v>
      </c>
      <c r="B348" t="s">
        <v>31</v>
      </c>
      <c r="C348">
        <v>400</v>
      </c>
      <c r="D348">
        <v>153773.0500000001</v>
      </c>
    </row>
    <row r="349" spans="1:5" x14ac:dyDescent="0.3">
      <c r="A349" s="12">
        <v>44984</v>
      </c>
      <c r="B349" s="9" t="s">
        <v>3235</v>
      </c>
      <c r="C349" s="9">
        <v>425</v>
      </c>
      <c r="D349" s="9">
        <v>1135008.8999999999</v>
      </c>
      <c r="E349" s="9"/>
    </row>
    <row r="350" spans="1:5" x14ac:dyDescent="0.3">
      <c r="A350" s="12">
        <v>44810</v>
      </c>
      <c r="B350" s="9" t="s">
        <v>3236</v>
      </c>
      <c r="C350" s="9">
        <v>435</v>
      </c>
      <c r="D350" s="9">
        <v>668031.62000000034</v>
      </c>
      <c r="E350" s="9"/>
    </row>
    <row r="351" spans="1:5" x14ac:dyDescent="0.3">
      <c r="A351" s="2">
        <v>44795</v>
      </c>
      <c r="B351" t="s">
        <v>3237</v>
      </c>
      <c r="C351">
        <v>440</v>
      </c>
      <c r="D351">
        <v>663307.3200000003</v>
      </c>
    </row>
    <row r="352" spans="1:5" x14ac:dyDescent="0.3">
      <c r="A352" s="2">
        <v>45510</v>
      </c>
      <c r="B352" t="s">
        <v>3238</v>
      </c>
      <c r="C352">
        <v>500</v>
      </c>
      <c r="D352">
        <v>272558.05</v>
      </c>
    </row>
    <row r="353" spans="1:5" x14ac:dyDescent="0.3">
      <c r="A353" s="2">
        <v>44783</v>
      </c>
      <c r="B353" t="s">
        <v>3239</v>
      </c>
      <c r="C353">
        <v>520</v>
      </c>
      <c r="D353">
        <v>698317.98000000033</v>
      </c>
    </row>
    <row r="354" spans="1:5" x14ac:dyDescent="0.3">
      <c r="A354" s="2">
        <v>43990</v>
      </c>
      <c r="B354" t="s">
        <v>729</v>
      </c>
      <c r="C354">
        <v>530</v>
      </c>
      <c r="D354">
        <v>214397.16000000021</v>
      </c>
    </row>
    <row r="355" spans="1:5" x14ac:dyDescent="0.3">
      <c r="A355" s="2">
        <v>43430</v>
      </c>
      <c r="B355" t="s">
        <v>24</v>
      </c>
      <c r="C355">
        <v>536.25</v>
      </c>
      <c r="D355">
        <v>454693.56999999989</v>
      </c>
    </row>
    <row r="356" spans="1:5" x14ac:dyDescent="0.3">
      <c r="A356" s="12">
        <v>44875</v>
      </c>
      <c r="B356" s="9" t="s">
        <v>3240</v>
      </c>
      <c r="C356" s="9">
        <v>536.25</v>
      </c>
      <c r="D356" s="9">
        <v>586886.51</v>
      </c>
      <c r="E356" s="9"/>
    </row>
    <row r="357" spans="1:5" x14ac:dyDescent="0.3">
      <c r="A357" s="2">
        <v>43927</v>
      </c>
      <c r="B357" t="s">
        <v>31</v>
      </c>
      <c r="C357">
        <v>550</v>
      </c>
      <c r="D357">
        <v>260786.53000000009</v>
      </c>
    </row>
    <row r="358" spans="1:5" x14ac:dyDescent="0.3">
      <c r="A358" s="12">
        <v>44788</v>
      </c>
      <c r="B358" s="9" t="s">
        <v>3241</v>
      </c>
      <c r="C358" s="9">
        <v>585</v>
      </c>
      <c r="D358" s="9">
        <v>700115.48000000033</v>
      </c>
      <c r="E358" s="9"/>
    </row>
    <row r="359" spans="1:5" x14ac:dyDescent="0.3">
      <c r="A359" s="2">
        <v>44267</v>
      </c>
      <c r="B359" t="s">
        <v>3242</v>
      </c>
      <c r="C359">
        <v>600</v>
      </c>
      <c r="D359">
        <v>463974.19999999978</v>
      </c>
    </row>
    <row r="360" spans="1:5" x14ac:dyDescent="0.3">
      <c r="A360" s="12">
        <v>44802</v>
      </c>
      <c r="B360" s="9" t="s">
        <v>3211</v>
      </c>
      <c r="C360" s="9">
        <v>642.5</v>
      </c>
      <c r="D360" s="9">
        <v>666507.3200000003</v>
      </c>
      <c r="E360" s="9"/>
    </row>
    <row r="361" spans="1:5" x14ac:dyDescent="0.3">
      <c r="A361" s="2">
        <v>44893</v>
      </c>
      <c r="B361" t="s">
        <v>3243</v>
      </c>
      <c r="C361">
        <v>660</v>
      </c>
      <c r="D361">
        <v>666042.76</v>
      </c>
    </row>
    <row r="362" spans="1:5" x14ac:dyDescent="0.3">
      <c r="A362" s="12">
        <v>45806</v>
      </c>
      <c r="B362" s="9" t="s">
        <v>3244</v>
      </c>
      <c r="C362" s="9">
        <v>663.92</v>
      </c>
      <c r="D362" s="9">
        <v>285268.55</v>
      </c>
      <c r="E362" s="9"/>
    </row>
    <row r="363" spans="1:5" x14ac:dyDescent="0.3">
      <c r="A363" s="2">
        <v>45331</v>
      </c>
      <c r="B363" t="s">
        <v>3245</v>
      </c>
      <c r="C363">
        <v>680</v>
      </c>
      <c r="D363">
        <v>591702.55000000028</v>
      </c>
    </row>
    <row r="364" spans="1:5" x14ac:dyDescent="0.3">
      <c r="A364" s="2">
        <v>44389</v>
      </c>
      <c r="B364" t="s">
        <v>3246</v>
      </c>
      <c r="C364">
        <v>700</v>
      </c>
      <c r="D364">
        <v>392383.1199999997</v>
      </c>
    </row>
    <row r="365" spans="1:5" x14ac:dyDescent="0.3">
      <c r="A365" s="2">
        <v>44950</v>
      </c>
      <c r="B365" t="s">
        <v>1424</v>
      </c>
      <c r="C365">
        <v>700</v>
      </c>
      <c r="D365">
        <v>998856.25</v>
      </c>
    </row>
    <row r="366" spans="1:5" x14ac:dyDescent="0.3">
      <c r="A366" s="2">
        <v>45608</v>
      </c>
      <c r="B366" t="s">
        <v>3247</v>
      </c>
      <c r="C366">
        <v>701.25</v>
      </c>
      <c r="D366">
        <v>122193.66</v>
      </c>
    </row>
    <row r="367" spans="1:5" x14ac:dyDescent="0.3">
      <c r="A367" s="2">
        <v>44781</v>
      </c>
      <c r="B367" t="s">
        <v>3248</v>
      </c>
      <c r="C367">
        <v>727.5</v>
      </c>
      <c r="D367">
        <v>680445.48000000033</v>
      </c>
    </row>
    <row r="368" spans="1:5" x14ac:dyDescent="0.3">
      <c r="A368" s="2">
        <v>44810</v>
      </c>
      <c r="B368" t="s">
        <v>1664</v>
      </c>
      <c r="C368">
        <v>730</v>
      </c>
      <c r="D368">
        <v>668922.0500000004</v>
      </c>
    </row>
    <row r="369" spans="1:5" x14ac:dyDescent="0.3">
      <c r="A369" s="2">
        <v>44804</v>
      </c>
      <c r="B369" t="s">
        <v>3249</v>
      </c>
      <c r="C369">
        <v>762.5</v>
      </c>
      <c r="D369">
        <v>667269.8200000003</v>
      </c>
    </row>
    <row r="370" spans="1:5" x14ac:dyDescent="0.3">
      <c r="A370" s="2">
        <v>44893</v>
      </c>
      <c r="B370" t="s">
        <v>1744</v>
      </c>
      <c r="C370">
        <v>795</v>
      </c>
      <c r="D370">
        <v>665382.76</v>
      </c>
    </row>
    <row r="371" spans="1:5" x14ac:dyDescent="0.3">
      <c r="A371" s="2">
        <v>43613</v>
      </c>
      <c r="B371" t="s">
        <v>24</v>
      </c>
      <c r="C371">
        <v>843.75</v>
      </c>
      <c r="D371">
        <v>133462.16000000009</v>
      </c>
    </row>
    <row r="372" spans="1:5" x14ac:dyDescent="0.3">
      <c r="A372" s="2">
        <v>44270</v>
      </c>
      <c r="B372" t="s">
        <v>3250</v>
      </c>
      <c r="C372">
        <v>855</v>
      </c>
      <c r="D372">
        <v>451422.93999999983</v>
      </c>
    </row>
    <row r="373" spans="1:5" x14ac:dyDescent="0.3">
      <c r="A373" s="2">
        <v>43364</v>
      </c>
      <c r="B373" t="s">
        <v>267</v>
      </c>
      <c r="C373">
        <v>900</v>
      </c>
      <c r="D373">
        <v>455902.61999999988</v>
      </c>
    </row>
    <row r="374" spans="1:5" x14ac:dyDescent="0.3">
      <c r="A374" s="2">
        <v>45293</v>
      </c>
      <c r="B374" t="s">
        <v>3251</v>
      </c>
      <c r="C374">
        <v>930</v>
      </c>
      <c r="D374">
        <v>335649.11000000022</v>
      </c>
    </row>
    <row r="375" spans="1:5" x14ac:dyDescent="0.3">
      <c r="A375" s="12">
        <v>44785</v>
      </c>
      <c r="B375" s="9" t="s">
        <v>3252</v>
      </c>
      <c r="C375" s="9">
        <v>965</v>
      </c>
      <c r="D375" s="9">
        <v>699530.48000000033</v>
      </c>
      <c r="E375" s="9"/>
    </row>
    <row r="376" spans="1:5" x14ac:dyDescent="0.3">
      <c r="A376" s="12">
        <v>45174</v>
      </c>
      <c r="B376" s="9" t="s">
        <v>3253</v>
      </c>
      <c r="C376" s="9">
        <v>982.5</v>
      </c>
      <c r="D376" s="9">
        <v>166035.58000000019</v>
      </c>
      <c r="E376" s="9"/>
    </row>
    <row r="377" spans="1:5" x14ac:dyDescent="0.3">
      <c r="A377" s="2">
        <v>43354</v>
      </c>
      <c r="B377" t="s">
        <v>31</v>
      </c>
      <c r="C377">
        <v>1000</v>
      </c>
      <c r="D377">
        <v>449185.67999999988</v>
      </c>
    </row>
    <row r="378" spans="1:5" x14ac:dyDescent="0.3">
      <c r="A378" s="12">
        <v>44795</v>
      </c>
      <c r="B378" s="9" t="s">
        <v>3254</v>
      </c>
      <c r="C378" s="9">
        <v>1100</v>
      </c>
      <c r="D378" s="9">
        <v>664407.3200000003</v>
      </c>
      <c r="E378" s="9"/>
    </row>
    <row r="379" spans="1:5" x14ac:dyDescent="0.3">
      <c r="A379" s="2">
        <v>44890</v>
      </c>
      <c r="B379" t="s">
        <v>3255</v>
      </c>
      <c r="C379">
        <v>1155</v>
      </c>
      <c r="D379">
        <v>664587.76</v>
      </c>
    </row>
    <row r="380" spans="1:5" x14ac:dyDescent="0.3">
      <c r="A380" s="2">
        <v>44833</v>
      </c>
      <c r="B380" t="s">
        <v>3256</v>
      </c>
      <c r="C380">
        <v>1180</v>
      </c>
      <c r="D380">
        <v>606789.43000000028</v>
      </c>
    </row>
    <row r="381" spans="1:5" x14ac:dyDescent="0.3">
      <c r="A381" s="2">
        <v>45348</v>
      </c>
      <c r="B381" t="s">
        <v>3257</v>
      </c>
      <c r="C381">
        <v>1190</v>
      </c>
      <c r="D381">
        <v>593456.94000000018</v>
      </c>
    </row>
    <row r="382" spans="1:5" x14ac:dyDescent="0.3">
      <c r="A382" s="2">
        <v>45062</v>
      </c>
      <c r="B382" t="s">
        <v>3258</v>
      </c>
      <c r="C382">
        <v>1200</v>
      </c>
      <c r="D382">
        <v>269838.25000000012</v>
      </c>
    </row>
    <row r="383" spans="1:5" x14ac:dyDescent="0.3">
      <c r="A383" s="2">
        <v>45804</v>
      </c>
      <c r="B383" t="s">
        <v>3259</v>
      </c>
      <c r="C383">
        <v>1223.75</v>
      </c>
      <c r="D383">
        <v>49280.36</v>
      </c>
    </row>
    <row r="384" spans="1:5" x14ac:dyDescent="0.3">
      <c r="A384" s="12">
        <v>45538</v>
      </c>
      <c r="B384" s="9" t="s">
        <v>3260</v>
      </c>
      <c r="C384" s="9">
        <v>1247.5</v>
      </c>
      <c r="D384" s="9">
        <v>241112.2</v>
      </c>
      <c r="E384" s="9"/>
    </row>
    <row r="385" spans="1:5" x14ac:dyDescent="0.3">
      <c r="A385" s="2">
        <v>43616</v>
      </c>
      <c r="B385" t="s">
        <v>31</v>
      </c>
      <c r="C385">
        <v>1250</v>
      </c>
      <c r="D385">
        <v>98842.210000000094</v>
      </c>
    </row>
    <row r="386" spans="1:5" x14ac:dyDescent="0.3">
      <c r="A386" s="2">
        <v>44004</v>
      </c>
      <c r="B386" t="s">
        <v>3261</v>
      </c>
      <c r="C386">
        <v>1250</v>
      </c>
      <c r="D386">
        <v>226078.27000000019</v>
      </c>
    </row>
    <row r="387" spans="1:5" x14ac:dyDescent="0.3">
      <c r="A387" s="2">
        <v>44797</v>
      </c>
      <c r="B387" t="s">
        <v>3262</v>
      </c>
      <c r="C387">
        <v>1270</v>
      </c>
      <c r="D387">
        <v>665677.3200000003</v>
      </c>
    </row>
    <row r="388" spans="1:5" x14ac:dyDescent="0.3">
      <c r="A388" s="2">
        <v>44823</v>
      </c>
      <c r="B388" t="s">
        <v>3263</v>
      </c>
      <c r="C388">
        <v>1317.5</v>
      </c>
      <c r="D388">
        <v>675613.29000000039</v>
      </c>
    </row>
    <row r="389" spans="1:5" x14ac:dyDescent="0.3">
      <c r="A389" s="2">
        <v>43487</v>
      </c>
      <c r="B389" t="s">
        <v>24</v>
      </c>
      <c r="C389">
        <v>1320</v>
      </c>
      <c r="D389">
        <v>567375.6599999998</v>
      </c>
    </row>
    <row r="390" spans="1:5" x14ac:dyDescent="0.3">
      <c r="A390" s="2">
        <v>44964</v>
      </c>
      <c r="B390" t="s">
        <v>3264</v>
      </c>
      <c r="C390">
        <v>1345</v>
      </c>
      <c r="D390">
        <v>1031773.9</v>
      </c>
    </row>
    <row r="391" spans="1:5" x14ac:dyDescent="0.3">
      <c r="A391" s="2">
        <v>45712</v>
      </c>
      <c r="B391" t="s">
        <v>3265</v>
      </c>
      <c r="C391">
        <v>1385</v>
      </c>
      <c r="D391">
        <v>631898.84999999986</v>
      </c>
    </row>
    <row r="392" spans="1:5" ht="28.8" x14ac:dyDescent="0.3">
      <c r="A392" s="6">
        <v>43315</v>
      </c>
      <c r="B392" s="7" t="s">
        <v>167</v>
      </c>
      <c r="C392" s="8">
        <v>1500</v>
      </c>
      <c r="D392" s="8">
        <v>378377.96999999991</v>
      </c>
      <c r="E392" s="9" t="s">
        <v>2954</v>
      </c>
    </row>
    <row r="393" spans="1:5" x14ac:dyDescent="0.3">
      <c r="A393" s="2">
        <v>44965</v>
      </c>
      <c r="B393" t="s">
        <v>1732</v>
      </c>
      <c r="C393">
        <v>1500</v>
      </c>
      <c r="D393">
        <v>1040573.9</v>
      </c>
    </row>
    <row r="394" spans="1:5" x14ac:dyDescent="0.3">
      <c r="A394" s="12">
        <v>45497</v>
      </c>
      <c r="B394" s="9" t="s">
        <v>3266</v>
      </c>
      <c r="C394" s="9">
        <v>1508.89</v>
      </c>
      <c r="D394" s="9">
        <v>292958.83</v>
      </c>
      <c r="E394" s="9"/>
    </row>
    <row r="395" spans="1:5" x14ac:dyDescent="0.3">
      <c r="A395" s="2">
        <v>44895</v>
      </c>
      <c r="B395" t="s">
        <v>3267</v>
      </c>
      <c r="C395">
        <v>1545</v>
      </c>
      <c r="D395">
        <v>668949.01</v>
      </c>
    </row>
    <row r="396" spans="1:5" x14ac:dyDescent="0.3">
      <c r="A396" s="12">
        <v>44945</v>
      </c>
      <c r="B396" s="9" t="s">
        <v>3235</v>
      </c>
      <c r="C396" s="9">
        <v>1650</v>
      </c>
      <c r="D396" s="9">
        <v>972646.25</v>
      </c>
      <c r="E396" s="9"/>
    </row>
    <row r="397" spans="1:5" x14ac:dyDescent="0.3">
      <c r="A397" s="2">
        <v>44957</v>
      </c>
      <c r="B397" t="s">
        <v>3268</v>
      </c>
      <c r="C397">
        <v>1650</v>
      </c>
      <c r="D397">
        <v>1045311.25</v>
      </c>
    </row>
    <row r="398" spans="1:5" x14ac:dyDescent="0.3">
      <c r="A398" s="12">
        <v>45762</v>
      </c>
      <c r="B398" s="9" t="s">
        <v>2053</v>
      </c>
      <c r="C398" s="9">
        <v>1650</v>
      </c>
      <c r="D398" s="9">
        <v>108349.31</v>
      </c>
      <c r="E398" s="9"/>
    </row>
    <row r="399" spans="1:5" x14ac:dyDescent="0.3">
      <c r="A399" s="2">
        <v>44896</v>
      </c>
      <c r="B399" t="s">
        <v>1751</v>
      </c>
      <c r="C399">
        <v>1702.5</v>
      </c>
      <c r="D399">
        <v>576601.26</v>
      </c>
    </row>
    <row r="400" spans="1:5" x14ac:dyDescent="0.3">
      <c r="A400" s="12">
        <v>44991</v>
      </c>
      <c r="B400" s="9" t="s">
        <v>3269</v>
      </c>
      <c r="C400" s="9">
        <v>1785</v>
      </c>
      <c r="D400" s="9">
        <v>1197342.23</v>
      </c>
      <c r="E400" s="9"/>
    </row>
    <row r="401" spans="1:5" x14ac:dyDescent="0.3">
      <c r="A401" s="2">
        <v>45616</v>
      </c>
      <c r="B401" t="s">
        <v>3270</v>
      </c>
      <c r="C401">
        <v>1795.17</v>
      </c>
      <c r="D401">
        <v>169603.12</v>
      </c>
    </row>
    <row r="402" spans="1:5" x14ac:dyDescent="0.3">
      <c r="A402" s="2">
        <v>44974</v>
      </c>
      <c r="B402" t="s">
        <v>3271</v>
      </c>
      <c r="C402">
        <v>1800</v>
      </c>
      <c r="D402">
        <v>1098433.8999999999</v>
      </c>
    </row>
    <row r="403" spans="1:5" x14ac:dyDescent="0.3">
      <c r="A403" s="2">
        <v>45427</v>
      </c>
      <c r="B403" t="s">
        <v>3272</v>
      </c>
      <c r="C403">
        <v>1870.89</v>
      </c>
      <c r="D403">
        <v>240134.63</v>
      </c>
    </row>
    <row r="404" spans="1:5" x14ac:dyDescent="0.3">
      <c r="A404" s="12">
        <v>43584</v>
      </c>
      <c r="B404" s="9" t="s">
        <v>24</v>
      </c>
      <c r="C404" s="9">
        <v>2000</v>
      </c>
      <c r="D404" s="9">
        <v>474028.05</v>
      </c>
      <c r="E404" s="9"/>
    </row>
    <row r="405" spans="1:5" x14ac:dyDescent="0.3">
      <c r="A405" s="2">
        <v>45307</v>
      </c>
      <c r="B405" t="s">
        <v>3273</v>
      </c>
      <c r="C405">
        <v>2015</v>
      </c>
      <c r="D405">
        <v>482873.7200000002</v>
      </c>
    </row>
    <row r="406" spans="1:5" x14ac:dyDescent="0.3">
      <c r="A406" s="12">
        <v>45322</v>
      </c>
      <c r="B406" s="9" t="s">
        <v>3274</v>
      </c>
      <c r="C406" s="9">
        <v>2070</v>
      </c>
      <c r="D406" s="9">
        <v>527013.07000000018</v>
      </c>
      <c r="E406" s="9"/>
    </row>
    <row r="407" spans="1:5" x14ac:dyDescent="0.3">
      <c r="A407" s="2">
        <v>45170</v>
      </c>
      <c r="B407" t="s">
        <v>2053</v>
      </c>
      <c r="C407">
        <v>2100</v>
      </c>
      <c r="D407">
        <v>156985.69000000021</v>
      </c>
    </row>
    <row r="408" spans="1:5" x14ac:dyDescent="0.3">
      <c r="A408" s="12">
        <v>43521</v>
      </c>
      <c r="B408" s="9" t="s">
        <v>24</v>
      </c>
      <c r="C408" s="9">
        <v>2175</v>
      </c>
      <c r="D408" s="9">
        <v>602493.21000000008</v>
      </c>
      <c r="E408" s="9"/>
    </row>
    <row r="409" spans="1:5" x14ac:dyDescent="0.3">
      <c r="A409" s="2">
        <v>45706</v>
      </c>
      <c r="B409" t="s">
        <v>3275</v>
      </c>
      <c r="C409">
        <v>2245</v>
      </c>
      <c r="D409">
        <v>622420.86999999988</v>
      </c>
    </row>
    <row r="410" spans="1:5" x14ac:dyDescent="0.3">
      <c r="A410" s="2">
        <v>43615</v>
      </c>
      <c r="B410" t="s">
        <v>3276</v>
      </c>
      <c r="C410">
        <v>2278.75</v>
      </c>
      <c r="D410">
        <v>106396.77000000011</v>
      </c>
    </row>
    <row r="411" spans="1:5" x14ac:dyDescent="0.3">
      <c r="A411" s="2">
        <v>45715</v>
      </c>
      <c r="B411" t="s">
        <v>3277</v>
      </c>
      <c r="C411">
        <v>2295</v>
      </c>
      <c r="D411">
        <v>583296.27999999991</v>
      </c>
    </row>
    <row r="412" spans="1:5" x14ac:dyDescent="0.3">
      <c r="A412" s="2">
        <v>43581</v>
      </c>
      <c r="B412" t="s">
        <v>3278</v>
      </c>
      <c r="C412">
        <v>2318.75</v>
      </c>
      <c r="D412">
        <v>474161.82000000012</v>
      </c>
    </row>
    <row r="413" spans="1:5" x14ac:dyDescent="0.3">
      <c r="A413" s="18">
        <v>44890</v>
      </c>
      <c r="B413" s="19" t="s">
        <v>3279</v>
      </c>
      <c r="C413" s="19">
        <v>2351.25</v>
      </c>
      <c r="D413" s="19">
        <v>663432.76</v>
      </c>
      <c r="E413" s="19"/>
    </row>
    <row r="414" spans="1:5" ht="28.8" x14ac:dyDescent="0.3">
      <c r="A414" s="6">
        <v>44655</v>
      </c>
      <c r="B414" s="7" t="s">
        <v>3280</v>
      </c>
      <c r="C414" s="8">
        <v>-20230</v>
      </c>
      <c r="D414" s="8">
        <v>611295.81000000006</v>
      </c>
      <c r="E414" s="9" t="s">
        <v>2959</v>
      </c>
    </row>
    <row r="415" spans="1:5" ht="28.8" x14ac:dyDescent="0.3">
      <c r="A415" s="6">
        <v>44655</v>
      </c>
      <c r="B415" s="7" t="s">
        <v>3281</v>
      </c>
      <c r="C415" s="8">
        <v>-18500</v>
      </c>
      <c r="D415" s="8">
        <v>631525.81000000006</v>
      </c>
      <c r="E415" s="9" t="s">
        <v>2959</v>
      </c>
    </row>
    <row r="416" spans="1:5" ht="28.8" x14ac:dyDescent="0.3">
      <c r="A416" s="6">
        <v>44655</v>
      </c>
      <c r="B416" s="7" t="s">
        <v>2963</v>
      </c>
      <c r="C416" s="8">
        <v>-11620.57</v>
      </c>
      <c r="D416" s="8">
        <v>680600.3600000001</v>
      </c>
      <c r="E416" s="9" t="s">
        <v>2959</v>
      </c>
    </row>
    <row r="417" spans="1:5" x14ac:dyDescent="0.3">
      <c r="A417" s="2">
        <v>44978</v>
      </c>
      <c r="B417" t="s">
        <v>1796</v>
      </c>
      <c r="C417">
        <v>2505</v>
      </c>
      <c r="D417">
        <v>1104533.8999999999</v>
      </c>
    </row>
    <row r="418" spans="1:5" x14ac:dyDescent="0.3">
      <c r="A418" s="2">
        <v>44963</v>
      </c>
      <c r="B418" t="s">
        <v>3142</v>
      </c>
      <c r="C418">
        <v>2585</v>
      </c>
      <c r="D418">
        <v>1030428.9</v>
      </c>
    </row>
    <row r="419" spans="1:5" x14ac:dyDescent="0.3">
      <c r="A419" s="12">
        <v>43712</v>
      </c>
      <c r="B419" s="9" t="s">
        <v>3282</v>
      </c>
      <c r="C419" s="9">
        <v>2600</v>
      </c>
      <c r="D419" s="9">
        <v>146695.2000000001</v>
      </c>
      <c r="E419" s="9"/>
    </row>
    <row r="420" spans="1:5" x14ac:dyDescent="0.3">
      <c r="A420" s="2">
        <v>44980</v>
      </c>
      <c r="B420" t="s">
        <v>3283</v>
      </c>
      <c r="C420">
        <v>2605</v>
      </c>
      <c r="D420">
        <v>1113468.8999999999</v>
      </c>
    </row>
    <row r="421" spans="1:5" x14ac:dyDescent="0.3">
      <c r="A421" s="2">
        <v>44979</v>
      </c>
      <c r="B421" t="s">
        <v>3284</v>
      </c>
      <c r="C421">
        <v>2670</v>
      </c>
      <c r="D421">
        <v>1110863.8999999999</v>
      </c>
    </row>
    <row r="422" spans="1:5" x14ac:dyDescent="0.3">
      <c r="A422" s="2">
        <v>45342</v>
      </c>
      <c r="B422" t="s">
        <v>3285</v>
      </c>
      <c r="C422">
        <v>2825</v>
      </c>
      <c r="D422">
        <v>616502.23000000021</v>
      </c>
    </row>
    <row r="423" spans="1:5" x14ac:dyDescent="0.3">
      <c r="A423" s="6">
        <v>44718</v>
      </c>
      <c r="B423" s="7" t="s">
        <v>3286</v>
      </c>
      <c r="C423" s="8">
        <v>-18500</v>
      </c>
      <c r="D423" s="8">
        <v>632437.40000000014</v>
      </c>
      <c r="E423" s="9" t="s">
        <v>2959</v>
      </c>
    </row>
    <row r="424" spans="1:5" ht="28.8" x14ac:dyDescent="0.3">
      <c r="A424" s="6">
        <v>44831</v>
      </c>
      <c r="B424" s="7" t="s">
        <v>3287</v>
      </c>
      <c r="C424" s="8">
        <v>-39000</v>
      </c>
      <c r="D424" s="8">
        <v>602388.86000000034</v>
      </c>
      <c r="E424" s="9" t="s">
        <v>2959</v>
      </c>
    </row>
    <row r="425" spans="1:5" ht="28.8" x14ac:dyDescent="0.3">
      <c r="A425" s="6">
        <v>44875</v>
      </c>
      <c r="B425" s="7" t="s">
        <v>3288</v>
      </c>
      <c r="C425" s="8">
        <v>-12279.24</v>
      </c>
      <c r="D425" s="8">
        <v>579042.72</v>
      </c>
      <c r="E425" s="9" t="s">
        <v>2959</v>
      </c>
    </row>
    <row r="426" spans="1:5" ht="28.8" x14ac:dyDescent="0.3">
      <c r="A426" s="6">
        <v>44886</v>
      </c>
      <c r="B426" s="7" t="s">
        <v>3289</v>
      </c>
      <c r="C426" s="8">
        <v>29065</v>
      </c>
      <c r="D426" s="8">
        <v>637695.26</v>
      </c>
      <c r="E426" s="9" t="s">
        <v>2959</v>
      </c>
    </row>
    <row r="427" spans="1:5" x14ac:dyDescent="0.3">
      <c r="A427" s="2">
        <v>45516</v>
      </c>
      <c r="B427" t="s">
        <v>3290</v>
      </c>
      <c r="C427">
        <v>3201.76</v>
      </c>
      <c r="D427">
        <v>291511.45</v>
      </c>
    </row>
    <row r="428" spans="1:5" x14ac:dyDescent="0.3">
      <c r="A428" s="2">
        <v>44978</v>
      </c>
      <c r="B428" t="s">
        <v>3291</v>
      </c>
      <c r="C428">
        <v>3295</v>
      </c>
      <c r="D428">
        <v>1102028.8999999999</v>
      </c>
    </row>
    <row r="429" spans="1:5" x14ac:dyDescent="0.3">
      <c r="A429" s="18">
        <v>44984</v>
      </c>
      <c r="B429" s="19" t="s">
        <v>3292</v>
      </c>
      <c r="C429" s="19">
        <v>3445</v>
      </c>
      <c r="D429" s="19">
        <v>1134583.8999999999</v>
      </c>
      <c r="E429" s="19"/>
    </row>
    <row r="430" spans="1:5" x14ac:dyDescent="0.3">
      <c r="A430" s="6">
        <v>44148</v>
      </c>
      <c r="B430" s="7" t="s">
        <v>3293</v>
      </c>
      <c r="C430" s="8">
        <v>3470</v>
      </c>
      <c r="D430" s="8">
        <v>287505.50000000017</v>
      </c>
      <c r="E430" s="9" t="s">
        <v>2954</v>
      </c>
    </row>
    <row r="431" spans="1:5" x14ac:dyDescent="0.3">
      <c r="A431" s="22">
        <v>44691</v>
      </c>
      <c r="B431" s="23" t="s">
        <v>3294</v>
      </c>
      <c r="C431" s="23">
        <v>3525</v>
      </c>
      <c r="D431" s="23">
        <v>673227.45000000007</v>
      </c>
      <c r="E431" s="23"/>
    </row>
    <row r="432" spans="1:5" ht="28.8" x14ac:dyDescent="0.3">
      <c r="A432" s="6">
        <v>44935</v>
      </c>
      <c r="B432" s="7" t="s">
        <v>3295</v>
      </c>
      <c r="C432" s="8">
        <v>13970</v>
      </c>
      <c r="D432" s="8">
        <v>878326.25</v>
      </c>
      <c r="E432" s="9" t="s">
        <v>2959</v>
      </c>
    </row>
    <row r="433" spans="1:5" x14ac:dyDescent="0.3">
      <c r="A433" s="2">
        <v>44960</v>
      </c>
      <c r="B433" t="s">
        <v>3296</v>
      </c>
      <c r="C433">
        <v>3740</v>
      </c>
      <c r="D433">
        <v>1017508.9</v>
      </c>
    </row>
    <row r="434" spans="1:5" x14ac:dyDescent="0.3">
      <c r="A434" s="12">
        <v>44572</v>
      </c>
      <c r="B434" s="9" t="s">
        <v>3297</v>
      </c>
      <c r="C434" s="9">
        <v>3750</v>
      </c>
      <c r="D434" s="9">
        <v>763401.39999999979</v>
      </c>
      <c r="E434" s="9"/>
    </row>
    <row r="435" spans="1:5" x14ac:dyDescent="0.3">
      <c r="A435" s="2">
        <v>44981</v>
      </c>
      <c r="B435" t="s">
        <v>3298</v>
      </c>
      <c r="C435">
        <v>3920</v>
      </c>
      <c r="D435">
        <v>1117388.8999999999</v>
      </c>
    </row>
    <row r="436" spans="1:5" x14ac:dyDescent="0.3">
      <c r="A436" s="2">
        <v>45022</v>
      </c>
      <c r="B436" t="s">
        <v>3299</v>
      </c>
      <c r="C436">
        <v>4000</v>
      </c>
      <c r="D436">
        <v>394735.49000000011</v>
      </c>
    </row>
    <row r="437" spans="1:5" x14ac:dyDescent="0.3">
      <c r="A437" s="6">
        <v>44109</v>
      </c>
      <c r="B437" s="7" t="s">
        <v>3300</v>
      </c>
      <c r="C437" s="8">
        <v>4108.99</v>
      </c>
      <c r="D437" s="8">
        <v>275624.37000000029</v>
      </c>
      <c r="E437" s="9" t="s">
        <v>2954</v>
      </c>
    </row>
    <row r="438" spans="1:5" x14ac:dyDescent="0.3">
      <c r="A438" s="6">
        <v>44109</v>
      </c>
      <c r="B438" s="7" t="s">
        <v>3301</v>
      </c>
      <c r="C438" s="8">
        <v>4108.99</v>
      </c>
      <c r="D438" s="8">
        <v>280108.36000000028</v>
      </c>
      <c r="E438" s="9" t="s">
        <v>2954</v>
      </c>
    </row>
    <row r="439" spans="1:5" ht="28.8" x14ac:dyDescent="0.3">
      <c r="A439" s="6">
        <v>44935</v>
      </c>
      <c r="B439" s="7" t="s">
        <v>3302</v>
      </c>
      <c r="C439" s="8">
        <v>19145</v>
      </c>
      <c r="D439" s="8">
        <v>864356.25</v>
      </c>
      <c r="E439" s="9" t="s">
        <v>2959</v>
      </c>
    </row>
    <row r="440" spans="1:5" x14ac:dyDescent="0.3">
      <c r="A440" s="20">
        <v>44972</v>
      </c>
      <c r="B440" s="21" t="s">
        <v>3303</v>
      </c>
      <c r="C440" s="21">
        <v>4490</v>
      </c>
      <c r="D440" s="21">
        <v>1094588.8999999999</v>
      </c>
      <c r="E440" s="21"/>
    </row>
    <row r="441" spans="1:5" x14ac:dyDescent="0.3">
      <c r="A441" s="2">
        <v>45327</v>
      </c>
      <c r="B441" t="s">
        <v>3304</v>
      </c>
      <c r="C441">
        <v>4775</v>
      </c>
      <c r="D441">
        <v>539512.55000000028</v>
      </c>
    </row>
    <row r="442" spans="1:5" x14ac:dyDescent="0.3">
      <c r="A442" s="2">
        <v>44963</v>
      </c>
      <c r="B442" t="s">
        <v>3142</v>
      </c>
      <c r="C442">
        <v>4825</v>
      </c>
      <c r="D442">
        <v>1027843.9</v>
      </c>
    </row>
    <row r="443" spans="1:5" ht="28.8" x14ac:dyDescent="0.3">
      <c r="A443" s="6">
        <v>44935</v>
      </c>
      <c r="B443" s="7" t="s">
        <v>3302</v>
      </c>
      <c r="C443" s="8">
        <v>36135</v>
      </c>
      <c r="D443" s="8">
        <v>845211.25</v>
      </c>
      <c r="E443" s="9" t="s">
        <v>2959</v>
      </c>
    </row>
    <row r="444" spans="1:5" x14ac:dyDescent="0.3">
      <c r="A444" s="2">
        <v>44984</v>
      </c>
      <c r="B444" t="s">
        <v>3292</v>
      </c>
      <c r="C444">
        <v>5070</v>
      </c>
      <c r="D444">
        <v>1131138.8999999999</v>
      </c>
    </row>
    <row r="445" spans="1:5" x14ac:dyDescent="0.3">
      <c r="A445" s="2">
        <v>44965</v>
      </c>
      <c r="B445" t="s">
        <v>3305</v>
      </c>
      <c r="C445">
        <v>5215</v>
      </c>
      <c r="D445">
        <v>1052388.8999999999</v>
      </c>
    </row>
    <row r="446" spans="1:5" ht="28.8" x14ac:dyDescent="0.3">
      <c r="A446" s="6">
        <v>44936</v>
      </c>
      <c r="B446" s="7" t="s">
        <v>3306</v>
      </c>
      <c r="C446" s="8">
        <v>11060</v>
      </c>
      <c r="D446" s="8">
        <v>889386.25</v>
      </c>
      <c r="E446" s="9" t="s">
        <v>2959</v>
      </c>
    </row>
    <row r="447" spans="1:5" x14ac:dyDescent="0.3">
      <c r="A447" s="2">
        <v>45065</v>
      </c>
      <c r="B447" t="s">
        <v>3307</v>
      </c>
      <c r="C447">
        <v>5479</v>
      </c>
      <c r="D447">
        <v>278839.75000000012</v>
      </c>
    </row>
    <row r="448" spans="1:5" x14ac:dyDescent="0.3">
      <c r="A448" s="2">
        <v>44963</v>
      </c>
      <c r="B448" t="s">
        <v>3308</v>
      </c>
      <c r="C448">
        <v>5510</v>
      </c>
      <c r="D448">
        <v>1023018.9</v>
      </c>
    </row>
    <row r="449" spans="1:5" ht="28.8" x14ac:dyDescent="0.3">
      <c r="A449" s="6">
        <v>44937</v>
      </c>
      <c r="B449" s="7" t="s">
        <v>3309</v>
      </c>
      <c r="C449" s="8">
        <v>18015</v>
      </c>
      <c r="D449" s="8">
        <v>914701.25</v>
      </c>
      <c r="E449" s="9" t="s">
        <v>2959</v>
      </c>
    </row>
    <row r="450" spans="1:5" x14ac:dyDescent="0.3">
      <c r="A450" s="2">
        <v>45678</v>
      </c>
      <c r="B450" t="s">
        <v>3310</v>
      </c>
      <c r="C450">
        <v>5865</v>
      </c>
      <c r="D450">
        <v>359786.95</v>
      </c>
    </row>
    <row r="451" spans="1:5" x14ac:dyDescent="0.3">
      <c r="A451" s="2">
        <v>44966</v>
      </c>
      <c r="B451" t="s">
        <v>3311</v>
      </c>
      <c r="C451">
        <v>6130</v>
      </c>
      <c r="D451">
        <v>1058518.8999999999</v>
      </c>
    </row>
    <row r="452" spans="1:5" x14ac:dyDescent="0.3">
      <c r="A452" s="2">
        <v>44917</v>
      </c>
      <c r="B452" t="s">
        <v>1754</v>
      </c>
      <c r="C452">
        <v>6312</v>
      </c>
      <c r="D452">
        <v>694813.26</v>
      </c>
    </row>
    <row r="453" spans="1:5" ht="28.8" x14ac:dyDescent="0.3">
      <c r="A453" s="6">
        <v>44938</v>
      </c>
      <c r="B453" s="7" t="s">
        <v>3312</v>
      </c>
      <c r="C453" s="8">
        <v>11100</v>
      </c>
      <c r="D453" s="8">
        <v>925801.25</v>
      </c>
      <c r="E453" s="9" t="s">
        <v>2959</v>
      </c>
    </row>
    <row r="454" spans="1:5" ht="28.8" x14ac:dyDescent="0.3">
      <c r="A454" s="6">
        <v>44943</v>
      </c>
      <c r="B454" s="7" t="s">
        <v>3313</v>
      </c>
      <c r="C454" s="8">
        <v>14410</v>
      </c>
      <c r="D454" s="8">
        <v>948176.25</v>
      </c>
      <c r="E454" s="9" t="s">
        <v>2959</v>
      </c>
    </row>
    <row r="455" spans="1:5" ht="28.8" x14ac:dyDescent="0.3">
      <c r="A455" s="6">
        <v>44986</v>
      </c>
      <c r="B455" s="7" t="s">
        <v>1872</v>
      </c>
      <c r="C455" s="8">
        <v>33990</v>
      </c>
      <c r="D455" s="8">
        <v>1153217.23</v>
      </c>
      <c r="E455" s="9" t="s">
        <v>2959</v>
      </c>
    </row>
    <row r="456" spans="1:5" x14ac:dyDescent="0.3">
      <c r="A456" s="2">
        <v>44965</v>
      </c>
      <c r="B456" t="s">
        <v>3314</v>
      </c>
      <c r="C456">
        <v>6600</v>
      </c>
      <c r="D456">
        <v>1047173.9</v>
      </c>
    </row>
    <row r="457" spans="1:5" x14ac:dyDescent="0.3">
      <c r="A457" s="6">
        <v>43361</v>
      </c>
      <c r="B457" s="7" t="s">
        <v>3315</v>
      </c>
      <c r="C457" s="8">
        <v>6675</v>
      </c>
      <c r="D457" s="8">
        <v>459128.1999999999</v>
      </c>
      <c r="E457" s="9" t="s">
        <v>2954</v>
      </c>
    </row>
    <row r="458" spans="1:5" x14ac:dyDescent="0.3">
      <c r="A458" s="6">
        <v>45050</v>
      </c>
      <c r="B458" s="7"/>
      <c r="C458" s="8">
        <v>-21760</v>
      </c>
      <c r="D458" s="8">
        <v>259382.29000000021</v>
      </c>
      <c r="E458" s="9" t="s">
        <v>2959</v>
      </c>
    </row>
    <row r="459" spans="1:5" x14ac:dyDescent="0.3">
      <c r="A459" s="2">
        <v>45286</v>
      </c>
      <c r="B459" t="s">
        <v>3316</v>
      </c>
      <c r="C459">
        <v>7255</v>
      </c>
      <c r="D459">
        <v>336949.79000000021</v>
      </c>
    </row>
    <row r="460" spans="1:5" x14ac:dyDescent="0.3">
      <c r="A460" s="2">
        <v>44571</v>
      </c>
      <c r="B460" t="s">
        <v>31</v>
      </c>
      <c r="C460">
        <v>7300</v>
      </c>
      <c r="D460">
        <v>735174.83999999973</v>
      </c>
    </row>
    <row r="461" spans="1:5" x14ac:dyDescent="0.3">
      <c r="A461" s="2">
        <v>44936</v>
      </c>
      <c r="B461" t="s">
        <v>3317</v>
      </c>
      <c r="C461">
        <v>7300</v>
      </c>
      <c r="D461">
        <v>896686.25</v>
      </c>
    </row>
    <row r="462" spans="1:5" x14ac:dyDescent="0.3">
      <c r="A462" s="2">
        <v>44965</v>
      </c>
      <c r="B462" t="s">
        <v>1732</v>
      </c>
      <c r="C462">
        <v>7300</v>
      </c>
      <c r="D462">
        <v>1039073.9</v>
      </c>
    </row>
    <row r="463" spans="1:5" x14ac:dyDescent="0.3">
      <c r="A463" s="2">
        <v>44970</v>
      </c>
      <c r="B463" t="s">
        <v>3143</v>
      </c>
      <c r="C463">
        <v>7615</v>
      </c>
      <c r="D463">
        <v>1079763.8999999999</v>
      </c>
    </row>
    <row r="464" spans="1:5" x14ac:dyDescent="0.3">
      <c r="A464" s="2">
        <v>44939</v>
      </c>
      <c r="B464" t="s">
        <v>3318</v>
      </c>
      <c r="C464">
        <v>7965</v>
      </c>
      <c r="D464">
        <v>933766.25</v>
      </c>
    </row>
    <row r="465" spans="1:5" x14ac:dyDescent="0.3">
      <c r="A465" s="6">
        <v>43620</v>
      </c>
      <c r="B465" s="7" t="s">
        <v>3319</v>
      </c>
      <c r="C465" s="8">
        <v>8000</v>
      </c>
      <c r="D465" s="8">
        <v>105040.88000000011</v>
      </c>
      <c r="E465" s="9" t="s">
        <v>2954</v>
      </c>
    </row>
    <row r="466" spans="1:5" x14ac:dyDescent="0.3">
      <c r="A466" s="2">
        <v>44984</v>
      </c>
      <c r="B466" t="s">
        <v>3320</v>
      </c>
      <c r="C466">
        <v>8680</v>
      </c>
      <c r="D466">
        <v>1126068.8999999999</v>
      </c>
    </row>
    <row r="467" spans="1:5" x14ac:dyDescent="0.3">
      <c r="A467" s="2">
        <v>45209</v>
      </c>
      <c r="B467" t="s">
        <v>3321</v>
      </c>
      <c r="C467">
        <v>8887.5</v>
      </c>
      <c r="D467">
        <v>220035.3400000002</v>
      </c>
    </row>
    <row r="468" spans="1:5" x14ac:dyDescent="0.3">
      <c r="A468" s="6">
        <v>45064</v>
      </c>
      <c r="B468" s="7" t="s">
        <v>3322</v>
      </c>
      <c r="C468" s="8">
        <v>-30000</v>
      </c>
      <c r="D468" s="8">
        <v>221545.96000000011</v>
      </c>
      <c r="E468" s="9" t="s">
        <v>2959</v>
      </c>
    </row>
    <row r="469" spans="1:5" x14ac:dyDescent="0.3">
      <c r="A469" s="6">
        <v>44916</v>
      </c>
      <c r="B469" s="7" t="s">
        <v>1751</v>
      </c>
      <c r="C469" s="8">
        <v>9701.25</v>
      </c>
      <c r="D469" s="8">
        <v>688501.26</v>
      </c>
      <c r="E469" s="9" t="s">
        <v>2954</v>
      </c>
    </row>
    <row r="470" spans="1:5" x14ac:dyDescent="0.3">
      <c r="A470" s="2">
        <v>44952</v>
      </c>
      <c r="B470" t="s">
        <v>3323</v>
      </c>
      <c r="C470">
        <v>9780</v>
      </c>
      <c r="D470">
        <v>1014516.25</v>
      </c>
    </row>
    <row r="471" spans="1:5" x14ac:dyDescent="0.3">
      <c r="A471" s="6">
        <v>44032</v>
      </c>
      <c r="B471" s="7" t="s">
        <v>3324</v>
      </c>
      <c r="C471" s="8">
        <v>10000</v>
      </c>
      <c r="D471" s="8">
        <v>256975.82000000021</v>
      </c>
      <c r="E471" s="9" t="s">
        <v>2954</v>
      </c>
    </row>
    <row r="472" spans="1:5" x14ac:dyDescent="0.3">
      <c r="A472" s="6">
        <v>44383</v>
      </c>
      <c r="B472" s="7" t="s">
        <v>3325</v>
      </c>
      <c r="C472" s="8">
        <v>10000</v>
      </c>
      <c r="D472" s="8">
        <v>366773.05999999971</v>
      </c>
      <c r="E472" s="9" t="s">
        <v>2954</v>
      </c>
    </row>
    <row r="473" spans="1:5" x14ac:dyDescent="0.3">
      <c r="A473" s="2">
        <v>45797</v>
      </c>
      <c r="B473" t="s">
        <v>3326</v>
      </c>
      <c r="C473">
        <v>10000</v>
      </c>
      <c r="D473">
        <v>47122.86</v>
      </c>
    </row>
    <row r="474" spans="1:5" x14ac:dyDescent="0.3">
      <c r="A474" s="6">
        <v>43931</v>
      </c>
      <c r="B474" s="7" t="s">
        <v>3327</v>
      </c>
      <c r="C474" s="8">
        <v>10300</v>
      </c>
      <c r="D474" s="8">
        <v>228728.82000000021</v>
      </c>
      <c r="E474" s="9" t="s">
        <v>2954</v>
      </c>
    </row>
    <row r="475" spans="1:5" x14ac:dyDescent="0.3">
      <c r="A475" s="6">
        <v>45678</v>
      </c>
      <c r="B475" s="10" t="s">
        <v>3328</v>
      </c>
      <c r="C475" s="8">
        <v>10370</v>
      </c>
      <c r="D475" s="10">
        <v>376786.95</v>
      </c>
      <c r="E475" s="9" t="s">
        <v>2954</v>
      </c>
    </row>
    <row r="476" spans="1:5" x14ac:dyDescent="0.3">
      <c r="A476" s="6">
        <v>45091</v>
      </c>
      <c r="B476" s="7" t="s">
        <v>3329</v>
      </c>
      <c r="C476" s="8">
        <v>-15561.08</v>
      </c>
      <c r="D476" s="8">
        <v>219304.33000000019</v>
      </c>
      <c r="E476" s="9" t="s">
        <v>2959</v>
      </c>
    </row>
    <row r="477" spans="1:5" x14ac:dyDescent="0.3">
      <c r="A477" s="6">
        <v>45091</v>
      </c>
      <c r="B477" s="7" t="s">
        <v>3330</v>
      </c>
      <c r="C477" s="8">
        <v>-12400</v>
      </c>
      <c r="D477" s="8">
        <v>190494.41000000021</v>
      </c>
      <c r="E477" s="9" t="s">
        <v>2959</v>
      </c>
    </row>
    <row r="478" spans="1:5" ht="28.8" x14ac:dyDescent="0.3">
      <c r="A478" s="6">
        <v>44886</v>
      </c>
      <c r="B478" s="7" t="s">
        <v>1739</v>
      </c>
      <c r="C478" s="8">
        <v>11470</v>
      </c>
      <c r="D478" s="8">
        <v>649165.26</v>
      </c>
      <c r="E478" s="9" t="s">
        <v>2954</v>
      </c>
    </row>
    <row r="479" spans="1:5" x14ac:dyDescent="0.3">
      <c r="A479" s="6">
        <v>44630</v>
      </c>
      <c r="B479" s="7" t="s">
        <v>3331</v>
      </c>
      <c r="C479" s="8">
        <v>12500</v>
      </c>
      <c r="D479" s="8">
        <v>846394.55999999994</v>
      </c>
      <c r="E479" s="9" t="s">
        <v>2954</v>
      </c>
    </row>
    <row r="480" spans="1:5" x14ac:dyDescent="0.3">
      <c r="A480" s="6">
        <v>44420</v>
      </c>
      <c r="B480" s="7" t="s">
        <v>31</v>
      </c>
      <c r="C480" s="8">
        <v>12550</v>
      </c>
      <c r="D480" s="8">
        <v>441829.71999999962</v>
      </c>
      <c r="E480" s="9" t="s">
        <v>2954</v>
      </c>
    </row>
    <row r="481" spans="1:5" x14ac:dyDescent="0.3">
      <c r="A481" s="6">
        <v>45135</v>
      </c>
      <c r="B481" s="7" t="s">
        <v>3332</v>
      </c>
      <c r="C481" s="8">
        <v>-14500</v>
      </c>
      <c r="D481" s="8">
        <v>220381.3700000002</v>
      </c>
      <c r="E481" s="9" t="s">
        <v>2959</v>
      </c>
    </row>
    <row r="482" spans="1:5" x14ac:dyDescent="0.3">
      <c r="A482" s="6">
        <v>45267</v>
      </c>
      <c r="B482" s="7" t="s">
        <v>3333</v>
      </c>
      <c r="C482" s="8">
        <v>-15163.81</v>
      </c>
      <c r="D482" s="8">
        <v>266008.06000000017</v>
      </c>
      <c r="E482" s="9" t="s">
        <v>2959</v>
      </c>
    </row>
    <row r="483" spans="1:5" x14ac:dyDescent="0.3">
      <c r="A483" s="6">
        <v>44419</v>
      </c>
      <c r="B483" s="7" t="s">
        <v>3334</v>
      </c>
      <c r="C483" s="8">
        <v>15000</v>
      </c>
      <c r="D483" s="8">
        <v>441784.71999999962</v>
      </c>
      <c r="E483" s="9" t="s">
        <v>2954</v>
      </c>
    </row>
    <row r="484" spans="1:5" ht="57.6" x14ac:dyDescent="0.3">
      <c r="A484" s="6">
        <v>45359</v>
      </c>
      <c r="B484" s="7" t="s">
        <v>3335</v>
      </c>
      <c r="C484" s="8">
        <v>-23237.4</v>
      </c>
      <c r="D484" s="10">
        <v>516652.16</v>
      </c>
      <c r="E484" s="9" t="s">
        <v>2959</v>
      </c>
    </row>
    <row r="485" spans="1:5" x14ac:dyDescent="0.3">
      <c r="A485" s="6">
        <v>44293</v>
      </c>
      <c r="B485" s="7" t="s">
        <v>3336</v>
      </c>
      <c r="C485" s="8">
        <v>15114.09</v>
      </c>
      <c r="D485" s="8">
        <v>420943.79999999981</v>
      </c>
      <c r="E485" s="9" t="s">
        <v>2954</v>
      </c>
    </row>
    <row r="486" spans="1:5" x14ac:dyDescent="0.3">
      <c r="A486" s="6">
        <v>45418</v>
      </c>
      <c r="B486" s="7" t="s">
        <v>3337</v>
      </c>
      <c r="C486" s="8">
        <v>-12295.73</v>
      </c>
      <c r="D486" s="10">
        <v>335905.01</v>
      </c>
      <c r="E486" s="9" t="s">
        <v>2959</v>
      </c>
    </row>
    <row r="487" spans="1:5" x14ac:dyDescent="0.3">
      <c r="A487" s="6">
        <v>45419</v>
      </c>
      <c r="B487" s="7" t="s">
        <v>3338</v>
      </c>
      <c r="C487" s="8">
        <v>-11704.07</v>
      </c>
      <c r="D487" s="10">
        <v>317542.19</v>
      </c>
      <c r="E487" s="9" t="s">
        <v>2959</v>
      </c>
    </row>
    <row r="488" spans="1:5" x14ac:dyDescent="0.3">
      <c r="A488" s="6">
        <v>45694</v>
      </c>
      <c r="B488" s="10" t="s">
        <v>3339</v>
      </c>
      <c r="C488" s="8">
        <v>19480</v>
      </c>
      <c r="D488" s="10">
        <v>503152.61999999988</v>
      </c>
      <c r="E488" s="9" t="s">
        <v>2954</v>
      </c>
    </row>
    <row r="489" spans="1:5" ht="57.6" x14ac:dyDescent="0.3">
      <c r="A489" s="6">
        <v>45470</v>
      </c>
      <c r="B489" s="7" t="s">
        <v>3340</v>
      </c>
      <c r="C489" s="8">
        <v>19539.72</v>
      </c>
      <c r="D489" s="8">
        <v>182145.63</v>
      </c>
      <c r="E489" s="9" t="s">
        <v>2954</v>
      </c>
    </row>
    <row r="490" spans="1:5" x14ac:dyDescent="0.3">
      <c r="A490" s="6">
        <v>45456</v>
      </c>
      <c r="B490" s="7" t="s">
        <v>3341</v>
      </c>
      <c r="C490" s="8">
        <v>-12863.58</v>
      </c>
      <c r="D490" s="10">
        <v>171632.45</v>
      </c>
      <c r="E490" s="9" t="s">
        <v>2959</v>
      </c>
    </row>
    <row r="491" spans="1:5" x14ac:dyDescent="0.3">
      <c r="A491" s="6">
        <v>43707</v>
      </c>
      <c r="B491" s="7" t="s">
        <v>3342</v>
      </c>
      <c r="C491" s="8">
        <v>20025</v>
      </c>
      <c r="D491" s="8">
        <v>164177.49000000011</v>
      </c>
      <c r="E491" s="9" t="s">
        <v>2954</v>
      </c>
    </row>
    <row r="492" spans="1:5" x14ac:dyDescent="0.3">
      <c r="A492" s="6">
        <v>45663</v>
      </c>
      <c r="B492" s="10" t="s">
        <v>3343</v>
      </c>
      <c r="C492" s="8">
        <v>23415</v>
      </c>
      <c r="D492" s="10">
        <v>192567.09</v>
      </c>
      <c r="E492" s="9" t="s">
        <v>2954</v>
      </c>
    </row>
    <row r="493" spans="1:5" x14ac:dyDescent="0.3">
      <c r="A493" s="6">
        <v>44293</v>
      </c>
      <c r="B493" s="7" t="s">
        <v>3344</v>
      </c>
      <c r="C493" s="8">
        <v>27000</v>
      </c>
      <c r="D493" s="8">
        <v>405829.70999999967</v>
      </c>
      <c r="E493" s="9" t="s">
        <v>2954</v>
      </c>
    </row>
    <row r="494" spans="1:5" x14ac:dyDescent="0.3">
      <c r="A494" s="6">
        <v>44670</v>
      </c>
      <c r="B494" s="7" t="s">
        <v>3345</v>
      </c>
      <c r="C494" s="8">
        <v>27049.24</v>
      </c>
      <c r="D494" s="8">
        <v>643698.39</v>
      </c>
      <c r="E494" s="9" t="s">
        <v>2954</v>
      </c>
    </row>
    <row r="495" spans="1:5" ht="57.6" x14ac:dyDescent="0.3">
      <c r="A495" s="6">
        <v>45580</v>
      </c>
      <c r="B495" s="7" t="s">
        <v>3346</v>
      </c>
      <c r="C495" s="8">
        <v>15007.5</v>
      </c>
      <c r="D495" s="8">
        <v>217376.48</v>
      </c>
      <c r="E495" s="9" t="s">
        <v>2959</v>
      </c>
    </row>
    <row r="496" spans="1:5" x14ac:dyDescent="0.3">
      <c r="A496" s="6">
        <v>45603</v>
      </c>
      <c r="B496" s="7" t="s">
        <v>3347</v>
      </c>
      <c r="C496" s="8">
        <v>-38750</v>
      </c>
      <c r="D496" s="10">
        <v>158413.85999999999</v>
      </c>
      <c r="E496" s="9" t="s">
        <v>2959</v>
      </c>
    </row>
    <row r="497" spans="1:5" ht="57.6" x14ac:dyDescent="0.3">
      <c r="A497" s="6">
        <v>45608</v>
      </c>
      <c r="B497" s="7" t="s">
        <v>3348</v>
      </c>
      <c r="C497" s="8">
        <v>-25206</v>
      </c>
      <c r="D497" s="10">
        <v>120626.16</v>
      </c>
      <c r="E497" s="9" t="s">
        <v>2959</v>
      </c>
    </row>
    <row r="498" spans="1:5" x14ac:dyDescent="0.3">
      <c r="A498" s="6">
        <v>45698</v>
      </c>
      <c r="B498" s="10" t="s">
        <v>3349</v>
      </c>
      <c r="C498" s="8">
        <v>55130</v>
      </c>
      <c r="D498" s="10">
        <v>569836.76</v>
      </c>
      <c r="E498" s="9" t="s">
        <v>2954</v>
      </c>
    </row>
    <row r="499" spans="1:5" x14ac:dyDescent="0.3">
      <c r="A499" s="6">
        <v>45698</v>
      </c>
      <c r="B499" s="10" t="s">
        <v>3350</v>
      </c>
      <c r="C499" s="8">
        <v>56800</v>
      </c>
      <c r="D499" s="10">
        <v>626636.76</v>
      </c>
      <c r="E499" s="9" t="s">
        <v>2954</v>
      </c>
    </row>
    <row r="500" spans="1:5" x14ac:dyDescent="0.3">
      <c r="A500" s="6">
        <v>45663</v>
      </c>
      <c r="B500" s="10" t="s">
        <v>3351</v>
      </c>
      <c r="C500" s="8">
        <v>80190</v>
      </c>
      <c r="D500" s="10">
        <v>272757.09000000003</v>
      </c>
      <c r="E500" s="9" t="s">
        <v>2954</v>
      </c>
    </row>
    <row r="501" spans="1:5" x14ac:dyDescent="0.3">
      <c r="A501" s="6">
        <v>45805</v>
      </c>
      <c r="B501" s="10" t="s">
        <v>3352</v>
      </c>
      <c r="C501" s="8">
        <v>314542.09000000003</v>
      </c>
      <c r="D501" s="10">
        <v>305580.88</v>
      </c>
      <c r="E501" s="9" t="s">
        <v>2954</v>
      </c>
    </row>
  </sheetData>
  <autoFilter ref="A1:E5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161F-88AB-4715-BA55-B265E515CA5D}">
  <dimension ref="A2:L43"/>
  <sheetViews>
    <sheetView zoomScale="90" zoomScaleNormal="90" workbookViewId="0">
      <selection activeCell="A14" sqref="A14:C14"/>
    </sheetView>
  </sheetViews>
  <sheetFormatPr defaultColWidth="8.88671875" defaultRowHeight="14.4" x14ac:dyDescent="0.3"/>
  <cols>
    <col min="1" max="1" width="11.5546875" style="57" bestFit="1" customWidth="1"/>
    <col min="2" max="2" width="60.33203125" style="57" bestFit="1" customWidth="1"/>
    <col min="3" max="3" width="53.44140625" style="57" customWidth="1"/>
    <col min="4" max="4" width="5.88671875" style="57" bestFit="1" customWidth="1"/>
    <col min="5" max="5" width="22.109375" style="57" bestFit="1" customWidth="1"/>
    <col min="6" max="6" width="18.6640625" style="57" bestFit="1" customWidth="1"/>
    <col min="7" max="7" width="33.6640625" style="57" bestFit="1" customWidth="1"/>
    <col min="8" max="8" width="9.33203125" style="57" customWidth="1"/>
    <col min="9" max="9" width="70.33203125" style="57" bestFit="1" customWidth="1"/>
    <col min="10" max="10" width="20.44140625" style="57" bestFit="1" customWidth="1"/>
    <col min="11" max="11" width="4" style="57" bestFit="1" customWidth="1"/>
    <col min="12" max="12" width="12.88671875" style="57" bestFit="1" customWidth="1"/>
    <col min="13" max="13" width="5.109375" style="57" bestFit="1" customWidth="1"/>
    <col min="14" max="14" width="7.44140625" style="57" bestFit="1" customWidth="1"/>
    <col min="15" max="15" width="17.6640625" style="57" bestFit="1" customWidth="1"/>
    <col min="16" max="16" width="16.6640625" style="57" bestFit="1" customWidth="1"/>
    <col min="17" max="17" width="9.33203125" style="57" bestFit="1" customWidth="1"/>
    <col min="18" max="18" width="11.6640625" style="57" bestFit="1" customWidth="1"/>
    <col min="19" max="19" width="10.44140625" style="57" bestFit="1" customWidth="1"/>
    <col min="20" max="20" width="20.6640625" style="57" customWidth="1"/>
    <col min="21" max="16384" width="8.88671875" style="57"/>
  </cols>
  <sheetData>
    <row r="2" spans="1:12" x14ac:dyDescent="0.3">
      <c r="A2" s="111" t="s">
        <v>3353</v>
      </c>
      <c r="B2" s="111"/>
      <c r="C2" s="111"/>
      <c r="E2" s="109" t="s">
        <v>3354</v>
      </c>
      <c r="F2" s="109"/>
      <c r="G2" s="109"/>
      <c r="I2" s="27" t="s">
        <v>3355</v>
      </c>
      <c r="J2" s="27" t="s">
        <v>3356</v>
      </c>
      <c r="K2"/>
      <c r="L2"/>
    </row>
    <row r="3" spans="1:12" x14ac:dyDescent="0.3">
      <c r="A3" s="111" t="s">
        <v>3047</v>
      </c>
      <c r="B3" s="111"/>
      <c r="C3" s="111"/>
      <c r="D3" s="59"/>
      <c r="E3" s="69" t="s">
        <v>3357</v>
      </c>
      <c r="F3" s="69" t="s">
        <v>3358</v>
      </c>
      <c r="G3" s="69" t="s">
        <v>3359</v>
      </c>
      <c r="I3" s="27" t="s">
        <v>3357</v>
      </c>
      <c r="J3" t="s">
        <v>3360</v>
      </c>
      <c r="K3" t="s">
        <v>3361</v>
      </c>
      <c r="L3" t="s">
        <v>3362</v>
      </c>
    </row>
    <row r="4" spans="1:12" x14ac:dyDescent="0.3">
      <c r="A4" s="73"/>
      <c r="D4" s="60"/>
      <c r="E4" s="74">
        <v>2018</v>
      </c>
      <c r="F4" s="75">
        <v>-33375</v>
      </c>
      <c r="G4" s="53">
        <v>5</v>
      </c>
      <c r="I4" s="25" t="s">
        <v>3363</v>
      </c>
      <c r="J4">
        <v>7</v>
      </c>
      <c r="K4">
        <v>3</v>
      </c>
      <c r="L4">
        <v>10</v>
      </c>
    </row>
    <row r="5" spans="1:12" x14ac:dyDescent="0.3">
      <c r="A5" s="65" t="s">
        <v>2948</v>
      </c>
      <c r="B5" s="68" t="s">
        <v>2949</v>
      </c>
      <c r="C5" s="69" t="s">
        <v>2950</v>
      </c>
      <c r="D5" s="60"/>
      <c r="E5" s="74">
        <v>2019</v>
      </c>
      <c r="F5" s="75">
        <v>-40050</v>
      </c>
      <c r="G5" s="53">
        <v>6</v>
      </c>
      <c r="I5" s="25" t="s">
        <v>3364</v>
      </c>
      <c r="J5">
        <v>1</v>
      </c>
      <c r="K5">
        <v>1</v>
      </c>
      <c r="L5">
        <v>2</v>
      </c>
    </row>
    <row r="6" spans="1:12" x14ac:dyDescent="0.3">
      <c r="A6" s="56">
        <v>43585</v>
      </c>
      <c r="B6" s="53" t="s">
        <v>3046</v>
      </c>
      <c r="C6" s="61">
        <v>-6675</v>
      </c>
      <c r="D6" s="60"/>
      <c r="E6" s="74">
        <v>2020</v>
      </c>
      <c r="F6" s="75">
        <v>-13350</v>
      </c>
      <c r="G6" s="53">
        <v>2</v>
      </c>
      <c r="I6" s="90" t="s">
        <v>3365</v>
      </c>
      <c r="J6"/>
      <c r="K6">
        <v>1</v>
      </c>
      <c r="L6">
        <v>1</v>
      </c>
    </row>
    <row r="7" spans="1:12" x14ac:dyDescent="0.3">
      <c r="A7" s="56">
        <v>43707</v>
      </c>
      <c r="B7" s="53" t="s">
        <v>3048</v>
      </c>
      <c r="C7" s="61">
        <v>-6675</v>
      </c>
      <c r="D7" s="60"/>
      <c r="E7" s="69" t="s">
        <v>3362</v>
      </c>
      <c r="F7" s="69">
        <v>-86775</v>
      </c>
      <c r="G7" s="70">
        <v>13</v>
      </c>
      <c r="I7" s="90" t="s">
        <v>3366</v>
      </c>
      <c r="J7">
        <v>1</v>
      </c>
      <c r="K7"/>
      <c r="L7">
        <v>1</v>
      </c>
    </row>
    <row r="8" spans="1:12" x14ac:dyDescent="0.3">
      <c r="A8" s="56">
        <v>43707</v>
      </c>
      <c r="B8" s="53" t="s">
        <v>3049</v>
      </c>
      <c r="C8" s="61">
        <v>-6675</v>
      </c>
      <c r="D8" s="60"/>
      <c r="I8" s="25" t="s">
        <v>3367</v>
      </c>
      <c r="J8">
        <v>5</v>
      </c>
      <c r="K8">
        <v>5</v>
      </c>
      <c r="L8">
        <v>10</v>
      </c>
    </row>
    <row r="9" spans="1:12" x14ac:dyDescent="0.3">
      <c r="A9" s="56">
        <v>43707</v>
      </c>
      <c r="B9" s="53" t="s">
        <v>3050</v>
      </c>
      <c r="C9" s="61">
        <v>-6675</v>
      </c>
      <c r="D9" s="60"/>
      <c r="E9" s="109" t="s">
        <v>3361</v>
      </c>
      <c r="F9" s="109"/>
      <c r="G9" s="109"/>
      <c r="I9" s="90" t="s">
        <v>3365</v>
      </c>
      <c r="J9"/>
      <c r="K9">
        <v>5</v>
      </c>
      <c r="L9">
        <v>5</v>
      </c>
    </row>
    <row r="10" spans="1:12" x14ac:dyDescent="0.3">
      <c r="A10" s="56">
        <v>43781</v>
      </c>
      <c r="B10" s="53" t="s">
        <v>3051</v>
      </c>
      <c r="C10" s="61">
        <v>-6675</v>
      </c>
      <c r="D10" s="60"/>
      <c r="E10" s="69" t="s">
        <v>3357</v>
      </c>
      <c r="F10" s="69" t="s">
        <v>3358</v>
      </c>
      <c r="G10" s="69" t="s">
        <v>3368</v>
      </c>
      <c r="I10" s="90" t="s">
        <v>3366</v>
      </c>
      <c r="J10">
        <v>3</v>
      </c>
      <c r="K10"/>
      <c r="L10">
        <v>3</v>
      </c>
    </row>
    <row r="11" spans="1:12" x14ac:dyDescent="0.3">
      <c r="A11" s="56">
        <v>43782</v>
      </c>
      <c r="B11" s="53" t="s">
        <v>3052</v>
      </c>
      <c r="C11" s="61">
        <v>-6675</v>
      </c>
      <c r="D11" s="60"/>
      <c r="E11" s="53" t="s">
        <v>3369</v>
      </c>
      <c r="F11" s="75">
        <v>-26700</v>
      </c>
      <c r="G11" s="53">
        <v>4</v>
      </c>
      <c r="I11" s="90" t="s">
        <v>3370</v>
      </c>
      <c r="J11">
        <v>1</v>
      </c>
      <c r="K11"/>
      <c r="L11">
        <v>1</v>
      </c>
    </row>
    <row r="12" spans="1:12" x14ac:dyDescent="0.3">
      <c r="A12" s="56">
        <v>43879</v>
      </c>
      <c r="B12" s="53" t="s">
        <v>3053</v>
      </c>
      <c r="C12" s="61">
        <v>-6675</v>
      </c>
      <c r="E12" s="53" t="s">
        <v>3371</v>
      </c>
      <c r="F12" s="75">
        <v>-20025</v>
      </c>
      <c r="G12" s="53">
        <v>3</v>
      </c>
      <c r="I12" s="90" t="s">
        <v>3372</v>
      </c>
      <c r="J12">
        <v>1</v>
      </c>
      <c r="K12"/>
      <c r="L12">
        <v>1</v>
      </c>
    </row>
    <row r="13" spans="1:12" x14ac:dyDescent="0.3">
      <c r="A13" s="56">
        <v>43895</v>
      </c>
      <c r="B13" s="53" t="s">
        <v>3054</v>
      </c>
      <c r="C13" s="61">
        <v>-6675</v>
      </c>
      <c r="D13" s="62"/>
      <c r="E13" s="53" t="s">
        <v>3373</v>
      </c>
      <c r="F13" s="75">
        <v>-13350</v>
      </c>
      <c r="G13" s="53">
        <v>2</v>
      </c>
      <c r="I13" s="25" t="s">
        <v>3362</v>
      </c>
      <c r="J13">
        <v>13</v>
      </c>
      <c r="K13">
        <v>9</v>
      </c>
      <c r="L13">
        <v>22</v>
      </c>
    </row>
    <row r="14" spans="1:12" x14ac:dyDescent="0.3">
      <c r="A14" s="110" t="s">
        <v>3362</v>
      </c>
      <c r="B14" s="110"/>
      <c r="C14" s="69">
        <f>SUM(C6:C13)</f>
        <v>-53400</v>
      </c>
      <c r="E14" s="69" t="s">
        <v>3362</v>
      </c>
      <c r="F14" s="69">
        <v>-60075</v>
      </c>
      <c r="G14" s="70">
        <v>9</v>
      </c>
      <c r="I14"/>
      <c r="J14"/>
      <c r="K14">
        <f>GETPIVOTDATA("Amount",$I$2,"Source","Bank  ")-GETPIVOTDATA("Amount",$I$2,"Source","QB")</f>
        <v>4</v>
      </c>
      <c r="L14"/>
    </row>
    <row r="15" spans="1:12" x14ac:dyDescent="0.3">
      <c r="I15"/>
      <c r="J15"/>
      <c r="K15"/>
    </row>
    <row r="16" spans="1:12" x14ac:dyDescent="0.3">
      <c r="A16" s="71"/>
      <c r="B16" s="71"/>
      <c r="C16" s="71"/>
      <c r="D16" s="71"/>
      <c r="E16" s="71"/>
      <c r="F16" s="71"/>
      <c r="G16" s="71"/>
      <c r="H16" s="63"/>
      <c r="I16"/>
      <c r="J16"/>
      <c r="K16"/>
    </row>
    <row r="17" spans="1:11" x14ac:dyDescent="0.3">
      <c r="A17" s="64" t="s">
        <v>3374</v>
      </c>
      <c r="B17" s="64" t="s">
        <v>2948</v>
      </c>
      <c r="C17" s="64" t="s">
        <v>2949</v>
      </c>
      <c r="D17" s="64" t="s">
        <v>3375</v>
      </c>
      <c r="E17" s="64" t="s">
        <v>2950</v>
      </c>
      <c r="F17" s="65" t="s">
        <v>2952</v>
      </c>
      <c r="G17" s="65" t="s">
        <v>3376</v>
      </c>
      <c r="I17"/>
      <c r="J17"/>
      <c r="K17"/>
    </row>
    <row r="18" spans="1:11" ht="46.95" customHeight="1" x14ac:dyDescent="0.3">
      <c r="A18" s="76" t="s">
        <v>3360</v>
      </c>
      <c r="B18" s="76" t="s">
        <v>3377</v>
      </c>
      <c r="C18" s="77" t="s">
        <v>26</v>
      </c>
      <c r="D18" s="72">
        <v>2018</v>
      </c>
      <c r="E18" s="78">
        <f>E31</f>
        <v>-6675</v>
      </c>
      <c r="F18" s="54" t="s">
        <v>3366</v>
      </c>
      <c r="G18" s="58" t="s">
        <v>3364</v>
      </c>
      <c r="I18"/>
      <c r="J18"/>
      <c r="K18"/>
    </row>
    <row r="19" spans="1:11" ht="46.95" customHeight="1" x14ac:dyDescent="0.3">
      <c r="A19" s="79" t="s">
        <v>3360</v>
      </c>
      <c r="B19" s="79" t="s">
        <v>3378</v>
      </c>
      <c r="C19" s="80" t="s">
        <v>82</v>
      </c>
      <c r="D19" s="67">
        <v>2018</v>
      </c>
      <c r="E19" s="81">
        <f>E32</f>
        <v>-6675</v>
      </c>
      <c r="F19" s="54" t="s">
        <v>3366</v>
      </c>
      <c r="G19" s="58" t="s">
        <v>3367</v>
      </c>
      <c r="I19"/>
      <c r="J19"/>
      <c r="K19"/>
    </row>
    <row r="20" spans="1:11" ht="46.95" customHeight="1" x14ac:dyDescent="0.3">
      <c r="A20" s="53" t="s">
        <v>3360</v>
      </c>
      <c r="B20" s="53" t="s">
        <v>3379</v>
      </c>
      <c r="C20" s="82" t="s">
        <v>3045</v>
      </c>
      <c r="D20" s="66">
        <v>2018</v>
      </c>
      <c r="E20" s="83">
        <v>-6675</v>
      </c>
      <c r="F20" s="54"/>
      <c r="G20" s="58" t="s">
        <v>3363</v>
      </c>
    </row>
    <row r="21" spans="1:11" ht="46.95" customHeight="1" x14ac:dyDescent="0.3">
      <c r="A21" s="79" t="s">
        <v>3360</v>
      </c>
      <c r="B21" s="79" t="s">
        <v>3380</v>
      </c>
      <c r="C21" s="80" t="s">
        <v>139</v>
      </c>
      <c r="D21" s="67">
        <v>2018</v>
      </c>
      <c r="E21" s="81">
        <f>E33</f>
        <v>-6675</v>
      </c>
      <c r="F21" s="54" t="s">
        <v>3366</v>
      </c>
      <c r="G21" s="58" t="s">
        <v>3367</v>
      </c>
    </row>
    <row r="22" spans="1:11" ht="46.95" customHeight="1" x14ac:dyDescent="0.3">
      <c r="A22" s="79" t="s">
        <v>3360</v>
      </c>
      <c r="B22" s="79" t="s">
        <v>3381</v>
      </c>
      <c r="C22" s="80" t="s">
        <v>183</v>
      </c>
      <c r="D22" s="67">
        <v>2018</v>
      </c>
      <c r="E22" s="81">
        <f>E34</f>
        <v>-6675</v>
      </c>
      <c r="F22" s="54" t="s">
        <v>3366</v>
      </c>
      <c r="G22" s="58" t="s">
        <v>3367</v>
      </c>
    </row>
    <row r="23" spans="1:11" ht="46.95" customHeight="1" x14ac:dyDescent="0.3">
      <c r="A23" s="79" t="s">
        <v>3360</v>
      </c>
      <c r="B23" s="79" t="s">
        <v>3382</v>
      </c>
      <c r="C23" s="80" t="s">
        <v>3046</v>
      </c>
      <c r="D23" s="67">
        <v>2019</v>
      </c>
      <c r="E23" s="81">
        <f>E36</f>
        <v>-6675</v>
      </c>
      <c r="F23" s="54" t="s">
        <v>3370</v>
      </c>
      <c r="G23" s="58" t="s">
        <v>3367</v>
      </c>
    </row>
    <row r="24" spans="1:11" ht="46.95" customHeight="1" x14ac:dyDescent="0.3">
      <c r="A24" s="53" t="s">
        <v>3360</v>
      </c>
      <c r="B24" s="53" t="s">
        <v>3383</v>
      </c>
      <c r="C24" s="82" t="s">
        <v>3048</v>
      </c>
      <c r="D24" s="66">
        <v>2019</v>
      </c>
      <c r="E24" s="83">
        <v>-6675</v>
      </c>
      <c r="F24" s="54"/>
      <c r="G24" s="58" t="s">
        <v>3363</v>
      </c>
    </row>
    <row r="25" spans="1:11" ht="46.95" customHeight="1" x14ac:dyDescent="0.3">
      <c r="A25" s="53" t="s">
        <v>3360</v>
      </c>
      <c r="B25" s="53" t="s">
        <v>3383</v>
      </c>
      <c r="C25" s="82" t="s">
        <v>3049</v>
      </c>
      <c r="D25" s="66">
        <v>2019</v>
      </c>
      <c r="E25" s="83">
        <v>-6675</v>
      </c>
      <c r="F25" s="54"/>
      <c r="G25" s="58" t="s">
        <v>3363</v>
      </c>
    </row>
    <row r="26" spans="1:11" ht="46.95" customHeight="1" x14ac:dyDescent="0.3">
      <c r="A26" s="53" t="s">
        <v>3360</v>
      </c>
      <c r="B26" s="53" t="s">
        <v>3383</v>
      </c>
      <c r="C26" s="82" t="s">
        <v>3050</v>
      </c>
      <c r="D26" s="66">
        <v>2019</v>
      </c>
      <c r="E26" s="83">
        <v>-6675</v>
      </c>
      <c r="F26" s="54"/>
      <c r="G26" s="58" t="s">
        <v>3363</v>
      </c>
    </row>
    <row r="27" spans="1:11" ht="46.95" customHeight="1" x14ac:dyDescent="0.3">
      <c r="A27" s="79" t="s">
        <v>3360</v>
      </c>
      <c r="B27" s="79" t="s">
        <v>3384</v>
      </c>
      <c r="C27" s="80" t="s">
        <v>3051</v>
      </c>
      <c r="D27" s="67">
        <v>2019</v>
      </c>
      <c r="E27" s="81">
        <f>E37</f>
        <v>-6675</v>
      </c>
      <c r="F27" s="55" t="s">
        <v>3372</v>
      </c>
      <c r="G27" s="58" t="s">
        <v>3367</v>
      </c>
    </row>
    <row r="28" spans="1:11" ht="46.95" customHeight="1" x14ac:dyDescent="0.3">
      <c r="A28" s="53" t="s">
        <v>3360</v>
      </c>
      <c r="B28" s="53" t="s">
        <v>3385</v>
      </c>
      <c r="C28" s="82" t="s">
        <v>3052</v>
      </c>
      <c r="D28" s="66">
        <v>2019</v>
      </c>
      <c r="E28" s="83">
        <v>-6675</v>
      </c>
      <c r="F28" s="56"/>
      <c r="G28" s="58" t="s">
        <v>3363</v>
      </c>
    </row>
    <row r="29" spans="1:11" ht="46.95" customHeight="1" x14ac:dyDescent="0.3">
      <c r="A29" s="53" t="s">
        <v>3360</v>
      </c>
      <c r="B29" s="53" t="s">
        <v>3386</v>
      </c>
      <c r="C29" s="82" t="s">
        <v>3053</v>
      </c>
      <c r="D29" s="66">
        <v>2020</v>
      </c>
      <c r="E29" s="83">
        <v>-6675</v>
      </c>
      <c r="F29" s="56"/>
      <c r="G29" s="58" t="s">
        <v>3363</v>
      </c>
    </row>
    <row r="30" spans="1:11" ht="46.95" customHeight="1" x14ac:dyDescent="0.3">
      <c r="A30" s="53" t="s">
        <v>3360</v>
      </c>
      <c r="B30" s="53" t="s">
        <v>3387</v>
      </c>
      <c r="C30" s="82" t="s">
        <v>3054</v>
      </c>
      <c r="D30" s="66">
        <v>2020</v>
      </c>
      <c r="E30" s="83">
        <v>-6675</v>
      </c>
      <c r="F30" s="53"/>
      <c r="G30" s="58" t="s">
        <v>3363</v>
      </c>
    </row>
    <row r="31" spans="1:11" ht="46.95" customHeight="1" x14ac:dyDescent="0.3">
      <c r="A31" s="77" t="s">
        <v>3361</v>
      </c>
      <c r="B31" s="84" t="s">
        <v>3388</v>
      </c>
      <c r="C31" s="77" t="s">
        <v>3389</v>
      </c>
      <c r="D31" s="84" t="s">
        <v>3369</v>
      </c>
      <c r="E31" s="85">
        <v>-6675</v>
      </c>
      <c r="F31" s="54" t="s">
        <v>3365</v>
      </c>
      <c r="G31" s="58" t="s">
        <v>3364</v>
      </c>
    </row>
    <row r="32" spans="1:11" ht="46.95" customHeight="1" x14ac:dyDescent="0.3">
      <c r="A32" s="80" t="s">
        <v>3361</v>
      </c>
      <c r="B32" s="86" t="s">
        <v>3390</v>
      </c>
      <c r="C32" s="80" t="s">
        <v>3391</v>
      </c>
      <c r="D32" s="86" t="s">
        <v>3369</v>
      </c>
      <c r="E32" s="87">
        <v>-6675</v>
      </c>
      <c r="F32" s="54" t="s">
        <v>3365</v>
      </c>
      <c r="G32" s="58" t="s">
        <v>3367</v>
      </c>
    </row>
    <row r="33" spans="1:7" ht="46.95" customHeight="1" x14ac:dyDescent="0.3">
      <c r="A33" s="80" t="s">
        <v>3361</v>
      </c>
      <c r="B33" s="86" t="s">
        <v>3392</v>
      </c>
      <c r="C33" s="80" t="s">
        <v>3393</v>
      </c>
      <c r="D33" s="86" t="s">
        <v>3369</v>
      </c>
      <c r="E33" s="87">
        <v>-6675</v>
      </c>
      <c r="F33" s="54" t="s">
        <v>3365</v>
      </c>
      <c r="G33" s="58" t="s">
        <v>3367</v>
      </c>
    </row>
    <row r="34" spans="1:7" ht="46.95" customHeight="1" x14ac:dyDescent="0.3">
      <c r="A34" s="80" t="s">
        <v>3361</v>
      </c>
      <c r="B34" s="86" t="s">
        <v>3394</v>
      </c>
      <c r="C34" s="80" t="s">
        <v>3395</v>
      </c>
      <c r="D34" s="86" t="s">
        <v>3369</v>
      </c>
      <c r="E34" s="87">
        <v>-6675</v>
      </c>
      <c r="F34" s="54" t="s">
        <v>3365</v>
      </c>
      <c r="G34" s="58" t="s">
        <v>3367</v>
      </c>
    </row>
    <row r="35" spans="1:7" ht="46.95" customHeight="1" x14ac:dyDescent="0.3">
      <c r="A35" s="53" t="s">
        <v>3361</v>
      </c>
      <c r="B35" s="88" t="s">
        <v>3396</v>
      </c>
      <c r="C35" s="82" t="s">
        <v>3397</v>
      </c>
      <c r="D35" s="88" t="s">
        <v>3371</v>
      </c>
      <c r="E35" s="89">
        <v>-6675</v>
      </c>
      <c r="F35" s="53"/>
      <c r="G35" s="58" t="s">
        <v>3363</v>
      </c>
    </row>
    <row r="36" spans="1:7" ht="46.95" customHeight="1" x14ac:dyDescent="0.3">
      <c r="A36" s="80" t="s">
        <v>3361</v>
      </c>
      <c r="B36" s="86" t="s">
        <v>3398</v>
      </c>
      <c r="C36" s="80" t="s">
        <v>3399</v>
      </c>
      <c r="D36" s="86" t="s">
        <v>3371</v>
      </c>
      <c r="E36" s="87">
        <v>-6675</v>
      </c>
      <c r="F36" s="54" t="s">
        <v>3365</v>
      </c>
      <c r="G36" s="58" t="s">
        <v>3367</v>
      </c>
    </row>
    <row r="37" spans="1:7" ht="46.95" customHeight="1" x14ac:dyDescent="0.3">
      <c r="A37" s="80" t="s">
        <v>3361</v>
      </c>
      <c r="B37" s="86" t="s">
        <v>3398</v>
      </c>
      <c r="C37" s="80" t="s">
        <v>3400</v>
      </c>
      <c r="D37" s="86" t="s">
        <v>3371</v>
      </c>
      <c r="E37" s="87">
        <v>-6675</v>
      </c>
      <c r="F37" s="54" t="s">
        <v>3365</v>
      </c>
      <c r="G37" s="58" t="s">
        <v>3367</v>
      </c>
    </row>
    <row r="38" spans="1:7" ht="46.95" customHeight="1" x14ac:dyDescent="0.3">
      <c r="A38" s="53" t="s">
        <v>3361</v>
      </c>
      <c r="B38" s="88" t="s">
        <v>3401</v>
      </c>
      <c r="C38" s="82" t="s">
        <v>3402</v>
      </c>
      <c r="D38" s="88" t="s">
        <v>3373</v>
      </c>
      <c r="E38" s="89">
        <v>-6675</v>
      </c>
      <c r="F38" s="53"/>
      <c r="G38" s="58" t="s">
        <v>3363</v>
      </c>
    </row>
    <row r="39" spans="1:7" ht="46.95" customHeight="1" x14ac:dyDescent="0.3">
      <c r="A39" s="53" t="s">
        <v>3361</v>
      </c>
      <c r="B39" s="88" t="s">
        <v>3403</v>
      </c>
      <c r="C39" s="82" t="s">
        <v>3397</v>
      </c>
      <c r="D39" s="88" t="s">
        <v>3373</v>
      </c>
      <c r="E39" s="89">
        <v>-6675</v>
      </c>
      <c r="F39" s="53"/>
      <c r="G39" s="58" t="s">
        <v>3363</v>
      </c>
    </row>
    <row r="42" spans="1:7" x14ac:dyDescent="0.3">
      <c r="B42" s="107"/>
    </row>
    <row r="43" spans="1:7" x14ac:dyDescent="0.3">
      <c r="B43" s="107"/>
    </row>
  </sheetData>
  <autoFilter ref="A17:G39" xr:uid="{FCA5161F-88AB-4715-BA55-B265E515CA5D}"/>
  <mergeCells count="5">
    <mergeCell ref="E2:G2"/>
    <mergeCell ref="E9:G9"/>
    <mergeCell ref="A14:B14"/>
    <mergeCell ref="A2:C2"/>
    <mergeCell ref="A3:C3"/>
  </mergeCell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4956-B857-486C-AF89-1F900C9FEFBA}">
  <dimension ref="A2:L55"/>
  <sheetViews>
    <sheetView workbookViewId="0">
      <selection activeCell="D5" sqref="D5"/>
    </sheetView>
  </sheetViews>
  <sheetFormatPr defaultRowHeight="14.4" x14ac:dyDescent="0.3"/>
  <cols>
    <col min="1" max="1" width="15.44140625" customWidth="1"/>
    <col min="2" max="2" width="42.33203125" customWidth="1"/>
    <col min="3" max="3" width="39.109375" customWidth="1"/>
    <col min="4" max="4" width="10" customWidth="1"/>
    <col min="5" max="5" width="16.33203125" customWidth="1"/>
    <col min="6" max="6" width="16.33203125" bestFit="1" customWidth="1"/>
    <col min="7" max="7" width="60.5546875" bestFit="1" customWidth="1"/>
    <col min="9" max="9" width="61.88671875" bestFit="1" customWidth="1"/>
    <col min="10" max="10" width="16.33203125" bestFit="1" customWidth="1"/>
    <col min="11" max="11" width="3.5546875" bestFit="1" customWidth="1"/>
    <col min="12" max="12" width="11.33203125" bestFit="1" customWidth="1"/>
  </cols>
  <sheetData>
    <row r="2" spans="1:12" x14ac:dyDescent="0.3">
      <c r="A2" s="111" t="s">
        <v>3623</v>
      </c>
      <c r="B2" s="111"/>
      <c r="C2" s="111"/>
      <c r="E2" s="112" t="s">
        <v>3354</v>
      </c>
      <c r="F2" s="112"/>
      <c r="G2" s="112"/>
      <c r="I2" s="100" t="s">
        <v>3355</v>
      </c>
      <c r="J2" s="100" t="s">
        <v>3356</v>
      </c>
      <c r="K2" s="9"/>
      <c r="L2" s="9"/>
    </row>
    <row r="3" spans="1:12" x14ac:dyDescent="0.3">
      <c r="A3" s="111" t="s">
        <v>3624</v>
      </c>
      <c r="B3" s="111"/>
      <c r="C3" s="111"/>
      <c r="E3" s="99" t="s">
        <v>3357</v>
      </c>
      <c r="F3" s="99" t="s">
        <v>3358</v>
      </c>
      <c r="G3" s="99" t="s">
        <v>3359</v>
      </c>
      <c r="I3" s="100" t="s">
        <v>3357</v>
      </c>
      <c r="J3" s="9" t="s">
        <v>3354</v>
      </c>
      <c r="K3" s="9" t="s">
        <v>3361</v>
      </c>
      <c r="L3" s="9" t="s">
        <v>3362</v>
      </c>
    </row>
    <row r="4" spans="1:12" x14ac:dyDescent="0.3">
      <c r="E4" s="96">
        <v>2019</v>
      </c>
      <c r="F4" s="97">
        <v>-66150</v>
      </c>
      <c r="G4" s="9">
        <v>9</v>
      </c>
      <c r="I4" s="98" t="s">
        <v>3363</v>
      </c>
      <c r="J4" s="9">
        <v>2</v>
      </c>
      <c r="K4" s="9">
        <v>12</v>
      </c>
      <c r="L4" s="9">
        <v>14</v>
      </c>
    </row>
    <row r="5" spans="1:12" x14ac:dyDescent="0.3">
      <c r="A5" s="65" t="s">
        <v>2948</v>
      </c>
      <c r="B5" s="68" t="s">
        <v>2949</v>
      </c>
      <c r="C5" s="69" t="s">
        <v>2950</v>
      </c>
      <c r="E5" s="96">
        <v>2022</v>
      </c>
      <c r="F5" s="97">
        <v>-14700</v>
      </c>
      <c r="G5" s="9">
        <v>2</v>
      </c>
      <c r="I5" s="101" t="s">
        <v>3516</v>
      </c>
      <c r="J5" s="9">
        <v>2</v>
      </c>
      <c r="K5" s="9">
        <v>12</v>
      </c>
      <c r="L5" s="9">
        <v>14</v>
      </c>
    </row>
    <row r="6" spans="1:12" ht="28.8" x14ac:dyDescent="0.3">
      <c r="A6" s="56">
        <v>43570</v>
      </c>
      <c r="B6" s="82" t="s">
        <v>3034</v>
      </c>
      <c r="C6" s="104">
        <v>-7350</v>
      </c>
      <c r="E6" s="96">
        <v>2023</v>
      </c>
      <c r="F6" s="97">
        <v>-7350</v>
      </c>
      <c r="G6" s="9">
        <v>1</v>
      </c>
      <c r="I6" s="98" t="s">
        <v>3364</v>
      </c>
      <c r="J6" s="9">
        <v>1</v>
      </c>
      <c r="K6" s="9">
        <v>1</v>
      </c>
      <c r="L6" s="9">
        <v>2</v>
      </c>
    </row>
    <row r="7" spans="1:12" ht="28.8" x14ac:dyDescent="0.3">
      <c r="A7" s="56" t="s">
        <v>3414</v>
      </c>
      <c r="B7" s="82" t="s">
        <v>3037</v>
      </c>
      <c r="C7" s="104">
        <v>-7350</v>
      </c>
      <c r="E7" s="69" t="s">
        <v>3362</v>
      </c>
      <c r="F7" s="69">
        <v>-88200</v>
      </c>
      <c r="G7" s="69">
        <v>12</v>
      </c>
      <c r="I7" s="101" t="s">
        <v>3404</v>
      </c>
      <c r="J7" s="9">
        <v>1</v>
      </c>
      <c r="K7" s="9">
        <v>1</v>
      </c>
      <c r="L7" s="9">
        <v>2</v>
      </c>
    </row>
    <row r="8" spans="1:12" x14ac:dyDescent="0.3">
      <c r="A8" s="93" t="s">
        <v>3424</v>
      </c>
      <c r="B8" s="82" t="s">
        <v>3416</v>
      </c>
      <c r="C8" s="105">
        <v>-7350</v>
      </c>
      <c r="I8" s="98" t="s">
        <v>3367</v>
      </c>
      <c r="J8" s="9">
        <v>9</v>
      </c>
      <c r="K8" s="9">
        <v>8</v>
      </c>
      <c r="L8" s="9">
        <v>17</v>
      </c>
    </row>
    <row r="9" spans="1:12" x14ac:dyDescent="0.3">
      <c r="A9" s="93" t="s">
        <v>3425</v>
      </c>
      <c r="B9" s="82" t="s">
        <v>3426</v>
      </c>
      <c r="C9" s="105">
        <v>-7350</v>
      </c>
      <c r="E9" s="112" t="s">
        <v>3361</v>
      </c>
      <c r="F9" s="112"/>
      <c r="G9" s="112"/>
      <c r="I9" s="101" t="s">
        <v>3410</v>
      </c>
      <c r="J9" s="9">
        <v>2</v>
      </c>
      <c r="K9" s="9">
        <v>1</v>
      </c>
      <c r="L9" s="9">
        <v>3</v>
      </c>
    </row>
    <row r="10" spans="1:12" x14ac:dyDescent="0.3">
      <c r="A10" s="93" t="s">
        <v>3427</v>
      </c>
      <c r="B10" s="82" t="s">
        <v>3397</v>
      </c>
      <c r="C10" s="105">
        <v>-7350</v>
      </c>
      <c r="E10" s="99" t="s">
        <v>3357</v>
      </c>
      <c r="F10" s="99" t="s">
        <v>3358</v>
      </c>
      <c r="G10" s="99" t="s">
        <v>3368</v>
      </c>
      <c r="I10" s="101" t="s">
        <v>3409</v>
      </c>
      <c r="J10" s="9">
        <v>1</v>
      </c>
      <c r="K10" s="9">
        <v>1</v>
      </c>
      <c r="L10" s="9">
        <v>2</v>
      </c>
    </row>
    <row r="11" spans="1:12" x14ac:dyDescent="0.3">
      <c r="A11" s="93" t="s">
        <v>3428</v>
      </c>
      <c r="B11" s="82" t="s">
        <v>3429</v>
      </c>
      <c r="C11" s="105">
        <v>-7350</v>
      </c>
      <c r="E11" s="98" t="s">
        <v>3417</v>
      </c>
      <c r="F11" s="97">
        <v>-51450</v>
      </c>
      <c r="G11" s="9">
        <v>7</v>
      </c>
      <c r="I11" s="101" t="s">
        <v>3411</v>
      </c>
      <c r="J11" s="9">
        <v>1</v>
      </c>
      <c r="K11" s="9">
        <v>1</v>
      </c>
      <c r="L11" s="9">
        <v>2</v>
      </c>
    </row>
    <row r="12" spans="1:12" x14ac:dyDescent="0.3">
      <c r="A12" s="93" t="s">
        <v>3430</v>
      </c>
      <c r="B12" s="82" t="s">
        <v>3397</v>
      </c>
      <c r="C12" s="105">
        <v>-7350</v>
      </c>
      <c r="E12" s="98" t="s">
        <v>3371</v>
      </c>
      <c r="F12" s="97">
        <v>-14700</v>
      </c>
      <c r="G12" s="9">
        <v>2</v>
      </c>
      <c r="I12" s="101" t="s">
        <v>3407</v>
      </c>
      <c r="J12" s="9">
        <v>1</v>
      </c>
      <c r="K12" s="9">
        <v>1</v>
      </c>
      <c r="L12" s="9">
        <v>2</v>
      </c>
    </row>
    <row r="13" spans="1:12" x14ac:dyDescent="0.3">
      <c r="A13" s="93" t="s">
        <v>3431</v>
      </c>
      <c r="B13" s="82" t="s">
        <v>3397</v>
      </c>
      <c r="C13" s="105">
        <v>-7350</v>
      </c>
      <c r="E13" s="98" t="s">
        <v>3373</v>
      </c>
      <c r="F13" s="97">
        <v>-51450</v>
      </c>
      <c r="G13" s="9">
        <v>7</v>
      </c>
      <c r="I13" s="101" t="s">
        <v>3405</v>
      </c>
      <c r="J13" s="9">
        <v>1</v>
      </c>
      <c r="K13" s="9">
        <v>1</v>
      </c>
      <c r="L13" s="9">
        <v>2</v>
      </c>
    </row>
    <row r="14" spans="1:12" x14ac:dyDescent="0.3">
      <c r="A14" s="93" t="s">
        <v>3432</v>
      </c>
      <c r="B14" s="82" t="s">
        <v>3397</v>
      </c>
      <c r="C14" s="105">
        <v>-7350</v>
      </c>
      <c r="E14" s="98" t="s">
        <v>3437</v>
      </c>
      <c r="F14" s="97">
        <v>-36750</v>
      </c>
      <c r="G14" s="9">
        <v>5</v>
      </c>
      <c r="I14" s="101" t="s">
        <v>3408</v>
      </c>
      <c r="J14" s="9">
        <v>1</v>
      </c>
      <c r="K14" s="9">
        <v>1</v>
      </c>
      <c r="L14" s="9">
        <v>2</v>
      </c>
    </row>
    <row r="15" spans="1:12" x14ac:dyDescent="0.3">
      <c r="A15" s="93" t="s">
        <v>3433</v>
      </c>
      <c r="B15" s="82" t="s">
        <v>3397</v>
      </c>
      <c r="C15" s="105">
        <v>-7350</v>
      </c>
      <c r="E15" s="69" t="s">
        <v>3362</v>
      </c>
      <c r="F15" s="69">
        <v>-154350</v>
      </c>
      <c r="G15" s="69">
        <v>21</v>
      </c>
      <c r="I15" s="101" t="s">
        <v>3413</v>
      </c>
      <c r="J15" s="9">
        <v>1</v>
      </c>
      <c r="K15" s="9">
        <v>1</v>
      </c>
      <c r="L15" s="9">
        <v>2</v>
      </c>
    </row>
    <row r="16" spans="1:12" x14ac:dyDescent="0.3">
      <c r="A16" s="93" t="s">
        <v>3434</v>
      </c>
      <c r="B16" s="82" t="s">
        <v>3397</v>
      </c>
      <c r="C16" s="105">
        <v>-7350</v>
      </c>
      <c r="E16" s="102"/>
      <c r="F16" s="102"/>
      <c r="G16" s="102"/>
      <c r="I16" s="101" t="s">
        <v>3406</v>
      </c>
      <c r="J16" s="9">
        <v>1</v>
      </c>
      <c r="K16" s="9">
        <v>1</v>
      </c>
      <c r="L16" s="9">
        <v>2</v>
      </c>
    </row>
    <row r="17" spans="1:12" x14ac:dyDescent="0.3">
      <c r="A17" s="93" t="s">
        <v>3438</v>
      </c>
      <c r="B17" s="82" t="s">
        <v>3436</v>
      </c>
      <c r="C17" s="105">
        <v>-7350</v>
      </c>
      <c r="E17" s="102"/>
      <c r="F17" s="102"/>
      <c r="G17" s="102"/>
      <c r="I17" s="98" t="s">
        <v>3362</v>
      </c>
      <c r="J17" s="9">
        <v>12</v>
      </c>
      <c r="K17" s="9">
        <v>21</v>
      </c>
      <c r="L17" s="9">
        <v>33</v>
      </c>
    </row>
    <row r="18" spans="1:12" x14ac:dyDescent="0.3">
      <c r="A18" s="93" t="s">
        <v>3439</v>
      </c>
      <c r="B18" s="82" t="s">
        <v>3436</v>
      </c>
      <c r="C18" s="105">
        <v>-7350</v>
      </c>
      <c r="E18" s="102"/>
      <c r="F18" s="102"/>
      <c r="G18" s="102"/>
    </row>
    <row r="19" spans="1:12" x14ac:dyDescent="0.3">
      <c r="A19" s="93" t="s">
        <v>3441</v>
      </c>
      <c r="B19" s="82" t="s">
        <v>3397</v>
      </c>
      <c r="C19" s="105">
        <v>-7350</v>
      </c>
      <c r="E19" s="102"/>
      <c r="F19" s="102"/>
      <c r="G19" s="102"/>
    </row>
    <row r="20" spans="1:12" x14ac:dyDescent="0.3">
      <c r="A20" s="110" t="s">
        <v>3362</v>
      </c>
      <c r="B20" s="110"/>
      <c r="C20" s="106">
        <f>SUBTOTAL(9,C6:C19)</f>
        <v>-102900</v>
      </c>
    </row>
    <row r="21" spans="1:12" x14ac:dyDescent="0.3">
      <c r="A21" s="103"/>
      <c r="B21" s="103"/>
      <c r="C21" s="103"/>
    </row>
    <row r="22" spans="1:12" x14ac:dyDescent="0.3">
      <c r="A22" s="64" t="s">
        <v>3374</v>
      </c>
      <c r="B22" s="64" t="s">
        <v>2948</v>
      </c>
      <c r="C22" s="64" t="s">
        <v>2949</v>
      </c>
      <c r="D22" s="64" t="s">
        <v>3375</v>
      </c>
      <c r="E22" s="64" t="s">
        <v>2950</v>
      </c>
      <c r="F22" s="92" t="s">
        <v>2952</v>
      </c>
      <c r="G22" s="92" t="s">
        <v>3376</v>
      </c>
    </row>
    <row r="23" spans="1:12" ht="28.8" x14ac:dyDescent="0.3">
      <c r="A23" s="53" t="s">
        <v>3354</v>
      </c>
      <c r="B23" s="56">
        <v>43488</v>
      </c>
      <c r="C23" s="82" t="s">
        <v>205</v>
      </c>
      <c r="D23" s="66">
        <v>2019</v>
      </c>
      <c r="E23" s="94">
        <v>-7350</v>
      </c>
      <c r="F23" s="53" t="s">
        <v>3404</v>
      </c>
      <c r="G23" s="58" t="s">
        <v>3364</v>
      </c>
    </row>
    <row r="24" spans="1:12" ht="28.8" x14ac:dyDescent="0.3">
      <c r="A24" s="53" t="s">
        <v>3354</v>
      </c>
      <c r="B24" s="56">
        <v>43494</v>
      </c>
      <c r="C24" s="82" t="s">
        <v>213</v>
      </c>
      <c r="D24" s="66">
        <v>2019</v>
      </c>
      <c r="E24" s="94">
        <v>-7350</v>
      </c>
      <c r="F24" s="53" t="s">
        <v>3405</v>
      </c>
      <c r="G24" s="58" t="s">
        <v>3367</v>
      </c>
    </row>
    <row r="25" spans="1:12" ht="28.8" x14ac:dyDescent="0.3">
      <c r="A25" s="53" t="s">
        <v>3354</v>
      </c>
      <c r="B25" s="56">
        <v>43528</v>
      </c>
      <c r="C25" s="82" t="s">
        <v>3029</v>
      </c>
      <c r="D25" s="66">
        <v>2019</v>
      </c>
      <c r="E25" s="94">
        <v>-7350</v>
      </c>
      <c r="F25" s="53" t="s">
        <v>3406</v>
      </c>
      <c r="G25" s="58" t="s">
        <v>3367</v>
      </c>
    </row>
    <row r="26" spans="1:12" ht="28.8" x14ac:dyDescent="0.3">
      <c r="A26" s="53" t="s">
        <v>3354</v>
      </c>
      <c r="B26" s="56">
        <v>43544</v>
      </c>
      <c r="C26" s="82" t="s">
        <v>3031</v>
      </c>
      <c r="D26" s="66">
        <v>2019</v>
      </c>
      <c r="E26" s="94">
        <v>-7350</v>
      </c>
      <c r="F26" s="53" t="s">
        <v>3407</v>
      </c>
      <c r="G26" s="58" t="s">
        <v>3367</v>
      </c>
    </row>
    <row r="27" spans="1:12" ht="28.8" x14ac:dyDescent="0.3">
      <c r="A27" s="53" t="s">
        <v>3354</v>
      </c>
      <c r="B27" s="56">
        <v>43551</v>
      </c>
      <c r="C27" s="82" t="s">
        <v>3032</v>
      </c>
      <c r="D27" s="66">
        <v>2019</v>
      </c>
      <c r="E27" s="94">
        <v>-7350</v>
      </c>
      <c r="F27" s="53" t="s">
        <v>3408</v>
      </c>
      <c r="G27" s="58" t="s">
        <v>3367</v>
      </c>
    </row>
    <row r="28" spans="1:12" ht="28.8" x14ac:dyDescent="0.3">
      <c r="A28" s="53" t="s">
        <v>3354</v>
      </c>
      <c r="B28" s="56">
        <v>43556</v>
      </c>
      <c r="C28" s="82" t="s">
        <v>3033</v>
      </c>
      <c r="D28" s="66">
        <v>2019</v>
      </c>
      <c r="E28" s="94">
        <v>-7350</v>
      </c>
      <c r="F28" s="53" t="s">
        <v>3409</v>
      </c>
      <c r="G28" s="58" t="s">
        <v>3367</v>
      </c>
    </row>
    <row r="29" spans="1:12" ht="28.8" x14ac:dyDescent="0.3">
      <c r="A29" s="53" t="s">
        <v>3354</v>
      </c>
      <c r="B29" s="56">
        <v>43570</v>
      </c>
      <c r="C29" s="82" t="s">
        <v>301</v>
      </c>
      <c r="D29" s="66">
        <v>2019</v>
      </c>
      <c r="E29" s="94">
        <v>-7350</v>
      </c>
      <c r="F29" s="53" t="s">
        <v>3410</v>
      </c>
      <c r="G29" s="58" t="s">
        <v>3367</v>
      </c>
    </row>
    <row r="30" spans="1:12" ht="28.8" x14ac:dyDescent="0.3">
      <c r="A30" s="53" t="s">
        <v>3354</v>
      </c>
      <c r="B30" s="56">
        <v>43570</v>
      </c>
      <c r="C30" s="82" t="s">
        <v>3034</v>
      </c>
      <c r="D30" s="66">
        <v>2019</v>
      </c>
      <c r="E30" s="94">
        <v>-7350</v>
      </c>
      <c r="F30" s="53"/>
      <c r="G30" s="58" t="s">
        <v>3363</v>
      </c>
    </row>
    <row r="31" spans="1:12" ht="28.8" x14ac:dyDescent="0.3">
      <c r="A31" s="53" t="s">
        <v>3354</v>
      </c>
      <c r="B31" s="56">
        <v>43823</v>
      </c>
      <c r="C31" s="82" t="s">
        <v>3035</v>
      </c>
      <c r="D31" s="66">
        <v>2019</v>
      </c>
      <c r="E31" s="94">
        <v>-7350</v>
      </c>
      <c r="F31" s="53" t="s">
        <v>3410</v>
      </c>
      <c r="G31" s="58" t="s">
        <v>3367</v>
      </c>
    </row>
    <row r="32" spans="1:12" ht="28.8" x14ac:dyDescent="0.3">
      <c r="A32" s="53" t="s">
        <v>3354</v>
      </c>
      <c r="B32" s="56">
        <v>44652</v>
      </c>
      <c r="C32" s="82" t="s">
        <v>1524</v>
      </c>
      <c r="D32" s="66">
        <v>2022</v>
      </c>
      <c r="E32" s="94">
        <v>-7350</v>
      </c>
      <c r="F32" s="53" t="s">
        <v>3411</v>
      </c>
      <c r="G32" s="58" t="s">
        <v>3367</v>
      </c>
    </row>
    <row r="33" spans="1:7" ht="28.8" x14ac:dyDescent="0.3">
      <c r="A33" s="53" t="s">
        <v>3354</v>
      </c>
      <c r="B33" s="56" t="s">
        <v>3412</v>
      </c>
      <c r="C33" s="82" t="s">
        <v>3036</v>
      </c>
      <c r="D33" s="66">
        <v>2022</v>
      </c>
      <c r="E33" s="94">
        <v>-7350</v>
      </c>
      <c r="F33" s="53" t="s">
        <v>3413</v>
      </c>
      <c r="G33" s="58" t="s">
        <v>3367</v>
      </c>
    </row>
    <row r="34" spans="1:7" ht="28.8" x14ac:dyDescent="0.3">
      <c r="A34" s="53" t="s">
        <v>3354</v>
      </c>
      <c r="B34" s="56" t="s">
        <v>3414</v>
      </c>
      <c r="C34" s="82" t="s">
        <v>3037</v>
      </c>
      <c r="D34" s="66">
        <v>2023</v>
      </c>
      <c r="E34" s="94">
        <v>-7350</v>
      </c>
      <c r="F34" s="53"/>
      <c r="G34" s="58" t="s">
        <v>3363</v>
      </c>
    </row>
    <row r="35" spans="1:7" x14ac:dyDescent="0.3">
      <c r="A35" s="53" t="s">
        <v>3361</v>
      </c>
      <c r="B35" s="93" t="s">
        <v>3415</v>
      </c>
      <c r="C35" s="82" t="s">
        <v>3416</v>
      </c>
      <c r="D35" s="88" t="s">
        <v>3417</v>
      </c>
      <c r="E35" s="95">
        <v>-7350</v>
      </c>
      <c r="F35" s="53" t="s">
        <v>3404</v>
      </c>
      <c r="G35" s="58" t="s">
        <v>3364</v>
      </c>
    </row>
    <row r="36" spans="1:7" x14ac:dyDescent="0.3">
      <c r="A36" s="53" t="s">
        <v>3361</v>
      </c>
      <c r="B36" s="93" t="s">
        <v>3418</v>
      </c>
      <c r="C36" s="82" t="s">
        <v>3416</v>
      </c>
      <c r="D36" s="88" t="s">
        <v>3417</v>
      </c>
      <c r="E36" s="95">
        <v>-7350</v>
      </c>
      <c r="F36" s="53" t="s">
        <v>3405</v>
      </c>
      <c r="G36" s="58" t="s">
        <v>3367</v>
      </c>
    </row>
    <row r="37" spans="1:7" x14ac:dyDescent="0.3">
      <c r="A37" s="53" t="s">
        <v>3361</v>
      </c>
      <c r="B37" s="93" t="s">
        <v>3419</v>
      </c>
      <c r="C37" s="82" t="s">
        <v>3416</v>
      </c>
      <c r="D37" s="88" t="s">
        <v>3417</v>
      </c>
      <c r="E37" s="95">
        <v>-7350</v>
      </c>
      <c r="F37" s="53" t="s">
        <v>3406</v>
      </c>
      <c r="G37" s="58" t="s">
        <v>3367</v>
      </c>
    </row>
    <row r="38" spans="1:7" x14ac:dyDescent="0.3">
      <c r="A38" s="53" t="s">
        <v>3361</v>
      </c>
      <c r="B38" s="93" t="s">
        <v>3420</v>
      </c>
      <c r="C38" s="82" t="s">
        <v>3416</v>
      </c>
      <c r="D38" s="88" t="s">
        <v>3417</v>
      </c>
      <c r="E38" s="95">
        <v>-7350</v>
      </c>
      <c r="F38" s="53" t="s">
        <v>3407</v>
      </c>
      <c r="G38" s="58" t="s">
        <v>3367</v>
      </c>
    </row>
    <row r="39" spans="1:7" x14ac:dyDescent="0.3">
      <c r="A39" s="53" t="s">
        <v>3361</v>
      </c>
      <c r="B39" s="93" t="s">
        <v>3421</v>
      </c>
      <c r="C39" s="82" t="s">
        <v>3416</v>
      </c>
      <c r="D39" s="88" t="s">
        <v>3417</v>
      </c>
      <c r="E39" s="95">
        <v>-7350</v>
      </c>
      <c r="F39" s="53" t="s">
        <v>3408</v>
      </c>
      <c r="G39" s="58" t="s">
        <v>3367</v>
      </c>
    </row>
    <row r="40" spans="1:7" x14ac:dyDescent="0.3">
      <c r="A40" s="53" t="s">
        <v>3361</v>
      </c>
      <c r="B40" s="93" t="s">
        <v>3422</v>
      </c>
      <c r="C40" s="82" t="s">
        <v>3416</v>
      </c>
      <c r="D40" s="88" t="s">
        <v>3417</v>
      </c>
      <c r="E40" s="95">
        <v>-7350</v>
      </c>
      <c r="F40" s="53" t="s">
        <v>3409</v>
      </c>
      <c r="G40" s="58" t="s">
        <v>3367</v>
      </c>
    </row>
    <row r="41" spans="1:7" x14ac:dyDescent="0.3">
      <c r="A41" s="53" t="s">
        <v>3361</v>
      </c>
      <c r="B41" s="93" t="s">
        <v>3423</v>
      </c>
      <c r="C41" s="82" t="s">
        <v>3416</v>
      </c>
      <c r="D41" s="88" t="s">
        <v>3417</v>
      </c>
      <c r="E41" s="95">
        <v>-7350</v>
      </c>
      <c r="F41" s="53" t="s">
        <v>3410</v>
      </c>
      <c r="G41" s="58" t="s">
        <v>3367</v>
      </c>
    </row>
    <row r="42" spans="1:7" x14ac:dyDescent="0.3">
      <c r="A42" s="53" t="s">
        <v>3361</v>
      </c>
      <c r="B42" s="93" t="s">
        <v>3424</v>
      </c>
      <c r="C42" s="82" t="s">
        <v>3416</v>
      </c>
      <c r="D42" s="88" t="s">
        <v>3371</v>
      </c>
      <c r="E42" s="95">
        <v>-7350</v>
      </c>
      <c r="F42" s="53"/>
      <c r="G42" s="58" t="s">
        <v>3363</v>
      </c>
    </row>
    <row r="43" spans="1:7" x14ac:dyDescent="0.3">
      <c r="A43" s="53" t="s">
        <v>3361</v>
      </c>
      <c r="B43" s="93" t="s">
        <v>3425</v>
      </c>
      <c r="C43" s="82" t="s">
        <v>3426</v>
      </c>
      <c r="D43" s="88" t="s">
        <v>3371</v>
      </c>
      <c r="E43" s="95">
        <v>-7350</v>
      </c>
      <c r="F43" s="53"/>
      <c r="G43" s="58" t="s">
        <v>3363</v>
      </c>
    </row>
    <row r="44" spans="1:7" x14ac:dyDescent="0.3">
      <c r="A44" s="53" t="s">
        <v>3361</v>
      </c>
      <c r="B44" s="93" t="s">
        <v>3427</v>
      </c>
      <c r="C44" s="82" t="s">
        <v>3397</v>
      </c>
      <c r="D44" s="88" t="s">
        <v>3373</v>
      </c>
      <c r="E44" s="95">
        <v>-7350</v>
      </c>
      <c r="F44" s="53"/>
      <c r="G44" s="58" t="s">
        <v>3363</v>
      </c>
    </row>
    <row r="45" spans="1:7" x14ac:dyDescent="0.3">
      <c r="A45" s="53" t="s">
        <v>3361</v>
      </c>
      <c r="B45" s="93" t="s">
        <v>3428</v>
      </c>
      <c r="C45" s="82" t="s">
        <v>3429</v>
      </c>
      <c r="D45" s="88" t="s">
        <v>3373</v>
      </c>
      <c r="E45" s="95">
        <v>-7350</v>
      </c>
      <c r="F45" s="53"/>
      <c r="G45" s="58" t="s">
        <v>3363</v>
      </c>
    </row>
    <row r="46" spans="1:7" x14ac:dyDescent="0.3">
      <c r="A46" s="53" t="s">
        <v>3361</v>
      </c>
      <c r="B46" s="93" t="s">
        <v>3430</v>
      </c>
      <c r="C46" s="82" t="s">
        <v>3397</v>
      </c>
      <c r="D46" s="88" t="s">
        <v>3373</v>
      </c>
      <c r="E46" s="95">
        <v>-7350</v>
      </c>
      <c r="F46" s="53"/>
      <c r="G46" s="58" t="s">
        <v>3363</v>
      </c>
    </row>
    <row r="47" spans="1:7" x14ac:dyDescent="0.3">
      <c r="A47" s="53" t="s">
        <v>3361</v>
      </c>
      <c r="B47" s="93" t="s">
        <v>3431</v>
      </c>
      <c r="C47" s="82" t="s">
        <v>3397</v>
      </c>
      <c r="D47" s="88" t="s">
        <v>3373</v>
      </c>
      <c r="E47" s="95">
        <v>-7350</v>
      </c>
      <c r="F47" s="53"/>
      <c r="G47" s="58" t="s">
        <v>3363</v>
      </c>
    </row>
    <row r="48" spans="1:7" x14ac:dyDescent="0.3">
      <c r="A48" s="53" t="s">
        <v>3361</v>
      </c>
      <c r="B48" s="93" t="s">
        <v>3432</v>
      </c>
      <c r="C48" s="82" t="s">
        <v>3397</v>
      </c>
      <c r="D48" s="88" t="s">
        <v>3373</v>
      </c>
      <c r="E48" s="95">
        <v>-7350</v>
      </c>
      <c r="F48" s="53"/>
      <c r="G48" s="58" t="s">
        <v>3363</v>
      </c>
    </row>
    <row r="49" spans="1:7" x14ac:dyDescent="0.3">
      <c r="A49" s="53" t="s">
        <v>3361</v>
      </c>
      <c r="B49" s="93" t="s">
        <v>3433</v>
      </c>
      <c r="C49" s="82" t="s">
        <v>3397</v>
      </c>
      <c r="D49" s="88" t="s">
        <v>3373</v>
      </c>
      <c r="E49" s="95">
        <v>-7350</v>
      </c>
      <c r="F49" s="53"/>
      <c r="G49" s="58" t="s">
        <v>3363</v>
      </c>
    </row>
    <row r="50" spans="1:7" x14ac:dyDescent="0.3">
      <c r="A50" s="53" t="s">
        <v>3361</v>
      </c>
      <c r="B50" s="93" t="s">
        <v>3434</v>
      </c>
      <c r="C50" s="82" t="s">
        <v>3397</v>
      </c>
      <c r="D50" s="88" t="s">
        <v>3373</v>
      </c>
      <c r="E50" s="95">
        <v>-7350</v>
      </c>
      <c r="F50" s="53"/>
      <c r="G50" s="58" t="s">
        <v>3363</v>
      </c>
    </row>
    <row r="51" spans="1:7" x14ac:dyDescent="0.3">
      <c r="A51" s="53" t="s">
        <v>3361</v>
      </c>
      <c r="B51" s="93" t="s">
        <v>3435</v>
      </c>
      <c r="C51" s="82" t="s">
        <v>3436</v>
      </c>
      <c r="D51" s="88" t="s">
        <v>3437</v>
      </c>
      <c r="E51" s="95">
        <v>-7350</v>
      </c>
      <c r="F51" s="53" t="s">
        <v>3411</v>
      </c>
      <c r="G51" s="58" t="s">
        <v>3367</v>
      </c>
    </row>
    <row r="52" spans="1:7" x14ac:dyDescent="0.3">
      <c r="A52" s="53" t="s">
        <v>3361</v>
      </c>
      <c r="B52" s="93" t="s">
        <v>3438</v>
      </c>
      <c r="C52" s="82" t="s">
        <v>3436</v>
      </c>
      <c r="D52" s="88" t="s">
        <v>3437</v>
      </c>
      <c r="E52" s="95">
        <v>-7350</v>
      </c>
      <c r="F52" s="53"/>
      <c r="G52" s="58" t="s">
        <v>3363</v>
      </c>
    </row>
    <row r="53" spans="1:7" x14ac:dyDescent="0.3">
      <c r="A53" s="53" t="s">
        <v>3361</v>
      </c>
      <c r="B53" s="93" t="s">
        <v>3439</v>
      </c>
      <c r="C53" s="82" t="s">
        <v>3436</v>
      </c>
      <c r="D53" s="88" t="s">
        <v>3437</v>
      </c>
      <c r="E53" s="95">
        <v>-7350</v>
      </c>
      <c r="F53" s="53"/>
      <c r="G53" s="58" t="s">
        <v>3363</v>
      </c>
    </row>
    <row r="54" spans="1:7" x14ac:dyDescent="0.3">
      <c r="A54" s="53" t="s">
        <v>3361</v>
      </c>
      <c r="B54" s="93" t="s">
        <v>3440</v>
      </c>
      <c r="C54" s="82" t="s">
        <v>3397</v>
      </c>
      <c r="D54" s="88" t="s">
        <v>3437</v>
      </c>
      <c r="E54" s="95">
        <v>-7350</v>
      </c>
      <c r="F54" s="53" t="s">
        <v>3413</v>
      </c>
      <c r="G54" s="58" t="s">
        <v>3367</v>
      </c>
    </row>
    <row r="55" spans="1:7" x14ac:dyDescent="0.3">
      <c r="A55" s="53" t="s">
        <v>3361</v>
      </c>
      <c r="B55" s="93" t="s">
        <v>3441</v>
      </c>
      <c r="C55" s="82" t="s">
        <v>3397</v>
      </c>
      <c r="D55" s="88" t="s">
        <v>3437</v>
      </c>
      <c r="E55" s="95">
        <v>-7350</v>
      </c>
      <c r="F55" s="53"/>
      <c r="G55" s="58" t="s">
        <v>3363</v>
      </c>
    </row>
  </sheetData>
  <autoFilter ref="A22:G55" xr:uid="{78C24956-B857-486C-AF89-1F900C9FEFBA}"/>
  <mergeCells count="5">
    <mergeCell ref="E2:G2"/>
    <mergeCell ref="E9:G9"/>
    <mergeCell ref="A2:C2"/>
    <mergeCell ref="A3:C3"/>
    <mergeCell ref="A20:B20"/>
  </mergeCells>
  <pageMargins left="0.7" right="0.7" top="0.75" bottom="0.75" header="0.3" footer="0.3"/>
  <ignoredErrors>
    <ignoredError sqref="D35:D5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72A1-A192-467D-AF2F-0CBB9066E659}">
  <dimension ref="A1:Q31"/>
  <sheetViews>
    <sheetView workbookViewId="0">
      <selection sqref="A1:C1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6.5546875" bestFit="1" customWidth="1"/>
    <col min="5" max="5" width="12.5546875" bestFit="1" customWidth="1"/>
    <col min="6" max="6" width="14.44140625" bestFit="1" customWidth="1"/>
    <col min="7" max="7" width="15.44140625" bestFit="1" customWidth="1"/>
    <col min="8" max="8" width="20" bestFit="1" customWidth="1"/>
  </cols>
  <sheetData>
    <row r="1" spans="1:17" x14ac:dyDescent="0.3">
      <c r="A1" s="114" t="s">
        <v>3354</v>
      </c>
      <c r="B1" s="114"/>
      <c r="C1" s="114"/>
      <c r="E1" s="114" t="s">
        <v>3361</v>
      </c>
      <c r="F1" s="114"/>
      <c r="G1" s="114"/>
    </row>
    <row r="2" spans="1:17" x14ac:dyDescent="0.3">
      <c r="A2" s="27" t="s">
        <v>3357</v>
      </c>
      <c r="B2" t="s">
        <v>3358</v>
      </c>
      <c r="C2" t="s">
        <v>3359</v>
      </c>
      <c r="E2" s="27" t="s">
        <v>3357</v>
      </c>
      <c r="F2" t="s">
        <v>3358</v>
      </c>
      <c r="G2" t="s">
        <v>3368</v>
      </c>
    </row>
    <row r="3" spans="1:17" x14ac:dyDescent="0.3">
      <c r="A3" s="44">
        <v>2019</v>
      </c>
      <c r="B3" s="26">
        <v>-66150</v>
      </c>
      <c r="C3">
        <v>9</v>
      </c>
      <c r="E3" s="25" t="s">
        <v>3417</v>
      </c>
      <c r="F3" s="26">
        <v>-51450</v>
      </c>
      <c r="G3">
        <v>7</v>
      </c>
    </row>
    <row r="4" spans="1:17" x14ac:dyDescent="0.3">
      <c r="A4" s="44">
        <v>2022</v>
      </c>
      <c r="B4" s="26">
        <v>-14700</v>
      </c>
      <c r="C4">
        <v>2</v>
      </c>
      <c r="E4" s="25" t="s">
        <v>3371</v>
      </c>
      <c r="F4" s="26">
        <v>-14700</v>
      </c>
      <c r="G4">
        <v>2</v>
      </c>
    </row>
    <row r="5" spans="1:17" x14ac:dyDescent="0.3">
      <c r="A5" s="44">
        <v>2023</v>
      </c>
      <c r="B5" s="26">
        <v>-7350</v>
      </c>
      <c r="C5">
        <v>1</v>
      </c>
      <c r="E5" s="25" t="s">
        <v>3373</v>
      </c>
      <c r="F5" s="26">
        <v>-51450</v>
      </c>
      <c r="G5">
        <v>7</v>
      </c>
    </row>
    <row r="6" spans="1:17" x14ac:dyDescent="0.3">
      <c r="A6" s="44" t="s">
        <v>3362</v>
      </c>
      <c r="B6" s="26">
        <v>-88200</v>
      </c>
      <c r="C6">
        <v>12</v>
      </c>
      <c r="E6" s="25" t="s">
        <v>3437</v>
      </c>
      <c r="F6" s="26">
        <v>-36750</v>
      </c>
      <c r="G6">
        <v>5</v>
      </c>
    </row>
    <row r="7" spans="1:17" x14ac:dyDescent="0.3">
      <c r="E7" s="25" t="s">
        <v>3362</v>
      </c>
      <c r="F7" s="26">
        <v>-154350</v>
      </c>
      <c r="G7">
        <v>21</v>
      </c>
    </row>
    <row r="9" spans="1:17" x14ac:dyDescent="0.3">
      <c r="A9" s="113" t="s">
        <v>3354</v>
      </c>
      <c r="B9" s="113"/>
      <c r="C9" s="113"/>
      <c r="D9" s="113"/>
      <c r="E9" s="113"/>
      <c r="F9" s="113"/>
      <c r="G9" s="113"/>
      <c r="I9" s="113" t="s">
        <v>3361</v>
      </c>
      <c r="J9" s="113"/>
      <c r="K9" s="113"/>
      <c r="L9" s="113"/>
      <c r="M9" s="113"/>
      <c r="N9" s="113"/>
      <c r="O9" s="113"/>
      <c r="P9" s="113"/>
      <c r="Q9" s="113"/>
    </row>
    <row r="10" spans="1:17" ht="28.8" x14ac:dyDescent="0.3">
      <c r="A10" s="28" t="s">
        <v>3442</v>
      </c>
      <c r="B10" s="28" t="s">
        <v>2948</v>
      </c>
      <c r="C10" s="28" t="s">
        <v>3375</v>
      </c>
      <c r="D10" s="29" t="s">
        <v>2949</v>
      </c>
      <c r="E10" s="28" t="s">
        <v>3443</v>
      </c>
      <c r="F10" s="30" t="s">
        <v>2950</v>
      </c>
      <c r="G10" s="30" t="s">
        <v>3444</v>
      </c>
      <c r="I10" s="38" t="s">
        <v>3445</v>
      </c>
      <c r="J10" s="38" t="s">
        <v>3375</v>
      </c>
      <c r="K10" s="38" t="s">
        <v>3446</v>
      </c>
      <c r="L10" s="38" t="s">
        <v>3447</v>
      </c>
      <c r="M10" s="38" t="s">
        <v>3448</v>
      </c>
      <c r="N10" s="38" t="s">
        <v>3449</v>
      </c>
      <c r="O10" s="38" t="s">
        <v>3450</v>
      </c>
      <c r="P10" s="38" t="s">
        <v>2950</v>
      </c>
      <c r="Q10" s="38" t="s">
        <v>2951</v>
      </c>
    </row>
    <row r="11" spans="1:17" ht="129.6" x14ac:dyDescent="0.3">
      <c r="A11" s="43" t="s">
        <v>3451</v>
      </c>
      <c r="B11" s="32" t="s">
        <v>3452</v>
      </c>
      <c r="C11" s="34">
        <v>2019</v>
      </c>
      <c r="D11" s="35" t="s">
        <v>205</v>
      </c>
      <c r="E11" s="32" t="s">
        <v>3453</v>
      </c>
      <c r="F11" s="36">
        <v>-7350</v>
      </c>
      <c r="G11" s="37">
        <v>573625.99999999977</v>
      </c>
      <c r="H11" s="26">
        <f>B11-I11</f>
        <v>0</v>
      </c>
      <c r="I11" s="91" t="s">
        <v>3415</v>
      </c>
      <c r="J11" s="39" t="s">
        <v>3417</v>
      </c>
      <c r="K11" s="40" t="s">
        <v>27</v>
      </c>
      <c r="L11" s="40" t="s">
        <v>3397</v>
      </c>
      <c r="M11" s="40" t="s">
        <v>3454</v>
      </c>
      <c r="N11" s="40" t="s">
        <v>3416</v>
      </c>
      <c r="O11" s="40" t="s">
        <v>3397</v>
      </c>
      <c r="P11" s="41">
        <v>-7350</v>
      </c>
      <c r="Q11" s="42">
        <v>576286.7000000003</v>
      </c>
    </row>
    <row r="12" spans="1:17" ht="129.6" x14ac:dyDescent="0.3">
      <c r="A12" s="43" t="s">
        <v>3451</v>
      </c>
      <c r="B12" s="32" t="s">
        <v>3455</v>
      </c>
      <c r="C12" s="34">
        <v>2019</v>
      </c>
      <c r="D12" s="35" t="s">
        <v>213</v>
      </c>
      <c r="E12" s="32" t="s">
        <v>3453</v>
      </c>
      <c r="F12" s="36">
        <v>-7350</v>
      </c>
      <c r="G12" s="37">
        <v>559712.34999999974</v>
      </c>
      <c r="H12" s="26">
        <f t="shared" ref="H12:H22" si="0">B12-I12</f>
        <v>-3</v>
      </c>
      <c r="I12" s="91" t="s">
        <v>3418</v>
      </c>
      <c r="J12" s="39" t="s">
        <v>3417</v>
      </c>
      <c r="K12" s="40" t="s">
        <v>27</v>
      </c>
      <c r="L12" s="40" t="s">
        <v>3397</v>
      </c>
      <c r="M12" s="40" t="s">
        <v>3454</v>
      </c>
      <c r="N12" s="40" t="s">
        <v>3416</v>
      </c>
      <c r="O12" s="40" t="s">
        <v>3397</v>
      </c>
      <c r="P12" s="41">
        <v>-7350</v>
      </c>
      <c r="Q12" s="42">
        <v>582917.35000000033</v>
      </c>
    </row>
    <row r="13" spans="1:17" ht="129.6" x14ac:dyDescent="0.3">
      <c r="A13" s="43" t="s">
        <v>3451</v>
      </c>
      <c r="B13" s="32" t="s">
        <v>3456</v>
      </c>
      <c r="C13" s="34">
        <v>2019</v>
      </c>
      <c r="D13" s="35" t="s">
        <v>3029</v>
      </c>
      <c r="E13" s="32" t="s">
        <v>3453</v>
      </c>
      <c r="F13" s="36">
        <v>-7350</v>
      </c>
      <c r="G13" s="37">
        <v>561833.9</v>
      </c>
      <c r="H13" s="26">
        <f t="shared" si="0"/>
        <v>-7</v>
      </c>
      <c r="I13" s="91" t="s">
        <v>3419</v>
      </c>
      <c r="J13" s="39" t="s">
        <v>3417</v>
      </c>
      <c r="K13" s="40" t="s">
        <v>27</v>
      </c>
      <c r="L13" s="40" t="s">
        <v>3397</v>
      </c>
      <c r="M13" s="40" t="s">
        <v>3454</v>
      </c>
      <c r="N13" s="40" t="s">
        <v>3416</v>
      </c>
      <c r="O13" s="40" t="s">
        <v>3397</v>
      </c>
      <c r="P13" s="41">
        <v>-7350</v>
      </c>
      <c r="Q13" s="42">
        <v>484605.01000000059</v>
      </c>
    </row>
    <row r="14" spans="1:17" ht="129.6" x14ac:dyDescent="0.3">
      <c r="A14" s="43" t="s">
        <v>3451</v>
      </c>
      <c r="B14" s="32" t="s">
        <v>3457</v>
      </c>
      <c r="C14" s="34">
        <v>2019</v>
      </c>
      <c r="D14" s="35" t="s">
        <v>3031</v>
      </c>
      <c r="E14" s="32" t="s">
        <v>3453</v>
      </c>
      <c r="F14" s="36">
        <v>-7350</v>
      </c>
      <c r="G14" s="37">
        <v>491239.31000000011</v>
      </c>
      <c r="H14" s="26">
        <f t="shared" si="0"/>
        <v>-26</v>
      </c>
      <c r="I14" s="91" t="s">
        <v>3420</v>
      </c>
      <c r="J14" s="39" t="s">
        <v>3417</v>
      </c>
      <c r="K14" s="40" t="s">
        <v>27</v>
      </c>
      <c r="L14" s="40" t="s">
        <v>3397</v>
      </c>
      <c r="M14" s="40" t="s">
        <v>3454</v>
      </c>
      <c r="N14" s="40" t="s">
        <v>3416</v>
      </c>
      <c r="O14" s="40" t="s">
        <v>3397</v>
      </c>
      <c r="P14" s="41">
        <v>-7350</v>
      </c>
      <c r="Q14" s="42">
        <v>502662.82000000059</v>
      </c>
    </row>
    <row r="15" spans="1:17" ht="129.6" x14ac:dyDescent="0.3">
      <c r="A15" s="43" t="s">
        <v>3451</v>
      </c>
      <c r="B15" s="32" t="s">
        <v>3458</v>
      </c>
      <c r="C15" s="34">
        <v>2019</v>
      </c>
      <c r="D15" s="35" t="s">
        <v>3032</v>
      </c>
      <c r="E15" s="32" t="s">
        <v>3453</v>
      </c>
      <c r="F15" s="36">
        <v>-7350</v>
      </c>
      <c r="G15" s="37">
        <v>486010.6</v>
      </c>
      <c r="H15" s="26">
        <f t="shared" si="0"/>
        <v>-35</v>
      </c>
      <c r="I15" s="91" t="s">
        <v>3421</v>
      </c>
      <c r="J15" s="39" t="s">
        <v>3417</v>
      </c>
      <c r="K15" s="40" t="s">
        <v>27</v>
      </c>
      <c r="L15" s="40" t="s">
        <v>3397</v>
      </c>
      <c r="M15" s="40" t="s">
        <v>3454</v>
      </c>
      <c r="N15" s="40" t="s">
        <v>3416</v>
      </c>
      <c r="O15" s="40" t="s">
        <v>3397</v>
      </c>
      <c r="P15" s="41">
        <v>-7350</v>
      </c>
      <c r="Q15" s="42">
        <v>239915.38000000062</v>
      </c>
    </row>
    <row r="16" spans="1:17" ht="129.6" x14ac:dyDescent="0.3">
      <c r="A16" s="43" t="s">
        <v>3451</v>
      </c>
      <c r="B16" s="32" t="s">
        <v>3459</v>
      </c>
      <c r="C16" s="34">
        <v>2019</v>
      </c>
      <c r="D16" s="35" t="s">
        <v>3033</v>
      </c>
      <c r="E16" s="32" t="s">
        <v>3453</v>
      </c>
      <c r="F16" s="36">
        <v>-7350</v>
      </c>
      <c r="G16" s="37">
        <v>484124.56</v>
      </c>
      <c r="H16" s="26">
        <f t="shared" si="0"/>
        <v>-214</v>
      </c>
      <c r="I16" s="91" t="s">
        <v>3422</v>
      </c>
      <c r="J16" s="39" t="s">
        <v>3417</v>
      </c>
      <c r="K16" s="40" t="s">
        <v>27</v>
      </c>
      <c r="L16" s="40" t="s">
        <v>3397</v>
      </c>
      <c r="M16" s="40" t="s">
        <v>3454</v>
      </c>
      <c r="N16" s="40" t="s">
        <v>3416</v>
      </c>
      <c r="O16" s="40" t="s">
        <v>3397</v>
      </c>
      <c r="P16" s="41">
        <v>-7350</v>
      </c>
      <c r="Q16" s="42">
        <v>179517.86000000068</v>
      </c>
    </row>
    <row r="17" spans="1:17" ht="129.6" x14ac:dyDescent="0.3">
      <c r="A17" s="43" t="s">
        <v>3451</v>
      </c>
      <c r="B17" s="32" t="s">
        <v>3460</v>
      </c>
      <c r="C17" s="34">
        <v>2019</v>
      </c>
      <c r="D17" s="35" t="s">
        <v>301</v>
      </c>
      <c r="E17" s="32" t="s">
        <v>3453</v>
      </c>
      <c r="F17" s="36">
        <v>-7350</v>
      </c>
      <c r="G17" s="37">
        <v>478914.72</v>
      </c>
      <c r="H17" s="26">
        <f t="shared" si="0"/>
        <v>-230</v>
      </c>
      <c r="I17" s="91" t="s">
        <v>3423</v>
      </c>
      <c r="J17" s="39" t="s">
        <v>3417</v>
      </c>
      <c r="K17" s="40" t="s">
        <v>27</v>
      </c>
      <c r="L17" s="40" t="s">
        <v>3397</v>
      </c>
      <c r="M17" s="40" t="s">
        <v>3454</v>
      </c>
      <c r="N17" s="40" t="s">
        <v>3416</v>
      </c>
      <c r="O17" s="40" t="s">
        <v>3397</v>
      </c>
      <c r="P17" s="41">
        <v>-7350</v>
      </c>
      <c r="Q17" s="42">
        <v>243269.24000000069</v>
      </c>
    </row>
    <row r="18" spans="1:17" ht="129.6" x14ac:dyDescent="0.3">
      <c r="A18" s="43" t="s">
        <v>3451</v>
      </c>
      <c r="B18" s="32" t="s">
        <v>3460</v>
      </c>
      <c r="C18" s="34">
        <v>2019</v>
      </c>
      <c r="D18" s="35" t="s">
        <v>3034</v>
      </c>
      <c r="E18" s="32" t="s">
        <v>3453</v>
      </c>
      <c r="F18" s="36">
        <v>-7350</v>
      </c>
      <c r="G18" s="37">
        <v>471476.33</v>
      </c>
      <c r="H18" s="26">
        <f t="shared" si="0"/>
        <v>-261</v>
      </c>
      <c r="I18" s="91" t="s">
        <v>3424</v>
      </c>
      <c r="J18" s="39" t="s">
        <v>3371</v>
      </c>
      <c r="K18" s="40" t="s">
        <v>27</v>
      </c>
      <c r="L18" s="40" t="s">
        <v>3397</v>
      </c>
      <c r="M18" s="40" t="s">
        <v>3454</v>
      </c>
      <c r="N18" s="40" t="s">
        <v>3416</v>
      </c>
      <c r="O18" s="40" t="s">
        <v>3397</v>
      </c>
      <c r="P18" s="41">
        <v>-7350</v>
      </c>
      <c r="Q18" s="42">
        <v>335732.89000000065</v>
      </c>
    </row>
    <row r="19" spans="1:17" ht="129.6" x14ac:dyDescent="0.3">
      <c r="A19" s="43" t="s">
        <v>3451</v>
      </c>
      <c r="B19" s="32" t="s">
        <v>3461</v>
      </c>
      <c r="C19" s="34">
        <v>2019</v>
      </c>
      <c r="D19" s="35" t="s">
        <v>3035</v>
      </c>
      <c r="E19" s="32" t="s">
        <v>3453</v>
      </c>
      <c r="F19" s="36">
        <v>-7350</v>
      </c>
      <c r="G19" s="37">
        <v>301434.40000000008</v>
      </c>
      <c r="H19" s="26">
        <f t="shared" si="0"/>
        <v>-39</v>
      </c>
      <c r="I19" s="91" t="s">
        <v>3425</v>
      </c>
      <c r="J19" s="39" t="s">
        <v>3371</v>
      </c>
      <c r="K19" s="40" t="s">
        <v>27</v>
      </c>
      <c r="L19" s="40" t="s">
        <v>3397</v>
      </c>
      <c r="M19" s="40" t="s">
        <v>3454</v>
      </c>
      <c r="N19" s="40" t="s">
        <v>3426</v>
      </c>
      <c r="O19" s="40" t="s">
        <v>3397</v>
      </c>
      <c r="P19" s="41">
        <v>-7350</v>
      </c>
      <c r="Q19" s="42">
        <v>530530.99000000057</v>
      </c>
    </row>
    <row r="20" spans="1:17" ht="129.6" x14ac:dyDescent="0.3">
      <c r="A20" s="43" t="s">
        <v>3451</v>
      </c>
      <c r="B20" s="32" t="s">
        <v>3462</v>
      </c>
      <c r="C20" s="34">
        <v>2022</v>
      </c>
      <c r="D20" s="35" t="s">
        <v>1524</v>
      </c>
      <c r="E20" s="32" t="s">
        <v>3453</v>
      </c>
      <c r="F20" s="36">
        <v>-7350</v>
      </c>
      <c r="G20" s="37">
        <v>748320.93</v>
      </c>
      <c r="H20" s="26">
        <f t="shared" si="0"/>
        <v>424</v>
      </c>
      <c r="I20" s="91" t="s">
        <v>3427</v>
      </c>
      <c r="J20" s="39" t="s">
        <v>3373</v>
      </c>
      <c r="K20" s="40" t="s">
        <v>27</v>
      </c>
      <c r="L20" s="40" t="s">
        <v>3397</v>
      </c>
      <c r="M20" s="40" t="s">
        <v>3454</v>
      </c>
      <c r="N20" s="40" t="s">
        <v>3397</v>
      </c>
      <c r="O20" s="40" t="s">
        <v>3397</v>
      </c>
      <c r="P20" s="41">
        <v>-7350</v>
      </c>
      <c r="Q20" s="42">
        <v>585322.7500000007</v>
      </c>
    </row>
    <row r="21" spans="1:17" ht="129.6" x14ac:dyDescent="0.3">
      <c r="A21" s="43" t="s">
        <v>3451</v>
      </c>
      <c r="B21" s="32" t="s">
        <v>3412</v>
      </c>
      <c r="C21" s="34">
        <v>2022</v>
      </c>
      <c r="D21" s="35" t="s">
        <v>3036</v>
      </c>
      <c r="E21" s="32" t="s">
        <v>3453</v>
      </c>
      <c r="F21" s="36">
        <v>-7350</v>
      </c>
      <c r="G21" s="37">
        <v>658764.92000000004</v>
      </c>
      <c r="H21" s="26">
        <f t="shared" si="0"/>
        <v>557</v>
      </c>
      <c r="I21" s="91" t="s">
        <v>3428</v>
      </c>
      <c r="J21" s="39" t="s">
        <v>3373</v>
      </c>
      <c r="K21" s="40" t="s">
        <v>27</v>
      </c>
      <c r="L21" s="40" t="s">
        <v>3397</v>
      </c>
      <c r="M21" s="40" t="s">
        <v>3454</v>
      </c>
      <c r="N21" s="40" t="s">
        <v>3429</v>
      </c>
      <c r="O21" s="40" t="s">
        <v>3397</v>
      </c>
      <c r="P21" s="41">
        <v>-7350</v>
      </c>
      <c r="Q21" s="42">
        <v>455962.2400000011</v>
      </c>
    </row>
    <row r="22" spans="1:17" ht="129.6" x14ac:dyDescent="0.3">
      <c r="A22" s="32" t="s">
        <v>3451</v>
      </c>
      <c r="B22" s="32" t="s">
        <v>3414</v>
      </c>
      <c r="C22" s="34">
        <v>2023</v>
      </c>
      <c r="D22" s="35" t="s">
        <v>3037</v>
      </c>
      <c r="E22" s="32" t="s">
        <v>3453</v>
      </c>
      <c r="F22" s="36">
        <v>-7350</v>
      </c>
      <c r="G22" s="37">
        <v>1242182.24</v>
      </c>
      <c r="H22" s="26">
        <f t="shared" si="0"/>
        <v>613</v>
      </c>
      <c r="I22" s="91" t="s">
        <v>3430</v>
      </c>
      <c r="J22" s="39" t="s">
        <v>3373</v>
      </c>
      <c r="K22" s="40" t="s">
        <v>27</v>
      </c>
      <c r="L22" s="40" t="s">
        <v>3397</v>
      </c>
      <c r="M22" s="40" t="s">
        <v>3454</v>
      </c>
      <c r="N22" s="40" t="s">
        <v>3397</v>
      </c>
      <c r="O22" s="40" t="s">
        <v>3397</v>
      </c>
      <c r="P22" s="41">
        <v>-7350</v>
      </c>
      <c r="Q22" s="42">
        <v>410798.21000000107</v>
      </c>
    </row>
    <row r="23" spans="1:17" ht="28.8" x14ac:dyDescent="0.3">
      <c r="H23" s="26"/>
      <c r="I23" s="91" t="s">
        <v>3431</v>
      </c>
      <c r="J23" s="39" t="s">
        <v>3373</v>
      </c>
      <c r="K23" s="40" t="s">
        <v>27</v>
      </c>
      <c r="L23" s="40" t="s">
        <v>3397</v>
      </c>
      <c r="M23" s="40" t="s">
        <v>3454</v>
      </c>
      <c r="N23" s="40" t="s">
        <v>3397</v>
      </c>
      <c r="O23" s="40" t="s">
        <v>3397</v>
      </c>
      <c r="P23" s="41">
        <v>-7350</v>
      </c>
      <c r="Q23" s="42">
        <v>446924.87000000104</v>
      </c>
    </row>
    <row r="24" spans="1:17" ht="28.8" x14ac:dyDescent="0.3">
      <c r="H24" s="26"/>
      <c r="I24" s="91" t="s">
        <v>3432</v>
      </c>
      <c r="J24" s="39" t="s">
        <v>3373</v>
      </c>
      <c r="K24" s="40" t="s">
        <v>27</v>
      </c>
      <c r="L24" s="40" t="s">
        <v>3397</v>
      </c>
      <c r="M24" s="40" t="s">
        <v>3454</v>
      </c>
      <c r="N24" s="40" t="s">
        <v>3397</v>
      </c>
      <c r="O24" s="40" t="s">
        <v>3397</v>
      </c>
      <c r="P24" s="41">
        <v>-7350</v>
      </c>
      <c r="Q24" s="42">
        <v>446949.30000000098</v>
      </c>
    </row>
    <row r="25" spans="1:17" ht="28.8" x14ac:dyDescent="0.3">
      <c r="H25" s="26"/>
      <c r="I25" s="91" t="s">
        <v>3433</v>
      </c>
      <c r="J25" s="39" t="s">
        <v>3373</v>
      </c>
      <c r="K25" s="40" t="s">
        <v>27</v>
      </c>
      <c r="L25" s="40" t="s">
        <v>3397</v>
      </c>
      <c r="M25" s="40" t="s">
        <v>3454</v>
      </c>
      <c r="N25" s="40" t="s">
        <v>3397</v>
      </c>
      <c r="O25" s="40" t="s">
        <v>3397</v>
      </c>
      <c r="P25" s="41">
        <v>-7350</v>
      </c>
      <c r="Q25" s="42">
        <v>492621.44000000093</v>
      </c>
    </row>
    <row r="26" spans="1:17" ht="28.8" x14ac:dyDescent="0.3">
      <c r="H26" s="26"/>
      <c r="I26" s="91" t="s">
        <v>3434</v>
      </c>
      <c r="J26" s="39" t="s">
        <v>3373</v>
      </c>
      <c r="K26" s="40" t="s">
        <v>27</v>
      </c>
      <c r="L26" s="40" t="s">
        <v>3397</v>
      </c>
      <c r="M26" s="40" t="s">
        <v>3454</v>
      </c>
      <c r="N26" s="40" t="s">
        <v>3397</v>
      </c>
      <c r="O26" s="40" t="s">
        <v>3397</v>
      </c>
      <c r="P26" s="41">
        <v>-7350</v>
      </c>
      <c r="Q26" s="42">
        <v>521685.99000000092</v>
      </c>
    </row>
    <row r="27" spans="1:17" ht="57.6" x14ac:dyDescent="0.3">
      <c r="H27" s="26"/>
      <c r="I27" s="91" t="s">
        <v>3435</v>
      </c>
      <c r="J27" s="39" t="s">
        <v>3437</v>
      </c>
      <c r="K27" s="40" t="s">
        <v>27</v>
      </c>
      <c r="L27" s="40" t="s">
        <v>3397</v>
      </c>
      <c r="M27" s="40" t="s">
        <v>3454</v>
      </c>
      <c r="N27" s="40" t="s">
        <v>3436</v>
      </c>
      <c r="O27" s="40" t="s">
        <v>3397</v>
      </c>
      <c r="P27" s="41">
        <v>-7350</v>
      </c>
      <c r="Q27" s="42">
        <v>834546.68000000133</v>
      </c>
    </row>
    <row r="28" spans="1:17" ht="57.6" x14ac:dyDescent="0.3">
      <c r="H28" s="26"/>
      <c r="I28" s="91" t="s">
        <v>3438</v>
      </c>
      <c r="J28" s="39" t="s">
        <v>3437</v>
      </c>
      <c r="K28" s="40" t="s">
        <v>27</v>
      </c>
      <c r="L28" s="40" t="s">
        <v>3397</v>
      </c>
      <c r="M28" s="40" t="s">
        <v>3454</v>
      </c>
      <c r="N28" s="40" t="s">
        <v>3436</v>
      </c>
      <c r="O28" s="40" t="s">
        <v>3397</v>
      </c>
      <c r="P28" s="41">
        <v>-7350</v>
      </c>
      <c r="Q28" s="42">
        <v>702439.48000000173</v>
      </c>
    </row>
    <row r="29" spans="1:17" ht="57.6" x14ac:dyDescent="0.3">
      <c r="H29" s="26"/>
      <c r="I29" s="91" t="s">
        <v>3439</v>
      </c>
      <c r="J29" s="39" t="s">
        <v>3437</v>
      </c>
      <c r="K29" s="40" t="s">
        <v>27</v>
      </c>
      <c r="L29" s="40" t="s">
        <v>3397</v>
      </c>
      <c r="M29" s="40" t="s">
        <v>3454</v>
      </c>
      <c r="N29" s="40" t="s">
        <v>3436</v>
      </c>
      <c r="O29" s="40" t="s">
        <v>3397</v>
      </c>
      <c r="P29" s="41">
        <v>-7350</v>
      </c>
      <c r="Q29" s="42">
        <v>671726.54000000178</v>
      </c>
    </row>
    <row r="30" spans="1:17" ht="28.8" x14ac:dyDescent="0.3">
      <c r="H30" s="26"/>
      <c r="I30" s="91" t="s">
        <v>3440</v>
      </c>
      <c r="J30" s="39" t="s">
        <v>3437</v>
      </c>
      <c r="K30" s="40" t="s">
        <v>27</v>
      </c>
      <c r="L30" s="40" t="s">
        <v>3397</v>
      </c>
      <c r="M30" s="40" t="s">
        <v>3454</v>
      </c>
      <c r="N30" s="40" t="s">
        <v>3397</v>
      </c>
      <c r="O30" s="40" t="s">
        <v>3397</v>
      </c>
      <c r="P30" s="41">
        <v>-7350</v>
      </c>
      <c r="Q30" s="42">
        <v>532681.58000000182</v>
      </c>
    </row>
    <row r="31" spans="1:17" ht="28.8" x14ac:dyDescent="0.3">
      <c r="H31" s="26"/>
      <c r="I31" s="91" t="s">
        <v>3441</v>
      </c>
      <c r="J31" s="39" t="s">
        <v>3437</v>
      </c>
      <c r="K31" s="40" t="s">
        <v>27</v>
      </c>
      <c r="L31" s="40" t="s">
        <v>3397</v>
      </c>
      <c r="M31" s="40" t="s">
        <v>3454</v>
      </c>
      <c r="N31" s="40" t="s">
        <v>3397</v>
      </c>
      <c r="O31" s="40" t="s">
        <v>3397</v>
      </c>
      <c r="P31" s="41">
        <v>-7350</v>
      </c>
      <c r="Q31" s="42">
        <v>567921.26000000176</v>
      </c>
    </row>
  </sheetData>
  <mergeCells count="4">
    <mergeCell ref="I9:Q9"/>
    <mergeCell ref="A9:G9"/>
    <mergeCell ref="A1:C1"/>
    <mergeCell ref="E1:G1"/>
  </mergeCell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E73D-72C6-40BC-8E08-D02B667BC738}">
  <dimension ref="A1:Q33"/>
  <sheetViews>
    <sheetView tabSelected="1" workbookViewId="0">
      <selection activeCell="A8" sqref="A8:G8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6.5546875" bestFit="1" customWidth="1"/>
    <col min="4" max="4" width="29.109375" customWidth="1"/>
    <col min="5" max="5" width="20" bestFit="1" customWidth="1"/>
    <col min="6" max="6" width="14.44140625" bestFit="1" customWidth="1"/>
    <col min="7" max="7" width="19.88671875" bestFit="1" customWidth="1"/>
    <col min="9" max="9" width="15.109375" bestFit="1" customWidth="1"/>
    <col min="10" max="10" width="5" bestFit="1" customWidth="1"/>
    <col min="11" max="11" width="15.109375" bestFit="1" customWidth="1"/>
    <col min="12" max="12" width="5.109375" bestFit="1" customWidth="1"/>
    <col min="13" max="13" width="7" bestFit="1" customWidth="1"/>
    <col min="14" max="14" width="49.6640625" bestFit="1" customWidth="1"/>
    <col min="15" max="15" width="47.6640625" bestFit="1" customWidth="1"/>
    <col min="16" max="16" width="7.88671875" bestFit="1" customWidth="1"/>
    <col min="17" max="17" width="10" bestFit="1" customWidth="1"/>
  </cols>
  <sheetData>
    <row r="1" spans="1:17" x14ac:dyDescent="0.3">
      <c r="A1" s="24" t="s">
        <v>3463</v>
      </c>
      <c r="B1" s="24"/>
      <c r="C1" s="24"/>
      <c r="D1" s="24"/>
      <c r="E1" s="24" t="s">
        <v>3361</v>
      </c>
      <c r="F1" s="24"/>
      <c r="G1" s="24"/>
    </row>
    <row r="2" spans="1:17" x14ac:dyDescent="0.3">
      <c r="A2" s="27" t="s">
        <v>3357</v>
      </c>
      <c r="B2" s="27" t="s">
        <v>3358</v>
      </c>
      <c r="C2" t="s">
        <v>3359</v>
      </c>
      <c r="E2" s="27" t="s">
        <v>3357</v>
      </c>
      <c r="F2" s="27" t="s">
        <v>3358</v>
      </c>
      <c r="G2" t="s">
        <v>3368</v>
      </c>
    </row>
    <row r="3" spans="1:17" x14ac:dyDescent="0.3">
      <c r="A3" s="25">
        <v>2023</v>
      </c>
      <c r="B3" s="26">
        <v>-54400</v>
      </c>
      <c r="C3">
        <v>4</v>
      </c>
      <c r="E3" s="25" t="s">
        <v>3464</v>
      </c>
      <c r="F3">
        <v>-68000</v>
      </c>
      <c r="G3">
        <v>5</v>
      </c>
    </row>
    <row r="4" spans="1:17" x14ac:dyDescent="0.3">
      <c r="A4" s="25">
        <v>2024</v>
      </c>
      <c r="B4" s="26">
        <v>-190400</v>
      </c>
      <c r="C4">
        <v>14</v>
      </c>
      <c r="E4" s="25" t="s">
        <v>3465</v>
      </c>
      <c r="F4">
        <v>-136000</v>
      </c>
      <c r="G4">
        <v>10</v>
      </c>
    </row>
    <row r="5" spans="1:17" x14ac:dyDescent="0.3">
      <c r="A5" s="25">
        <v>2025</v>
      </c>
      <c r="B5" s="26">
        <v>-81600</v>
      </c>
      <c r="C5">
        <v>6</v>
      </c>
      <c r="E5" s="25" t="s">
        <v>3466</v>
      </c>
      <c r="F5">
        <v>-95200</v>
      </c>
      <c r="G5">
        <v>7</v>
      </c>
    </row>
    <row r="6" spans="1:17" x14ac:dyDescent="0.3">
      <c r="A6" s="25" t="s">
        <v>3362</v>
      </c>
      <c r="B6" s="26">
        <v>-326400</v>
      </c>
      <c r="C6">
        <v>24</v>
      </c>
      <c r="E6" s="25" t="s">
        <v>3362</v>
      </c>
      <c r="F6">
        <v>-299200</v>
      </c>
      <c r="G6">
        <v>22</v>
      </c>
    </row>
    <row r="8" spans="1:17" x14ac:dyDescent="0.3">
      <c r="A8" s="113" t="s">
        <v>3354</v>
      </c>
      <c r="B8" s="113"/>
      <c r="C8" s="113"/>
      <c r="D8" s="113"/>
      <c r="E8" s="113"/>
      <c r="F8" s="113"/>
      <c r="G8" s="113"/>
      <c r="I8" s="113" t="s">
        <v>3361</v>
      </c>
      <c r="J8" s="113"/>
      <c r="K8" s="113"/>
      <c r="L8" s="113"/>
      <c r="M8" s="113"/>
      <c r="N8" s="113"/>
      <c r="O8" s="113"/>
      <c r="P8" s="113"/>
      <c r="Q8" s="113"/>
    </row>
    <row r="9" spans="1:17" x14ac:dyDescent="0.3">
      <c r="A9" s="28" t="s">
        <v>3442</v>
      </c>
      <c r="B9" s="28" t="s">
        <v>2948</v>
      </c>
      <c r="C9" s="28" t="s">
        <v>3375</v>
      </c>
      <c r="D9" s="29" t="s">
        <v>2949</v>
      </c>
      <c r="E9" s="28" t="s">
        <v>3443</v>
      </c>
      <c r="F9" s="30" t="s">
        <v>2950</v>
      </c>
      <c r="G9" s="30" t="s">
        <v>3444</v>
      </c>
      <c r="I9" s="31" t="s">
        <v>3445</v>
      </c>
      <c r="J9" s="31" t="s">
        <v>3375</v>
      </c>
      <c r="K9" s="31" t="s">
        <v>3446</v>
      </c>
      <c r="L9" s="31" t="s">
        <v>3447</v>
      </c>
      <c r="M9" s="31" t="s">
        <v>3448</v>
      </c>
      <c r="N9" s="31" t="s">
        <v>3449</v>
      </c>
      <c r="O9" s="31" t="s">
        <v>3450</v>
      </c>
      <c r="P9" s="31" t="s">
        <v>2950</v>
      </c>
      <c r="Q9" s="31" t="s">
        <v>2951</v>
      </c>
    </row>
    <row r="10" spans="1:17" ht="28.8" x14ac:dyDescent="0.3">
      <c r="A10" s="32" t="s">
        <v>3467</v>
      </c>
      <c r="B10" s="33">
        <v>45225</v>
      </c>
      <c r="C10" s="34">
        <v>2023</v>
      </c>
      <c r="D10" s="35" t="s">
        <v>2984</v>
      </c>
      <c r="E10" s="32" t="s">
        <v>3468</v>
      </c>
      <c r="F10" s="36">
        <v>-13600</v>
      </c>
      <c r="G10" s="37">
        <v>364211.16999999969</v>
      </c>
      <c r="I10" s="9" t="s">
        <v>3469</v>
      </c>
      <c r="J10" s="9" t="s">
        <v>3464</v>
      </c>
      <c r="K10" s="9" t="s">
        <v>2004</v>
      </c>
      <c r="L10" s="9" t="s">
        <v>3397</v>
      </c>
      <c r="M10" s="9" t="s">
        <v>3454</v>
      </c>
      <c r="N10" s="9" t="s">
        <v>3470</v>
      </c>
      <c r="O10" s="9" t="s">
        <v>3397</v>
      </c>
      <c r="P10" s="9">
        <v>-13600</v>
      </c>
      <c r="Q10" s="9">
        <v>190252.24000000171</v>
      </c>
    </row>
    <row r="11" spans="1:17" ht="28.8" x14ac:dyDescent="0.3">
      <c r="A11" s="32" t="s">
        <v>3467</v>
      </c>
      <c r="B11" s="33">
        <v>45225</v>
      </c>
      <c r="C11" s="34">
        <v>2023</v>
      </c>
      <c r="D11" s="35" t="s">
        <v>2986</v>
      </c>
      <c r="E11" s="32" t="s">
        <v>3468</v>
      </c>
      <c r="F11" s="36">
        <v>-13600</v>
      </c>
      <c r="G11" s="37">
        <v>350611.16999999969</v>
      </c>
      <c r="I11" s="9" t="s">
        <v>3471</v>
      </c>
      <c r="J11" s="9" t="s">
        <v>3464</v>
      </c>
      <c r="K11" s="9" t="s">
        <v>2004</v>
      </c>
      <c r="L11" s="9" t="s">
        <v>3397</v>
      </c>
      <c r="M11" s="9" t="s">
        <v>3454</v>
      </c>
      <c r="N11" s="9" t="s">
        <v>3472</v>
      </c>
      <c r="O11" s="9" t="s">
        <v>3473</v>
      </c>
      <c r="P11" s="9">
        <v>-13600</v>
      </c>
      <c r="Q11" s="9">
        <v>183535.14000000173</v>
      </c>
    </row>
    <row r="12" spans="1:17" ht="28.8" x14ac:dyDescent="0.3">
      <c r="A12" s="32" t="s">
        <v>3467</v>
      </c>
      <c r="B12" s="33">
        <v>45239</v>
      </c>
      <c r="C12" s="34">
        <v>2023</v>
      </c>
      <c r="D12" s="35" t="s">
        <v>2145</v>
      </c>
      <c r="E12" s="32" t="s">
        <v>3468</v>
      </c>
      <c r="F12" s="36">
        <v>-13600</v>
      </c>
      <c r="G12" s="37">
        <v>337011.16999999969</v>
      </c>
      <c r="I12" s="9" t="s">
        <v>3471</v>
      </c>
      <c r="J12" s="9" t="s">
        <v>3464</v>
      </c>
      <c r="K12" s="9" t="s">
        <v>2004</v>
      </c>
      <c r="L12" s="9" t="s">
        <v>3397</v>
      </c>
      <c r="M12" s="9" t="s">
        <v>3454</v>
      </c>
      <c r="N12" s="9" t="s">
        <v>3474</v>
      </c>
      <c r="O12" s="9" t="s">
        <v>3473</v>
      </c>
      <c r="P12" s="9">
        <v>-13600</v>
      </c>
      <c r="Q12" s="9">
        <v>169935.14000000173</v>
      </c>
    </row>
    <row r="13" spans="1:17" ht="28.8" x14ac:dyDescent="0.3">
      <c r="A13" s="32" t="s">
        <v>3467</v>
      </c>
      <c r="B13" s="33">
        <v>45308</v>
      </c>
      <c r="C13" s="34">
        <v>2024</v>
      </c>
      <c r="D13" s="35" t="s">
        <v>2240</v>
      </c>
      <c r="E13" s="32" t="s">
        <v>3468</v>
      </c>
      <c r="F13" s="36">
        <v>-13600</v>
      </c>
      <c r="G13" s="37">
        <v>323411.16999999969</v>
      </c>
      <c r="I13" s="9" t="s">
        <v>3475</v>
      </c>
      <c r="J13" s="9" t="s">
        <v>3464</v>
      </c>
      <c r="K13" s="9" t="s">
        <v>2004</v>
      </c>
      <c r="L13" s="9" t="s">
        <v>3397</v>
      </c>
      <c r="M13" s="9" t="s">
        <v>3454</v>
      </c>
      <c r="N13" s="9" t="s">
        <v>3476</v>
      </c>
      <c r="O13" s="9" t="s">
        <v>3473</v>
      </c>
      <c r="P13" s="9">
        <v>-13600</v>
      </c>
      <c r="Q13" s="9">
        <v>187745.18000000171</v>
      </c>
    </row>
    <row r="14" spans="1:17" ht="28.8" x14ac:dyDescent="0.3">
      <c r="A14" s="32" t="s">
        <v>3467</v>
      </c>
      <c r="B14" s="33">
        <v>45308</v>
      </c>
      <c r="C14" s="34">
        <v>2024</v>
      </c>
      <c r="D14" s="35" t="s">
        <v>2987</v>
      </c>
      <c r="E14" s="32" t="s">
        <v>3468</v>
      </c>
      <c r="F14" s="36">
        <v>-13600</v>
      </c>
      <c r="G14" s="37">
        <v>309811.16999999969</v>
      </c>
      <c r="I14" s="9" t="s">
        <v>3477</v>
      </c>
      <c r="J14" s="9" t="s">
        <v>3464</v>
      </c>
      <c r="K14" s="9" t="s">
        <v>27</v>
      </c>
      <c r="L14" s="9" t="s">
        <v>3478</v>
      </c>
      <c r="M14" s="9" t="s">
        <v>3454</v>
      </c>
      <c r="N14" s="9" t="s">
        <v>3397</v>
      </c>
      <c r="O14" s="9" t="s">
        <v>3397</v>
      </c>
      <c r="P14" s="9">
        <v>-13600</v>
      </c>
      <c r="Q14" s="9">
        <v>292905.42000000173</v>
      </c>
    </row>
    <row r="15" spans="1:17" ht="28.8" x14ac:dyDescent="0.3">
      <c r="A15" s="32" t="s">
        <v>3467</v>
      </c>
      <c r="B15" s="33">
        <v>45344</v>
      </c>
      <c r="C15" s="34">
        <v>2024</v>
      </c>
      <c r="D15" s="35" t="s">
        <v>2988</v>
      </c>
      <c r="E15" s="32" t="s">
        <v>3468</v>
      </c>
      <c r="F15" s="36">
        <v>-13600</v>
      </c>
      <c r="G15" s="37">
        <v>296211.16999999969</v>
      </c>
      <c r="I15" s="9" t="s">
        <v>3479</v>
      </c>
      <c r="J15" s="9" t="s">
        <v>3465</v>
      </c>
      <c r="K15" s="9" t="s">
        <v>27</v>
      </c>
      <c r="L15" s="9" t="s">
        <v>3480</v>
      </c>
      <c r="M15" s="9" t="s">
        <v>3454</v>
      </c>
      <c r="N15" s="9" t="s">
        <v>3397</v>
      </c>
      <c r="O15" s="9" t="s">
        <v>3397</v>
      </c>
      <c r="P15" s="9">
        <v>-13600</v>
      </c>
      <c r="Q15" s="9">
        <v>419101.30000000173</v>
      </c>
    </row>
    <row r="16" spans="1:17" ht="28.8" x14ac:dyDescent="0.3">
      <c r="A16" s="32" t="s">
        <v>3467</v>
      </c>
      <c r="B16" s="33">
        <v>45348</v>
      </c>
      <c r="C16" s="34">
        <v>2024</v>
      </c>
      <c r="D16" s="35" t="s">
        <v>2989</v>
      </c>
      <c r="E16" s="32" t="s">
        <v>3468</v>
      </c>
      <c r="F16" s="36">
        <v>-13600</v>
      </c>
      <c r="G16" s="37">
        <v>282611.16999999969</v>
      </c>
      <c r="I16" s="9" t="s">
        <v>3481</v>
      </c>
      <c r="J16" s="9" t="s">
        <v>3465</v>
      </c>
      <c r="K16" s="9" t="s">
        <v>27</v>
      </c>
      <c r="L16" s="9" t="s">
        <v>3482</v>
      </c>
      <c r="M16" s="9" t="s">
        <v>3454</v>
      </c>
      <c r="N16" s="9" t="s">
        <v>3397</v>
      </c>
      <c r="O16" s="9" t="s">
        <v>3397</v>
      </c>
      <c r="P16" s="9">
        <v>-13600</v>
      </c>
      <c r="Q16" s="9">
        <v>547989.60000000161</v>
      </c>
    </row>
    <row r="17" spans="1:17" ht="28.8" x14ac:dyDescent="0.3">
      <c r="A17" s="32" t="s">
        <v>3467</v>
      </c>
      <c r="B17" s="33">
        <v>45366</v>
      </c>
      <c r="C17" s="34">
        <v>2024</v>
      </c>
      <c r="D17" s="35" t="s">
        <v>2347</v>
      </c>
      <c r="E17" s="32" t="s">
        <v>3468</v>
      </c>
      <c r="F17" s="36">
        <v>-13600</v>
      </c>
      <c r="G17" s="37">
        <v>269011.16999999969</v>
      </c>
      <c r="I17" s="9" t="s">
        <v>3483</v>
      </c>
      <c r="J17" s="9" t="s">
        <v>3465</v>
      </c>
      <c r="K17" s="9" t="s">
        <v>27</v>
      </c>
      <c r="L17" s="9" t="s">
        <v>3484</v>
      </c>
      <c r="M17" s="9" t="s">
        <v>3454</v>
      </c>
      <c r="N17" s="9" t="s">
        <v>3397</v>
      </c>
      <c r="O17" s="9" t="s">
        <v>3397</v>
      </c>
      <c r="P17" s="9">
        <v>-13600</v>
      </c>
      <c r="Q17" s="9">
        <v>380361.57000000146</v>
      </c>
    </row>
    <row r="18" spans="1:17" ht="28.8" x14ac:dyDescent="0.3">
      <c r="A18" s="32" t="s">
        <v>3467</v>
      </c>
      <c r="B18" s="33">
        <v>45422</v>
      </c>
      <c r="C18" s="34">
        <v>2024</v>
      </c>
      <c r="D18" s="35" t="s">
        <v>2434</v>
      </c>
      <c r="E18" s="32" t="s">
        <v>3468</v>
      </c>
      <c r="F18" s="36">
        <v>-13600</v>
      </c>
      <c r="G18" s="37">
        <v>255411.16999999969</v>
      </c>
      <c r="I18" s="9" t="s">
        <v>3485</v>
      </c>
      <c r="J18" s="9" t="s">
        <v>3465</v>
      </c>
      <c r="K18" s="9" t="s">
        <v>27</v>
      </c>
      <c r="L18" s="9" t="s">
        <v>3397</v>
      </c>
      <c r="M18" s="9" t="s">
        <v>3454</v>
      </c>
      <c r="N18" s="9" t="s">
        <v>3397</v>
      </c>
      <c r="O18" s="9" t="s">
        <v>3397</v>
      </c>
      <c r="P18" s="9">
        <v>-13600</v>
      </c>
      <c r="Q18" s="9">
        <v>240728.27000000142</v>
      </c>
    </row>
    <row r="19" spans="1:17" ht="28.8" x14ac:dyDescent="0.3">
      <c r="A19" s="32" t="s">
        <v>3467</v>
      </c>
      <c r="B19" s="33">
        <v>45455</v>
      </c>
      <c r="C19" s="34">
        <v>2024</v>
      </c>
      <c r="D19" s="35" t="s">
        <v>2465</v>
      </c>
      <c r="E19" s="32" t="s">
        <v>3468</v>
      </c>
      <c r="F19" s="36">
        <v>-13600</v>
      </c>
      <c r="G19" s="37">
        <v>241811.16999999969</v>
      </c>
      <c r="I19" s="9" t="s">
        <v>3486</v>
      </c>
      <c r="J19" s="9" t="s">
        <v>3465</v>
      </c>
      <c r="K19" s="9" t="s">
        <v>27</v>
      </c>
      <c r="L19" s="9" t="s">
        <v>3487</v>
      </c>
      <c r="M19" s="9" t="s">
        <v>3454</v>
      </c>
      <c r="N19" s="9" t="s">
        <v>3397</v>
      </c>
      <c r="O19" s="9" t="s">
        <v>3397</v>
      </c>
      <c r="P19" s="9">
        <v>-13600</v>
      </c>
      <c r="Q19" s="9">
        <v>193866.11000000138</v>
      </c>
    </row>
    <row r="20" spans="1:17" ht="28.8" x14ac:dyDescent="0.3">
      <c r="A20" s="32" t="s">
        <v>3467</v>
      </c>
      <c r="B20" s="33">
        <v>45455</v>
      </c>
      <c r="C20" s="34">
        <v>2024</v>
      </c>
      <c r="D20" s="35" t="s">
        <v>2990</v>
      </c>
      <c r="E20" s="32" t="s">
        <v>3468</v>
      </c>
      <c r="F20" s="36">
        <v>-13600</v>
      </c>
      <c r="G20" s="37">
        <v>228211.16999999969</v>
      </c>
      <c r="I20" s="9" t="s">
        <v>3488</v>
      </c>
      <c r="J20" s="9" t="s">
        <v>3465</v>
      </c>
      <c r="K20" s="9" t="s">
        <v>27</v>
      </c>
      <c r="L20" s="9" t="s">
        <v>3397</v>
      </c>
      <c r="M20" s="9" t="s">
        <v>3454</v>
      </c>
      <c r="N20" s="9" t="s">
        <v>3397</v>
      </c>
      <c r="O20" s="9" t="s">
        <v>3397</v>
      </c>
      <c r="P20" s="9">
        <v>-13600</v>
      </c>
      <c r="Q20" s="9">
        <v>202029.67000000138</v>
      </c>
    </row>
    <row r="21" spans="1:17" ht="28.8" x14ac:dyDescent="0.3">
      <c r="A21" s="32" t="s">
        <v>3467</v>
      </c>
      <c r="B21" s="33">
        <v>45456</v>
      </c>
      <c r="C21" s="34">
        <v>2024</v>
      </c>
      <c r="D21" s="35" t="s">
        <v>2991</v>
      </c>
      <c r="E21" s="32" t="s">
        <v>3468</v>
      </c>
      <c r="F21" s="36">
        <v>-13600</v>
      </c>
      <c r="G21" s="37">
        <v>214611.16999999969</v>
      </c>
      <c r="I21" s="9" t="s">
        <v>3489</v>
      </c>
      <c r="J21" s="9" t="s">
        <v>3465</v>
      </c>
      <c r="K21" s="9" t="s">
        <v>27</v>
      </c>
      <c r="L21" s="9" t="s">
        <v>3397</v>
      </c>
      <c r="M21" s="9" t="s">
        <v>3454</v>
      </c>
      <c r="N21" s="9" t="s">
        <v>3397</v>
      </c>
      <c r="O21" s="9" t="s">
        <v>3397</v>
      </c>
      <c r="P21" s="9">
        <v>-13600</v>
      </c>
      <c r="Q21" s="9">
        <v>297803.67000000138</v>
      </c>
    </row>
    <row r="22" spans="1:17" ht="28.8" x14ac:dyDescent="0.3">
      <c r="A22" s="32" t="s">
        <v>3467</v>
      </c>
      <c r="B22" s="33">
        <v>45533</v>
      </c>
      <c r="C22" s="34">
        <v>2024</v>
      </c>
      <c r="D22" s="35" t="s">
        <v>2992</v>
      </c>
      <c r="E22" s="32" t="s">
        <v>3468</v>
      </c>
      <c r="F22" s="36">
        <v>-13600</v>
      </c>
      <c r="G22" s="37">
        <v>201011.16999999969</v>
      </c>
      <c r="I22" s="9" t="s">
        <v>3490</v>
      </c>
      <c r="J22" s="9" t="s">
        <v>3465</v>
      </c>
      <c r="K22" s="9" t="s">
        <v>2004</v>
      </c>
      <c r="L22" s="9" t="s">
        <v>3397</v>
      </c>
      <c r="M22" s="9" t="s">
        <v>3454</v>
      </c>
      <c r="N22" s="9" t="s">
        <v>3491</v>
      </c>
      <c r="O22" s="9" t="s">
        <v>3397</v>
      </c>
      <c r="P22" s="9">
        <v>-13600</v>
      </c>
      <c r="Q22" s="9">
        <v>283874.36000000138</v>
      </c>
    </row>
    <row r="23" spans="1:17" ht="28.8" x14ac:dyDescent="0.3">
      <c r="A23" s="32" t="s">
        <v>3467</v>
      </c>
      <c r="B23" s="33">
        <v>45533</v>
      </c>
      <c r="C23" s="34">
        <v>2024</v>
      </c>
      <c r="D23" s="35" t="s">
        <v>2993</v>
      </c>
      <c r="E23" s="32" t="s">
        <v>3468</v>
      </c>
      <c r="F23" s="36">
        <v>-13600</v>
      </c>
      <c r="G23" s="37">
        <v>187411.16999999969</v>
      </c>
      <c r="I23" s="9" t="s">
        <v>3492</v>
      </c>
      <c r="J23" s="9" t="s">
        <v>3465</v>
      </c>
      <c r="K23" s="9" t="s">
        <v>2004</v>
      </c>
      <c r="L23" s="9" t="s">
        <v>3397</v>
      </c>
      <c r="M23" s="9" t="s">
        <v>3454</v>
      </c>
      <c r="N23" s="9" t="s">
        <v>3493</v>
      </c>
      <c r="O23" s="9" t="s">
        <v>3397</v>
      </c>
      <c r="P23" s="9">
        <v>-13600</v>
      </c>
      <c r="Q23" s="9">
        <v>172173.83000000138</v>
      </c>
    </row>
    <row r="24" spans="1:17" ht="28.8" x14ac:dyDescent="0.3">
      <c r="A24" s="32" t="s">
        <v>3467</v>
      </c>
      <c r="B24" s="33">
        <v>45562</v>
      </c>
      <c r="C24" s="34">
        <v>2024</v>
      </c>
      <c r="D24" s="35" t="s">
        <v>2994</v>
      </c>
      <c r="E24" s="32" t="s">
        <v>3468</v>
      </c>
      <c r="F24" s="36">
        <v>-13600</v>
      </c>
      <c r="G24" s="37">
        <v>173811.16999999969</v>
      </c>
      <c r="I24" s="9" t="s">
        <v>3494</v>
      </c>
      <c r="J24" s="9" t="s">
        <v>3465</v>
      </c>
      <c r="K24" s="9" t="s">
        <v>2004</v>
      </c>
      <c r="L24" s="9" t="s">
        <v>3397</v>
      </c>
      <c r="M24" s="9" t="s">
        <v>3397</v>
      </c>
      <c r="N24" s="9" t="s">
        <v>3495</v>
      </c>
      <c r="O24" s="9" t="s">
        <v>3397</v>
      </c>
      <c r="P24" s="9">
        <v>-13600</v>
      </c>
      <c r="Q24" s="9">
        <v>99087.160000001357</v>
      </c>
    </row>
    <row r="25" spans="1:17" ht="28.8" x14ac:dyDescent="0.3">
      <c r="A25" s="32" t="s">
        <v>3467</v>
      </c>
      <c r="B25" s="33">
        <v>45608</v>
      </c>
      <c r="C25" s="34">
        <v>2024</v>
      </c>
      <c r="D25" s="35" t="s">
        <v>2646</v>
      </c>
      <c r="E25" s="32" t="s">
        <v>3468</v>
      </c>
      <c r="F25" s="36">
        <v>-13600</v>
      </c>
      <c r="G25" s="37">
        <v>160211.16999999969</v>
      </c>
      <c r="I25" s="9" t="s">
        <v>3496</v>
      </c>
      <c r="J25" s="9" t="s">
        <v>3466</v>
      </c>
      <c r="K25" s="9" t="s">
        <v>27</v>
      </c>
      <c r="L25" s="9" t="s">
        <v>3497</v>
      </c>
      <c r="M25" s="9" t="s">
        <v>3454</v>
      </c>
      <c r="N25" s="9" t="s">
        <v>3397</v>
      </c>
      <c r="O25" s="9" t="s">
        <v>3397</v>
      </c>
      <c r="P25" s="9">
        <v>-13600</v>
      </c>
      <c r="Q25" s="9">
        <v>359587.59000000131</v>
      </c>
    </row>
    <row r="26" spans="1:17" ht="28.8" x14ac:dyDescent="0.3">
      <c r="A26" s="32" t="s">
        <v>3467</v>
      </c>
      <c r="B26" s="33">
        <v>45629</v>
      </c>
      <c r="C26" s="34">
        <v>2024</v>
      </c>
      <c r="D26" s="35" t="s">
        <v>2676</v>
      </c>
      <c r="E26" s="32" t="s">
        <v>3468</v>
      </c>
      <c r="F26" s="36">
        <v>-13600</v>
      </c>
      <c r="G26" s="37">
        <v>146611.16999999969</v>
      </c>
      <c r="I26" s="9" t="s">
        <v>3498</v>
      </c>
      <c r="J26" s="9" t="s">
        <v>3466</v>
      </c>
      <c r="K26" s="9" t="s">
        <v>2004</v>
      </c>
      <c r="L26" s="9" t="s">
        <v>3397</v>
      </c>
      <c r="M26" s="9" t="s">
        <v>3454</v>
      </c>
      <c r="N26" s="9" t="s">
        <v>3491</v>
      </c>
      <c r="O26" s="9" t="s">
        <v>3397</v>
      </c>
      <c r="P26" s="9">
        <v>-13600</v>
      </c>
      <c r="Q26" s="9">
        <v>663587.30000000121</v>
      </c>
    </row>
    <row r="27" spans="1:17" ht="28.8" x14ac:dyDescent="0.3">
      <c r="A27" s="32" t="s">
        <v>3467</v>
      </c>
      <c r="B27" s="33">
        <v>45679</v>
      </c>
      <c r="C27" s="34">
        <v>2025</v>
      </c>
      <c r="D27" s="35" t="s">
        <v>2995</v>
      </c>
      <c r="E27" s="32" t="s">
        <v>3468</v>
      </c>
      <c r="F27" s="36">
        <v>-13600</v>
      </c>
      <c r="G27" s="37">
        <v>133011.16999999969</v>
      </c>
      <c r="I27" s="9" t="s">
        <v>3499</v>
      </c>
      <c r="J27" s="9" t="s">
        <v>3466</v>
      </c>
      <c r="K27" s="9" t="s">
        <v>2004</v>
      </c>
      <c r="L27" s="9" t="s">
        <v>3397</v>
      </c>
      <c r="M27" s="9" t="s">
        <v>3454</v>
      </c>
      <c r="N27" s="9" t="s">
        <v>3500</v>
      </c>
      <c r="O27" s="9" t="s">
        <v>3397</v>
      </c>
      <c r="P27" s="9">
        <v>-13600</v>
      </c>
      <c r="Q27" s="9">
        <v>648738.60000000114</v>
      </c>
    </row>
    <row r="28" spans="1:17" ht="28.8" x14ac:dyDescent="0.3">
      <c r="A28" s="32" t="s">
        <v>3467</v>
      </c>
      <c r="B28" s="33">
        <v>45702</v>
      </c>
      <c r="C28" s="34">
        <v>2025</v>
      </c>
      <c r="D28" s="35" t="s">
        <v>2767</v>
      </c>
      <c r="E28" s="32" t="s">
        <v>3468</v>
      </c>
      <c r="F28" s="36">
        <v>-13600</v>
      </c>
      <c r="G28" s="37">
        <v>119411.16999999969</v>
      </c>
      <c r="I28" s="9" t="s">
        <v>3501</v>
      </c>
      <c r="J28" s="9" t="s">
        <v>3466</v>
      </c>
      <c r="K28" s="9" t="s">
        <v>2004</v>
      </c>
      <c r="L28" s="9" t="s">
        <v>3397</v>
      </c>
      <c r="M28" s="9" t="s">
        <v>3397</v>
      </c>
      <c r="N28" s="9" t="s">
        <v>3502</v>
      </c>
      <c r="O28" s="9" t="s">
        <v>3397</v>
      </c>
      <c r="P28" s="9">
        <v>-13600</v>
      </c>
      <c r="Q28" s="9">
        <v>348832.6800000011</v>
      </c>
    </row>
    <row r="29" spans="1:17" ht="28.8" x14ac:dyDescent="0.3">
      <c r="A29" s="32" t="s">
        <v>3467</v>
      </c>
      <c r="B29" s="33">
        <v>45722</v>
      </c>
      <c r="C29" s="34">
        <v>2025</v>
      </c>
      <c r="D29" s="35" t="s">
        <v>2812</v>
      </c>
      <c r="E29" s="32" t="s">
        <v>3468</v>
      </c>
      <c r="F29" s="36">
        <v>-13600</v>
      </c>
      <c r="G29" s="37">
        <v>105811.16999999969</v>
      </c>
      <c r="I29" s="9" t="s">
        <v>3503</v>
      </c>
      <c r="J29" s="9" t="s">
        <v>3466</v>
      </c>
      <c r="K29" s="9" t="s">
        <v>2004</v>
      </c>
      <c r="L29" s="9" t="s">
        <v>3397</v>
      </c>
      <c r="M29" s="9" t="s">
        <v>3454</v>
      </c>
      <c r="N29" s="9" t="s">
        <v>3504</v>
      </c>
      <c r="O29" s="9" t="s">
        <v>3397</v>
      </c>
      <c r="P29" s="9">
        <v>-13600</v>
      </c>
      <c r="Q29" s="9">
        <v>179184.57000000111</v>
      </c>
    </row>
    <row r="30" spans="1:17" ht="28.8" x14ac:dyDescent="0.3">
      <c r="A30" s="32" t="s">
        <v>3467</v>
      </c>
      <c r="B30" s="33">
        <v>45747</v>
      </c>
      <c r="C30" s="34">
        <v>2025</v>
      </c>
      <c r="D30" s="35" t="s">
        <v>2996</v>
      </c>
      <c r="E30" s="32" t="s">
        <v>3468</v>
      </c>
      <c r="F30" s="36">
        <v>-13600</v>
      </c>
      <c r="G30" s="37">
        <v>92211.169999999693</v>
      </c>
      <c r="I30" s="9" t="s">
        <v>3505</v>
      </c>
      <c r="J30" s="9" t="s">
        <v>3466</v>
      </c>
      <c r="K30" s="9" t="s">
        <v>2004</v>
      </c>
      <c r="L30" s="9" t="s">
        <v>3397</v>
      </c>
      <c r="M30" s="9" t="s">
        <v>3454</v>
      </c>
      <c r="N30" s="9" t="s">
        <v>3506</v>
      </c>
      <c r="O30" s="9" t="s">
        <v>3473</v>
      </c>
      <c r="P30" s="9">
        <v>-13600</v>
      </c>
      <c r="Q30" s="9">
        <v>76384.200000001103</v>
      </c>
    </row>
    <row r="31" spans="1:17" ht="28.8" x14ac:dyDescent="0.3">
      <c r="A31" s="32" t="s">
        <v>3467</v>
      </c>
      <c r="B31" s="33">
        <v>45761</v>
      </c>
      <c r="C31" s="34">
        <v>2025</v>
      </c>
      <c r="D31" s="35" t="s">
        <v>2866</v>
      </c>
      <c r="E31" s="32" t="s">
        <v>3468</v>
      </c>
      <c r="F31" s="36">
        <v>-13600</v>
      </c>
      <c r="G31" s="37">
        <v>78611.169999999693</v>
      </c>
      <c r="I31" s="9" t="s">
        <v>3507</v>
      </c>
      <c r="J31" s="9" t="s">
        <v>3466</v>
      </c>
      <c r="K31" s="9" t="s">
        <v>2004</v>
      </c>
      <c r="L31" s="9" t="s">
        <v>3397</v>
      </c>
      <c r="M31" s="9" t="s">
        <v>3397</v>
      </c>
      <c r="N31" s="9" t="s">
        <v>3508</v>
      </c>
      <c r="O31" s="9" t="s">
        <v>3473</v>
      </c>
      <c r="P31" s="9">
        <v>-13600</v>
      </c>
      <c r="Q31" s="9">
        <v>68435.53000000109</v>
      </c>
    </row>
    <row r="32" spans="1:17" ht="28.8" x14ac:dyDescent="0.3">
      <c r="A32" s="32" t="s">
        <v>3467</v>
      </c>
      <c r="B32" s="33">
        <v>45777</v>
      </c>
      <c r="C32" s="34">
        <v>2025</v>
      </c>
      <c r="D32" s="35" t="s">
        <v>2885</v>
      </c>
      <c r="E32" s="32" t="s">
        <v>3468</v>
      </c>
      <c r="F32" s="36">
        <v>-13600</v>
      </c>
      <c r="G32" s="37">
        <v>65011.169999999693</v>
      </c>
    </row>
    <row r="33" spans="1:7" ht="43.2" x14ac:dyDescent="0.3">
      <c r="A33" s="32" t="s">
        <v>3451</v>
      </c>
      <c r="B33" s="32" t="s">
        <v>3469</v>
      </c>
      <c r="C33" s="34">
        <v>2023</v>
      </c>
      <c r="D33" s="35" t="s">
        <v>2048</v>
      </c>
      <c r="E33" s="32" t="s">
        <v>3453</v>
      </c>
      <c r="F33" s="36">
        <v>-13600</v>
      </c>
      <c r="G33" s="37">
        <v>173829.38000000021</v>
      </c>
    </row>
  </sheetData>
  <mergeCells count="2">
    <mergeCell ref="A8:G8"/>
    <mergeCell ref="I8:Q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CE86-90BE-45EE-AF1D-C83914598509}">
  <dimension ref="A3:C24"/>
  <sheetViews>
    <sheetView workbookViewId="0">
      <selection activeCell="A12" sqref="A12"/>
    </sheetView>
  </sheetViews>
  <sheetFormatPr defaultRowHeight="14.4" x14ac:dyDescent="0.3"/>
  <cols>
    <col min="1" max="1" width="59.33203125" bestFit="1" customWidth="1"/>
    <col min="2" max="2" width="14.44140625" bestFit="1" customWidth="1"/>
    <col min="3" max="3" width="17.33203125" bestFit="1" customWidth="1"/>
  </cols>
  <sheetData>
    <row r="3" spans="1:3" x14ac:dyDescent="0.3">
      <c r="A3" s="27" t="s">
        <v>3357</v>
      </c>
      <c r="B3" t="s">
        <v>3358</v>
      </c>
      <c r="C3" t="s">
        <v>3368</v>
      </c>
    </row>
    <row r="4" spans="1:3" x14ac:dyDescent="0.3">
      <c r="A4" s="25" t="s">
        <v>3509</v>
      </c>
      <c r="B4" s="4">
        <v>-330915.18999999983</v>
      </c>
      <c r="C4">
        <v>63</v>
      </c>
    </row>
    <row r="5" spans="1:3" x14ac:dyDescent="0.3">
      <c r="A5" s="25" t="s">
        <v>3510</v>
      </c>
      <c r="B5" s="4">
        <v>-18720</v>
      </c>
      <c r="C5">
        <v>2</v>
      </c>
    </row>
    <row r="6" spans="1:3" x14ac:dyDescent="0.3">
      <c r="A6" s="25" t="s">
        <v>3511</v>
      </c>
      <c r="B6" s="4">
        <v>22120</v>
      </c>
      <c r="C6">
        <v>2</v>
      </c>
    </row>
    <row r="7" spans="1:3" x14ac:dyDescent="0.3">
      <c r="A7" s="25" t="s">
        <v>3512</v>
      </c>
      <c r="B7" s="4">
        <v>-8831.02</v>
      </c>
      <c r="C7">
        <v>1</v>
      </c>
    </row>
    <row r="8" spans="1:3" x14ac:dyDescent="0.3">
      <c r="A8" s="25" t="s">
        <v>3513</v>
      </c>
      <c r="B8" s="4">
        <v>21900</v>
      </c>
      <c r="C8">
        <v>3</v>
      </c>
    </row>
    <row r="9" spans="1:3" x14ac:dyDescent="0.3">
      <c r="A9" s="25" t="s">
        <v>3030</v>
      </c>
      <c r="B9" s="4">
        <v>-124950</v>
      </c>
      <c r="C9">
        <v>17</v>
      </c>
    </row>
    <row r="10" spans="1:3" x14ac:dyDescent="0.3">
      <c r="A10" s="25" t="s">
        <v>3514</v>
      </c>
      <c r="B10" s="4">
        <v>-136000</v>
      </c>
      <c r="C10">
        <v>10</v>
      </c>
    </row>
    <row r="11" spans="1:3" x14ac:dyDescent="0.3">
      <c r="A11" s="25" t="s">
        <v>3515</v>
      </c>
      <c r="B11" s="4">
        <v>-12790.499999999942</v>
      </c>
      <c r="C11">
        <v>21</v>
      </c>
    </row>
    <row r="12" spans="1:3" x14ac:dyDescent="0.3">
      <c r="A12" s="25" t="s">
        <v>3625</v>
      </c>
      <c r="B12" s="4">
        <v>-129565.11000000002</v>
      </c>
      <c r="C12">
        <v>335</v>
      </c>
    </row>
    <row r="13" spans="1:3" x14ac:dyDescent="0.3">
      <c r="A13" s="25" t="s">
        <v>3362</v>
      </c>
      <c r="B13" s="4">
        <v>-717751.82000000007</v>
      </c>
      <c r="C13">
        <v>454</v>
      </c>
    </row>
    <row r="15" spans="1:3" s="45" customFormat="1" x14ac:dyDescent="0.3">
      <c r="A15" s="49" t="s">
        <v>3517</v>
      </c>
      <c r="B15" s="49" t="s">
        <v>3358</v>
      </c>
      <c r="C15" s="49" t="s">
        <v>3518</v>
      </c>
    </row>
    <row r="16" spans="1:3" x14ac:dyDescent="0.3">
      <c r="A16" s="9" t="s">
        <v>3509</v>
      </c>
      <c r="B16" s="48">
        <v>-330915.18999999983</v>
      </c>
      <c r="C16" s="9">
        <v>63</v>
      </c>
    </row>
    <row r="17" spans="1:3" x14ac:dyDescent="0.3">
      <c r="A17" s="9" t="s">
        <v>3510</v>
      </c>
      <c r="B17" s="48">
        <v>-18720</v>
      </c>
      <c r="C17" s="9">
        <v>2</v>
      </c>
    </row>
    <row r="18" spans="1:3" x14ac:dyDescent="0.3">
      <c r="A18" s="9" t="s">
        <v>3511</v>
      </c>
      <c r="B18" s="48">
        <v>22120</v>
      </c>
      <c r="C18" s="9">
        <v>2</v>
      </c>
    </row>
    <row r="19" spans="1:3" x14ac:dyDescent="0.3">
      <c r="A19" s="9" t="s">
        <v>3512</v>
      </c>
      <c r="B19" s="48">
        <v>-8831.02</v>
      </c>
      <c r="C19" s="9">
        <v>1</v>
      </c>
    </row>
    <row r="20" spans="1:3" x14ac:dyDescent="0.3">
      <c r="A20" s="9" t="s">
        <v>3513</v>
      </c>
      <c r="B20" s="48">
        <v>21900</v>
      </c>
      <c r="C20" s="9">
        <v>3</v>
      </c>
    </row>
    <row r="21" spans="1:3" x14ac:dyDescent="0.3">
      <c r="A21" s="9" t="s">
        <v>3030</v>
      </c>
      <c r="B21" s="48">
        <v>-124950</v>
      </c>
      <c r="C21" s="9">
        <v>17</v>
      </c>
    </row>
    <row r="22" spans="1:3" x14ac:dyDescent="0.3">
      <c r="A22" s="9" t="s">
        <v>3514</v>
      </c>
      <c r="B22" s="48">
        <v>-136000</v>
      </c>
      <c r="C22" s="9">
        <v>10</v>
      </c>
    </row>
    <row r="23" spans="1:3" x14ac:dyDescent="0.3">
      <c r="A23" s="9" t="s">
        <v>3515</v>
      </c>
      <c r="B23" s="48">
        <v>-12790.499999999942</v>
      </c>
      <c r="C23" s="9">
        <v>21</v>
      </c>
    </row>
    <row r="24" spans="1:3" s="47" customFormat="1" x14ac:dyDescent="0.3">
      <c r="A24" s="50" t="s">
        <v>3362</v>
      </c>
      <c r="B24" s="51">
        <v>-717751.82000000007</v>
      </c>
      <c r="C24" s="52">
        <f>SUM(C16:C23)</f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456"/>
  <sheetViews>
    <sheetView workbookViewId="0">
      <selection activeCell="D1" sqref="D1"/>
    </sheetView>
  </sheetViews>
  <sheetFormatPr defaultRowHeight="14.4" x14ac:dyDescent="0.3"/>
  <cols>
    <col min="1" max="1" width="25.44140625" customWidth="1"/>
    <col min="2" max="2" width="19.44140625" customWidth="1"/>
    <col min="3" max="3" width="26.33203125" customWidth="1"/>
    <col min="6" max="6" width="59.33203125" bestFit="1" customWidth="1"/>
    <col min="9" max="9" width="59.33203125" bestFit="1" customWidth="1"/>
  </cols>
  <sheetData>
    <row r="1" spans="1:6" x14ac:dyDescent="0.3">
      <c r="A1" s="1" t="s">
        <v>2948</v>
      </c>
      <c r="B1" s="1" t="s">
        <v>3519</v>
      </c>
      <c r="C1" s="1" t="s">
        <v>2949</v>
      </c>
      <c r="D1" s="1" t="s">
        <v>2950</v>
      </c>
      <c r="E1" s="1" t="s">
        <v>2951</v>
      </c>
      <c r="F1" s="46" t="s">
        <v>2952</v>
      </c>
    </row>
    <row r="2" spans="1:6" hidden="1" x14ac:dyDescent="0.3">
      <c r="A2" s="6">
        <v>44875</v>
      </c>
      <c r="B2" s="10" t="s">
        <v>27</v>
      </c>
      <c r="C2" s="10" t="s">
        <v>3520</v>
      </c>
      <c r="D2" s="10">
        <v>-46240.21</v>
      </c>
      <c r="E2" s="10">
        <v>491818.8700000018</v>
      </c>
      <c r="F2" s="9" t="s">
        <v>3515</v>
      </c>
    </row>
    <row r="3" spans="1:6" x14ac:dyDescent="0.3">
      <c r="A3" s="12">
        <v>43259</v>
      </c>
      <c r="B3" s="9" t="s">
        <v>25</v>
      </c>
      <c r="C3" s="9" t="s">
        <v>3521</v>
      </c>
      <c r="D3" s="9">
        <v>163.75</v>
      </c>
      <c r="E3" s="9">
        <v>434577.90000000037</v>
      </c>
      <c r="F3" s="9"/>
    </row>
    <row r="4" spans="1:6" x14ac:dyDescent="0.3">
      <c r="A4" s="12">
        <v>43262</v>
      </c>
      <c r="B4" s="9" t="s">
        <v>25</v>
      </c>
      <c r="C4" s="9"/>
      <c r="D4" s="9">
        <v>2448.71</v>
      </c>
      <c r="E4" s="9">
        <v>437255.76000000042</v>
      </c>
      <c r="F4" s="9"/>
    </row>
    <row r="5" spans="1:6" x14ac:dyDescent="0.3">
      <c r="A5" s="12">
        <v>43266</v>
      </c>
      <c r="B5" s="9" t="s">
        <v>25</v>
      </c>
      <c r="C5" s="9"/>
      <c r="D5" s="9">
        <v>2450</v>
      </c>
      <c r="E5" s="9">
        <v>439849.52000000043</v>
      </c>
      <c r="F5" s="9"/>
    </row>
    <row r="6" spans="1:6" hidden="1" x14ac:dyDescent="0.3">
      <c r="A6" s="6">
        <v>44827</v>
      </c>
      <c r="B6" s="10" t="s">
        <v>27</v>
      </c>
      <c r="C6" s="10" t="s">
        <v>3522</v>
      </c>
      <c r="D6" s="10">
        <v>-39000</v>
      </c>
      <c r="E6" s="10">
        <v>645449.79000000178</v>
      </c>
      <c r="F6" s="9" t="s">
        <v>3509</v>
      </c>
    </row>
    <row r="7" spans="1:6" x14ac:dyDescent="0.3">
      <c r="A7" s="12">
        <v>43288</v>
      </c>
      <c r="B7" s="9" t="s">
        <v>25</v>
      </c>
      <c r="C7" s="9"/>
      <c r="D7" s="9">
        <v>900</v>
      </c>
      <c r="E7" s="9">
        <v>401383.31000000029</v>
      </c>
      <c r="F7" s="9"/>
    </row>
    <row r="8" spans="1:6" x14ac:dyDescent="0.3">
      <c r="A8" s="12">
        <v>43307</v>
      </c>
      <c r="B8" s="9" t="s">
        <v>25</v>
      </c>
      <c r="C8" s="9" t="s">
        <v>3523</v>
      </c>
      <c r="D8" s="9">
        <v>1500</v>
      </c>
      <c r="E8" s="9">
        <v>389725.61000000039</v>
      </c>
      <c r="F8" s="9"/>
    </row>
    <row r="9" spans="1:6" x14ac:dyDescent="0.3">
      <c r="A9" s="12">
        <v>43334</v>
      </c>
      <c r="B9" s="9" t="s">
        <v>27</v>
      </c>
      <c r="C9" s="9" t="s">
        <v>3524</v>
      </c>
      <c r="D9" s="9">
        <v>-25.78</v>
      </c>
      <c r="E9" s="9">
        <v>457240.12000000029</v>
      </c>
      <c r="F9" s="9"/>
    </row>
    <row r="10" spans="1:6" hidden="1" x14ac:dyDescent="0.3">
      <c r="A10" s="6">
        <v>45596</v>
      </c>
      <c r="B10" s="10" t="s">
        <v>27</v>
      </c>
      <c r="C10" s="10"/>
      <c r="D10" s="10">
        <v>-38750</v>
      </c>
      <c r="E10" s="10">
        <v>194700.93000000139</v>
      </c>
      <c r="F10" s="9" t="s">
        <v>3509</v>
      </c>
    </row>
    <row r="11" spans="1:6" x14ac:dyDescent="0.3">
      <c r="A11" s="12">
        <v>43343</v>
      </c>
      <c r="B11" s="9" t="s">
        <v>25</v>
      </c>
      <c r="C11" s="9"/>
      <c r="D11" s="9">
        <v>5800</v>
      </c>
      <c r="E11" s="9">
        <v>462006.08000000031</v>
      </c>
      <c r="F11" s="9"/>
    </row>
    <row r="12" spans="1:6" x14ac:dyDescent="0.3">
      <c r="A12" s="12">
        <v>43343</v>
      </c>
      <c r="B12" s="9" t="s">
        <v>25</v>
      </c>
      <c r="C12" s="9"/>
      <c r="D12" s="9">
        <v>3100</v>
      </c>
      <c r="E12" s="9">
        <v>472506.08000000031</v>
      </c>
      <c r="F12" s="9"/>
    </row>
    <row r="13" spans="1:6" x14ac:dyDescent="0.3">
      <c r="A13" s="12">
        <v>43343</v>
      </c>
      <c r="B13" s="9" t="s">
        <v>25</v>
      </c>
      <c r="C13" s="9"/>
      <c r="D13" s="9">
        <v>1000</v>
      </c>
      <c r="E13" s="9">
        <v>463006.08000000031</v>
      </c>
      <c r="F13" s="9"/>
    </row>
    <row r="14" spans="1:6" x14ac:dyDescent="0.3">
      <c r="A14" s="12">
        <v>43404</v>
      </c>
      <c r="B14" s="9" t="s">
        <v>25</v>
      </c>
      <c r="C14" s="9" t="s">
        <v>3525</v>
      </c>
      <c r="D14" s="9">
        <v>3000</v>
      </c>
      <c r="E14" s="9">
        <v>469490.77000000031</v>
      </c>
      <c r="F14" s="9"/>
    </row>
    <row r="15" spans="1:6" x14ac:dyDescent="0.3">
      <c r="A15" s="12">
        <v>43413</v>
      </c>
      <c r="B15" s="9" t="s">
        <v>25</v>
      </c>
      <c r="C15" s="9"/>
      <c r="D15" s="9">
        <v>30</v>
      </c>
      <c r="E15" s="9">
        <v>437353.56000000017</v>
      </c>
      <c r="F15" s="9"/>
    </row>
    <row r="16" spans="1:6" x14ac:dyDescent="0.3">
      <c r="A16" s="12">
        <v>43428</v>
      </c>
      <c r="B16" s="9" t="s">
        <v>25</v>
      </c>
      <c r="C16" s="9"/>
      <c r="D16" s="9">
        <v>563.25</v>
      </c>
      <c r="E16" s="9">
        <v>461159.79000000033</v>
      </c>
      <c r="F16" s="9"/>
    </row>
    <row r="17" spans="1:6" hidden="1" x14ac:dyDescent="0.3">
      <c r="A17" s="6">
        <v>44972</v>
      </c>
      <c r="B17" s="10" t="s">
        <v>27</v>
      </c>
      <c r="C17" s="10"/>
      <c r="D17" s="10">
        <v>-37481.5</v>
      </c>
      <c r="E17" s="10">
        <v>1056955.850000002</v>
      </c>
      <c r="F17" s="9" t="s">
        <v>3515</v>
      </c>
    </row>
    <row r="18" spans="1:6" x14ac:dyDescent="0.3">
      <c r="A18" s="12">
        <v>43434</v>
      </c>
      <c r="B18" s="9" t="s">
        <v>27</v>
      </c>
      <c r="C18" s="9" t="s">
        <v>3526</v>
      </c>
      <c r="D18" s="9">
        <v>-1.22</v>
      </c>
      <c r="E18" s="9">
        <v>434420.31000000029</v>
      </c>
      <c r="F18" s="9"/>
    </row>
    <row r="19" spans="1:6" x14ac:dyDescent="0.3">
      <c r="A19" s="12">
        <v>43465</v>
      </c>
      <c r="B19" s="9" t="s">
        <v>27</v>
      </c>
      <c r="C19" s="9"/>
      <c r="D19" s="9">
        <v>-62.06</v>
      </c>
      <c r="E19" s="9">
        <v>424550.13000000041</v>
      </c>
      <c r="F19" s="9"/>
    </row>
    <row r="20" spans="1:6" x14ac:dyDescent="0.3">
      <c r="A20" s="12">
        <v>43465</v>
      </c>
      <c r="B20" s="9" t="s">
        <v>27</v>
      </c>
      <c r="C20" s="9"/>
      <c r="D20" s="9">
        <v>-667.24</v>
      </c>
      <c r="E20" s="9">
        <v>423882.89000000042</v>
      </c>
      <c r="F20" s="9"/>
    </row>
    <row r="21" spans="1:6" hidden="1" x14ac:dyDescent="0.3">
      <c r="A21" s="6">
        <v>45520</v>
      </c>
      <c r="B21" s="10" t="s">
        <v>2004</v>
      </c>
      <c r="C21" s="10" t="s">
        <v>3527</v>
      </c>
      <c r="D21" s="10">
        <v>-35181.94</v>
      </c>
      <c r="E21" s="10">
        <v>291504.86000000138</v>
      </c>
      <c r="F21" s="9" t="s">
        <v>3515</v>
      </c>
    </row>
    <row r="22" spans="1:6" x14ac:dyDescent="0.3">
      <c r="A22" s="12">
        <v>43466</v>
      </c>
      <c r="B22" s="9" t="s">
        <v>25</v>
      </c>
      <c r="C22" s="9"/>
      <c r="D22" s="9">
        <v>1500</v>
      </c>
      <c r="E22" s="9">
        <v>427947.89000000042</v>
      </c>
      <c r="F22" s="9"/>
    </row>
    <row r="23" spans="1:6" hidden="1" x14ac:dyDescent="0.3">
      <c r="A23" s="6">
        <v>44227</v>
      </c>
      <c r="B23" s="10" t="s">
        <v>27</v>
      </c>
      <c r="C23" s="10"/>
      <c r="D23" s="10">
        <v>-32500</v>
      </c>
      <c r="E23" s="10">
        <v>593970.7500000007</v>
      </c>
      <c r="F23" s="9" t="s">
        <v>3509</v>
      </c>
    </row>
    <row r="24" spans="1:6" x14ac:dyDescent="0.3">
      <c r="A24" s="12">
        <v>43483</v>
      </c>
      <c r="B24" s="9" t="s">
        <v>25</v>
      </c>
      <c r="C24" s="9"/>
      <c r="D24" s="9">
        <v>4425</v>
      </c>
      <c r="E24" s="9">
        <v>571251.36000000034</v>
      </c>
      <c r="F24" s="9"/>
    </row>
    <row r="25" spans="1:6" x14ac:dyDescent="0.3">
      <c r="A25" s="12">
        <v>43483</v>
      </c>
      <c r="B25" s="9" t="s">
        <v>25</v>
      </c>
      <c r="C25" s="9"/>
      <c r="D25" s="9">
        <v>3600</v>
      </c>
      <c r="E25" s="9">
        <v>574851.36000000034</v>
      </c>
      <c r="F25" s="9"/>
    </row>
    <row r="26" spans="1:6" x14ac:dyDescent="0.3">
      <c r="A26" s="12">
        <v>43483</v>
      </c>
      <c r="B26" s="9" t="s">
        <v>25</v>
      </c>
      <c r="C26" s="9"/>
      <c r="D26" s="9">
        <v>1320</v>
      </c>
      <c r="E26" s="9">
        <v>576171.36000000034</v>
      </c>
      <c r="F26" s="9"/>
    </row>
    <row r="27" spans="1:6" x14ac:dyDescent="0.3">
      <c r="A27" s="12">
        <v>43489</v>
      </c>
      <c r="B27" s="9" t="s">
        <v>27</v>
      </c>
      <c r="C27" s="9" t="s">
        <v>3528</v>
      </c>
      <c r="D27" s="9">
        <v>-4167</v>
      </c>
      <c r="E27" s="9">
        <v>564069.7000000003</v>
      </c>
      <c r="F27" s="9"/>
    </row>
    <row r="28" spans="1:6" x14ac:dyDescent="0.3">
      <c r="A28" s="12">
        <v>43510</v>
      </c>
      <c r="B28" s="9" t="s">
        <v>25</v>
      </c>
      <c r="C28" s="9"/>
      <c r="D28" s="9">
        <v>165</v>
      </c>
      <c r="E28" s="9">
        <v>623955.64000000048</v>
      </c>
      <c r="F28" s="9"/>
    </row>
    <row r="29" spans="1:6" x14ac:dyDescent="0.3">
      <c r="A29" s="12">
        <v>43511</v>
      </c>
      <c r="B29" s="9" t="s">
        <v>25</v>
      </c>
      <c r="C29" s="9"/>
      <c r="D29" s="9">
        <v>165</v>
      </c>
      <c r="E29" s="9">
        <v>623921.25000000047</v>
      </c>
      <c r="F29" s="9"/>
    </row>
    <row r="30" spans="1:6" hidden="1" x14ac:dyDescent="0.3">
      <c r="A30" s="6">
        <v>45015</v>
      </c>
      <c r="B30" s="10" t="s">
        <v>27</v>
      </c>
      <c r="C30" s="10" t="s">
        <v>3520</v>
      </c>
      <c r="D30" s="10">
        <v>-30000</v>
      </c>
      <c r="E30" s="10">
        <v>342832.5100000017</v>
      </c>
      <c r="F30" s="9" t="s">
        <v>3509</v>
      </c>
    </row>
    <row r="31" spans="1:6" x14ac:dyDescent="0.3">
      <c r="A31" s="12">
        <v>43516</v>
      </c>
      <c r="B31" s="9" t="s">
        <v>25</v>
      </c>
      <c r="C31" s="9"/>
      <c r="D31" s="9">
        <v>4950</v>
      </c>
      <c r="E31" s="9">
        <v>610125.25000000058</v>
      </c>
      <c r="F31" s="9"/>
    </row>
    <row r="32" spans="1:6" x14ac:dyDescent="0.3">
      <c r="A32" s="12">
        <v>43517</v>
      </c>
      <c r="B32" s="9" t="s">
        <v>25</v>
      </c>
      <c r="C32" s="9"/>
      <c r="D32" s="9">
        <v>2175</v>
      </c>
      <c r="E32" s="9">
        <v>612300.25000000058</v>
      </c>
      <c r="F32" s="9"/>
    </row>
    <row r="33" spans="1:6" x14ac:dyDescent="0.3">
      <c r="A33" s="12">
        <v>43524</v>
      </c>
      <c r="B33" s="9" t="s">
        <v>27</v>
      </c>
      <c r="C33" s="9" t="s">
        <v>3529</v>
      </c>
      <c r="D33" s="9">
        <v>-12.87</v>
      </c>
      <c r="E33" s="9">
        <v>572321.37000000058</v>
      </c>
      <c r="F33" s="9"/>
    </row>
    <row r="34" spans="1:6" x14ac:dyDescent="0.3">
      <c r="A34" s="12">
        <v>43524</v>
      </c>
      <c r="B34" s="9" t="s">
        <v>27</v>
      </c>
      <c r="C34" s="9"/>
      <c r="D34" s="9">
        <v>-492.19</v>
      </c>
      <c r="E34" s="9">
        <v>571829.18000000063</v>
      </c>
      <c r="F34" s="9"/>
    </row>
    <row r="35" spans="1:6" x14ac:dyDescent="0.3">
      <c r="A35" s="12">
        <v>43524</v>
      </c>
      <c r="B35" s="9" t="s">
        <v>27</v>
      </c>
      <c r="C35" s="9"/>
      <c r="D35" s="9">
        <v>-1040</v>
      </c>
      <c r="E35" s="9">
        <v>572334.24000000057</v>
      </c>
      <c r="F35" s="9"/>
    </row>
    <row r="36" spans="1:6" x14ac:dyDescent="0.3">
      <c r="A36" s="12">
        <v>43529</v>
      </c>
      <c r="B36" s="9" t="s">
        <v>27</v>
      </c>
      <c r="C36" s="9" t="s">
        <v>3530</v>
      </c>
      <c r="D36" s="9">
        <v>-4000</v>
      </c>
      <c r="E36" s="9">
        <v>479195.47000000061</v>
      </c>
      <c r="F36" s="9"/>
    </row>
    <row r="37" spans="1:6" hidden="1" x14ac:dyDescent="0.3">
      <c r="A37" s="6">
        <v>43511</v>
      </c>
      <c r="B37" s="10" t="s">
        <v>27</v>
      </c>
      <c r="C37" s="10"/>
      <c r="D37" s="10">
        <v>-25968.59</v>
      </c>
      <c r="E37" s="10">
        <v>597952.6600000005</v>
      </c>
      <c r="F37" s="9" t="s">
        <v>3509</v>
      </c>
    </row>
    <row r="38" spans="1:6" x14ac:dyDescent="0.3">
      <c r="A38" s="12">
        <v>43539</v>
      </c>
      <c r="B38" s="9" t="s">
        <v>27</v>
      </c>
      <c r="C38" s="9" t="s">
        <v>3531</v>
      </c>
      <c r="D38" s="9">
        <v>-541.11</v>
      </c>
      <c r="E38" s="9">
        <v>517446.38000000059</v>
      </c>
      <c r="F38" s="9"/>
    </row>
    <row r="39" spans="1:6" x14ac:dyDescent="0.3">
      <c r="A39" s="12">
        <v>43539</v>
      </c>
      <c r="B39" s="9" t="s">
        <v>27</v>
      </c>
      <c r="C39" s="9"/>
      <c r="D39" s="9">
        <v>-1000</v>
      </c>
      <c r="E39" s="9">
        <v>521055.59000000061</v>
      </c>
      <c r="F39" s="9"/>
    </row>
    <row r="40" spans="1:6" x14ac:dyDescent="0.3">
      <c r="A40" s="12">
        <v>43539</v>
      </c>
      <c r="B40" s="9" t="s">
        <v>27</v>
      </c>
      <c r="C40" s="9"/>
      <c r="D40" s="9">
        <v>-3068.1</v>
      </c>
      <c r="E40" s="9">
        <v>517987.49000000057</v>
      </c>
      <c r="F40" s="9"/>
    </row>
    <row r="41" spans="1:6" hidden="1" x14ac:dyDescent="0.3">
      <c r="A41" s="6">
        <v>45596</v>
      </c>
      <c r="B41" s="10" t="s">
        <v>27</v>
      </c>
      <c r="C41" s="10"/>
      <c r="D41" s="10">
        <v>-25206</v>
      </c>
      <c r="E41" s="10">
        <v>169494.93000000139</v>
      </c>
      <c r="F41" s="9" t="s">
        <v>3509</v>
      </c>
    </row>
    <row r="42" spans="1:6" hidden="1" x14ac:dyDescent="0.3">
      <c r="A42" s="6">
        <v>45412</v>
      </c>
      <c r="B42" s="10" t="s">
        <v>27</v>
      </c>
      <c r="C42" s="10"/>
      <c r="D42" s="10">
        <v>-25075.040000000001</v>
      </c>
      <c r="E42" s="10">
        <v>287714.83000000141</v>
      </c>
      <c r="F42" s="9" t="s">
        <v>3515</v>
      </c>
    </row>
    <row r="43" spans="1:6" x14ac:dyDescent="0.3">
      <c r="A43" s="12">
        <v>43555</v>
      </c>
      <c r="B43" s="9" t="s">
        <v>25</v>
      </c>
      <c r="C43" s="9"/>
      <c r="D43" s="9">
        <v>2000</v>
      </c>
      <c r="E43" s="9">
        <v>499983.42000000062</v>
      </c>
      <c r="F43" s="9"/>
    </row>
    <row r="44" spans="1:6" x14ac:dyDescent="0.3">
      <c r="A44" s="12">
        <v>43586</v>
      </c>
      <c r="B44" s="9" t="s">
        <v>25</v>
      </c>
      <c r="C44" s="9"/>
      <c r="D44" s="9">
        <v>10</v>
      </c>
      <c r="E44" s="9">
        <v>247265.38000000059</v>
      </c>
      <c r="F44" s="9"/>
    </row>
    <row r="45" spans="1:6" hidden="1" x14ac:dyDescent="0.3">
      <c r="A45" s="6">
        <v>45330</v>
      </c>
      <c r="B45" s="10" t="s">
        <v>2004</v>
      </c>
      <c r="C45" s="10" t="s">
        <v>3532</v>
      </c>
      <c r="D45" s="10">
        <v>-23237.4</v>
      </c>
      <c r="E45" s="10">
        <v>540795.40000000165</v>
      </c>
      <c r="F45" s="9" t="s">
        <v>3509</v>
      </c>
    </row>
    <row r="46" spans="1:6" x14ac:dyDescent="0.3">
      <c r="A46" s="12">
        <v>43609</v>
      </c>
      <c r="B46" s="9" t="s">
        <v>25</v>
      </c>
      <c r="C46" s="9"/>
      <c r="D46" s="9">
        <v>843.75</v>
      </c>
      <c r="E46" s="9">
        <v>166870.9100000007</v>
      </c>
      <c r="F46" s="9"/>
    </row>
    <row r="47" spans="1:6" hidden="1" x14ac:dyDescent="0.3">
      <c r="A47" s="6">
        <v>45046</v>
      </c>
      <c r="B47" s="10" t="s">
        <v>27</v>
      </c>
      <c r="C47" s="10"/>
      <c r="D47" s="10">
        <v>-21760</v>
      </c>
      <c r="E47" s="10">
        <v>201584.27000000171</v>
      </c>
      <c r="F47" s="9" t="s">
        <v>3509</v>
      </c>
    </row>
    <row r="48" spans="1:6" x14ac:dyDescent="0.3">
      <c r="A48" s="12">
        <v>43665</v>
      </c>
      <c r="B48" s="9" t="s">
        <v>25</v>
      </c>
      <c r="C48" s="9"/>
      <c r="D48" s="9">
        <v>2600</v>
      </c>
      <c r="E48" s="9">
        <v>187771.9900000006</v>
      </c>
      <c r="F48" s="9"/>
    </row>
    <row r="49" spans="1:6" hidden="1" x14ac:dyDescent="0.3">
      <c r="A49" s="6">
        <v>45070</v>
      </c>
      <c r="B49" s="10" t="s">
        <v>27</v>
      </c>
      <c r="C49" s="10" t="s">
        <v>3533</v>
      </c>
      <c r="D49" s="10">
        <v>-21750</v>
      </c>
      <c r="E49" s="10">
        <v>136436.99000000171</v>
      </c>
      <c r="F49" s="9" t="s">
        <v>3509</v>
      </c>
    </row>
    <row r="50" spans="1:6" x14ac:dyDescent="0.3">
      <c r="A50" s="12">
        <v>43709</v>
      </c>
      <c r="B50" s="9" t="s">
        <v>25</v>
      </c>
      <c r="C50" s="9"/>
      <c r="D50" s="9">
        <v>400</v>
      </c>
      <c r="E50" s="9">
        <v>179377.4900000006</v>
      </c>
      <c r="F50" s="9"/>
    </row>
    <row r="51" spans="1:6" x14ac:dyDescent="0.3">
      <c r="A51" s="12">
        <v>43717</v>
      </c>
      <c r="B51" s="9" t="s">
        <v>25</v>
      </c>
      <c r="C51" s="9"/>
      <c r="D51" s="9">
        <v>40</v>
      </c>
      <c r="E51" s="9">
        <v>180545.82000000059</v>
      </c>
      <c r="F51" s="9"/>
    </row>
    <row r="52" spans="1:6" x14ac:dyDescent="0.3">
      <c r="A52" s="12">
        <v>43724</v>
      </c>
      <c r="B52" s="9" t="s">
        <v>25</v>
      </c>
      <c r="C52" s="9" t="s">
        <v>3521</v>
      </c>
      <c r="D52" s="9">
        <v>80</v>
      </c>
      <c r="E52" s="9">
        <v>162922.58000000069</v>
      </c>
      <c r="F52" s="9"/>
    </row>
    <row r="53" spans="1:6" x14ac:dyDescent="0.3">
      <c r="A53" s="12">
        <v>43768</v>
      </c>
      <c r="B53" s="9" t="s">
        <v>25</v>
      </c>
      <c r="C53" s="9" t="s">
        <v>3521</v>
      </c>
      <c r="D53" s="9">
        <v>206.25</v>
      </c>
      <c r="E53" s="9">
        <v>186327.86000000071</v>
      </c>
      <c r="F53" s="9"/>
    </row>
    <row r="54" spans="1:6" hidden="1" x14ac:dyDescent="0.3">
      <c r="A54" s="6">
        <v>45291</v>
      </c>
      <c r="B54" s="10" t="s">
        <v>2004</v>
      </c>
      <c r="C54" s="10" t="s">
        <v>3534</v>
      </c>
      <c r="D54" s="10">
        <v>-21750</v>
      </c>
      <c r="E54" s="10">
        <v>303210.10000000172</v>
      </c>
      <c r="F54" s="9" t="s">
        <v>3509</v>
      </c>
    </row>
    <row r="55" spans="1:6" hidden="1" x14ac:dyDescent="0.3">
      <c r="A55" s="6">
        <v>44865</v>
      </c>
      <c r="B55" s="10" t="s">
        <v>27</v>
      </c>
      <c r="C55" s="10" t="s">
        <v>3520</v>
      </c>
      <c r="D55" s="10">
        <v>-20534.3</v>
      </c>
      <c r="E55" s="10">
        <v>542435.22000000172</v>
      </c>
      <c r="F55" s="9" t="s">
        <v>3515</v>
      </c>
    </row>
    <row r="56" spans="1:6" x14ac:dyDescent="0.3">
      <c r="A56" s="12">
        <v>43803</v>
      </c>
      <c r="B56" s="9" t="s">
        <v>27</v>
      </c>
      <c r="C56" s="9" t="s">
        <v>3535</v>
      </c>
      <c r="D56" s="9">
        <v>-20.8</v>
      </c>
      <c r="E56" s="9">
        <v>242857.26000000071</v>
      </c>
      <c r="F56" s="9"/>
    </row>
    <row r="57" spans="1:6" x14ac:dyDescent="0.3">
      <c r="A57" s="12">
        <v>43808</v>
      </c>
      <c r="B57" s="9" t="s">
        <v>25</v>
      </c>
      <c r="C57" s="9" t="s">
        <v>3521</v>
      </c>
      <c r="D57" s="9">
        <v>660</v>
      </c>
      <c r="E57" s="9">
        <v>255842.26000000071</v>
      </c>
      <c r="F57" s="9"/>
    </row>
    <row r="58" spans="1:6" x14ac:dyDescent="0.3">
      <c r="A58" s="12">
        <v>43808</v>
      </c>
      <c r="B58" s="9" t="s">
        <v>27</v>
      </c>
      <c r="C58" s="9" t="s">
        <v>3536</v>
      </c>
      <c r="D58" s="9">
        <v>-15.18</v>
      </c>
      <c r="E58" s="9">
        <v>255827.08000000069</v>
      </c>
      <c r="F58" s="9"/>
    </row>
    <row r="59" spans="1:6" x14ac:dyDescent="0.3">
      <c r="A59" s="12">
        <v>43814</v>
      </c>
      <c r="B59" s="9" t="s">
        <v>27</v>
      </c>
      <c r="C59" s="9"/>
      <c r="D59" s="9">
        <v>-4229.62</v>
      </c>
      <c r="E59" s="9">
        <v>275836.22000000073</v>
      </c>
      <c r="F59" s="9"/>
    </row>
    <row r="60" spans="1:6" x14ac:dyDescent="0.3">
      <c r="A60" s="12">
        <v>43830</v>
      </c>
      <c r="B60" s="9" t="s">
        <v>25</v>
      </c>
      <c r="C60" s="9" t="s">
        <v>3537</v>
      </c>
      <c r="D60" s="9">
        <v>1250</v>
      </c>
      <c r="E60" s="9">
        <v>347178.49000000069</v>
      </c>
      <c r="F60" s="9"/>
    </row>
    <row r="61" spans="1:6" x14ac:dyDescent="0.3">
      <c r="A61" s="12">
        <v>43830</v>
      </c>
      <c r="B61" s="9" t="s">
        <v>27</v>
      </c>
      <c r="C61" s="9"/>
      <c r="D61" s="9">
        <v>-34.950000000000003</v>
      </c>
      <c r="E61" s="9">
        <v>344332.89000000071</v>
      </c>
      <c r="F61" s="9"/>
    </row>
    <row r="62" spans="1:6" x14ac:dyDescent="0.3">
      <c r="A62" s="12">
        <v>43830</v>
      </c>
      <c r="B62" s="9" t="s">
        <v>27</v>
      </c>
      <c r="C62" s="9"/>
      <c r="D62" s="9">
        <v>-750</v>
      </c>
      <c r="E62" s="9">
        <v>344367.84000000072</v>
      </c>
      <c r="F62" s="9"/>
    </row>
    <row r="63" spans="1:6" x14ac:dyDescent="0.3">
      <c r="A63" s="12">
        <v>43830</v>
      </c>
      <c r="B63" s="9" t="s">
        <v>27</v>
      </c>
      <c r="C63" s="9"/>
      <c r="D63" s="9">
        <v>-810.65</v>
      </c>
      <c r="E63" s="9">
        <v>346367.84000000072</v>
      </c>
      <c r="F63" s="9"/>
    </row>
    <row r="64" spans="1:6" x14ac:dyDescent="0.3">
      <c r="A64" s="12">
        <v>43830</v>
      </c>
      <c r="B64" s="9" t="s">
        <v>27</v>
      </c>
      <c r="C64" s="9"/>
      <c r="D64" s="9">
        <v>-1250</v>
      </c>
      <c r="E64" s="9">
        <v>345117.84000000072</v>
      </c>
      <c r="F64" s="9"/>
    </row>
    <row r="65" spans="1:6" x14ac:dyDescent="0.3">
      <c r="A65" s="12">
        <v>43830</v>
      </c>
      <c r="B65" s="9" t="s">
        <v>27</v>
      </c>
      <c r="C65" s="9"/>
      <c r="D65" s="9">
        <v>-1250</v>
      </c>
      <c r="E65" s="9">
        <v>343082.89000000071</v>
      </c>
      <c r="F65" s="9"/>
    </row>
    <row r="66" spans="1:6" x14ac:dyDescent="0.3">
      <c r="A66" s="12">
        <v>43831</v>
      </c>
      <c r="B66" s="9" t="s">
        <v>27</v>
      </c>
      <c r="C66" s="9"/>
      <c r="D66" s="9">
        <v>-4700</v>
      </c>
      <c r="E66" s="9">
        <v>331032.89000000071</v>
      </c>
      <c r="F66" s="9"/>
    </row>
    <row r="67" spans="1:6" hidden="1" x14ac:dyDescent="0.3">
      <c r="A67" s="6">
        <v>44651</v>
      </c>
      <c r="B67" s="10" t="s">
        <v>27</v>
      </c>
      <c r="C67" s="10" t="s">
        <v>3538</v>
      </c>
      <c r="D67" s="10">
        <v>-20230</v>
      </c>
      <c r="E67" s="10">
        <v>751718.93000000145</v>
      </c>
      <c r="F67" s="9" t="s">
        <v>3509</v>
      </c>
    </row>
    <row r="68" spans="1:6" hidden="1" x14ac:dyDescent="0.3">
      <c r="A68" s="6">
        <v>44409</v>
      </c>
      <c r="B68" s="10" t="s">
        <v>27</v>
      </c>
      <c r="C68" s="10" t="s">
        <v>3402</v>
      </c>
      <c r="D68" s="10">
        <v>-19925</v>
      </c>
      <c r="E68" s="10">
        <v>477799.87000000098</v>
      </c>
      <c r="F68" s="9" t="s">
        <v>3515</v>
      </c>
    </row>
    <row r="69" spans="1:6" x14ac:dyDescent="0.3">
      <c r="A69" s="12">
        <v>43876</v>
      </c>
      <c r="B69" s="9" t="s">
        <v>27</v>
      </c>
      <c r="C69" s="9"/>
      <c r="D69" s="9">
        <v>-9.99</v>
      </c>
      <c r="E69" s="9">
        <v>546844.23000000056</v>
      </c>
      <c r="F69" s="9"/>
    </row>
    <row r="70" spans="1:6" x14ac:dyDescent="0.3">
      <c r="A70" s="12">
        <v>43890</v>
      </c>
      <c r="B70" s="9" t="s">
        <v>25</v>
      </c>
      <c r="C70" s="9" t="s">
        <v>3521</v>
      </c>
      <c r="D70" s="9">
        <v>3000</v>
      </c>
      <c r="E70" s="9">
        <v>422991.98000000062</v>
      </c>
      <c r="F70" s="9"/>
    </row>
    <row r="71" spans="1:6" x14ac:dyDescent="0.3">
      <c r="A71" s="12">
        <v>43890</v>
      </c>
      <c r="B71" s="9" t="s">
        <v>25</v>
      </c>
      <c r="C71" s="9"/>
      <c r="D71" s="9">
        <v>2500</v>
      </c>
      <c r="E71" s="9">
        <v>425491.98000000062</v>
      </c>
      <c r="F71" s="9"/>
    </row>
    <row r="72" spans="1:6" x14ac:dyDescent="0.3">
      <c r="A72" s="12">
        <v>43890</v>
      </c>
      <c r="B72" s="9" t="s">
        <v>27</v>
      </c>
      <c r="C72" s="9"/>
      <c r="D72" s="9">
        <v>-34.950000000000003</v>
      </c>
      <c r="E72" s="9">
        <v>425457.03000000061</v>
      </c>
      <c r="F72" s="9"/>
    </row>
    <row r="73" spans="1:6" x14ac:dyDescent="0.3">
      <c r="A73" s="12">
        <v>43891</v>
      </c>
      <c r="B73" s="9" t="s">
        <v>27</v>
      </c>
      <c r="C73" s="9"/>
      <c r="D73" s="9">
        <v>-675</v>
      </c>
      <c r="E73" s="9">
        <v>418107.03000000061</v>
      </c>
      <c r="F73" s="9"/>
    </row>
    <row r="74" spans="1:6" x14ac:dyDescent="0.3">
      <c r="A74" s="12">
        <v>43891</v>
      </c>
      <c r="B74" s="9" t="s">
        <v>27</v>
      </c>
      <c r="C74" s="9"/>
      <c r="D74" s="9">
        <v>-6675</v>
      </c>
      <c r="E74" s="9">
        <v>418782.03000000061</v>
      </c>
      <c r="F74" s="9"/>
    </row>
    <row r="75" spans="1:6" x14ac:dyDescent="0.3">
      <c r="A75" s="12">
        <v>43921</v>
      </c>
      <c r="B75" s="9" t="s">
        <v>25</v>
      </c>
      <c r="C75" s="9" t="s">
        <v>3539</v>
      </c>
      <c r="D75" s="9">
        <v>550</v>
      </c>
      <c r="E75" s="9">
        <v>383194.76000000059</v>
      </c>
      <c r="F75" s="9"/>
    </row>
    <row r="76" spans="1:6" x14ac:dyDescent="0.3">
      <c r="A76" s="12">
        <v>43921</v>
      </c>
      <c r="B76" s="9" t="s">
        <v>27</v>
      </c>
      <c r="C76" s="9" t="s">
        <v>3540</v>
      </c>
      <c r="D76" s="9">
        <v>-54.99</v>
      </c>
      <c r="E76" s="9">
        <v>383139.7700000006</v>
      </c>
      <c r="F76" s="9"/>
    </row>
    <row r="77" spans="1:6" x14ac:dyDescent="0.3">
      <c r="A77" s="12">
        <v>43922</v>
      </c>
      <c r="B77" s="9" t="s">
        <v>27</v>
      </c>
      <c r="C77" s="9" t="s">
        <v>3399</v>
      </c>
      <c r="D77" s="9">
        <v>-6675</v>
      </c>
      <c r="E77" s="9">
        <v>375794.7700000006</v>
      </c>
      <c r="F77" s="9"/>
    </row>
    <row r="78" spans="1:6" x14ac:dyDescent="0.3">
      <c r="A78" s="12">
        <v>43922</v>
      </c>
      <c r="B78" s="9" t="s">
        <v>27</v>
      </c>
      <c r="C78" s="9" t="s">
        <v>3400</v>
      </c>
      <c r="D78" s="9">
        <v>-6675</v>
      </c>
      <c r="E78" s="9">
        <v>369119.7700000006</v>
      </c>
      <c r="F78" s="9"/>
    </row>
    <row r="79" spans="1:6" x14ac:dyDescent="0.3">
      <c r="A79" s="12">
        <v>43931</v>
      </c>
      <c r="B79" s="9" t="s">
        <v>25</v>
      </c>
      <c r="C79" s="9" t="s">
        <v>3541</v>
      </c>
      <c r="D79" s="9">
        <v>3119.98</v>
      </c>
      <c r="E79" s="9">
        <v>363731.51000000059</v>
      </c>
      <c r="F79" s="9"/>
    </row>
    <row r="80" spans="1:6" x14ac:dyDescent="0.3">
      <c r="A80" s="12">
        <v>43934</v>
      </c>
      <c r="B80" s="9" t="s">
        <v>25</v>
      </c>
      <c r="C80" s="9" t="s">
        <v>3521</v>
      </c>
      <c r="D80" s="9">
        <v>247.5</v>
      </c>
      <c r="E80" s="9">
        <v>333162.10000000062</v>
      </c>
      <c r="F80" s="9"/>
    </row>
    <row r="81" spans="1:6" x14ac:dyDescent="0.3">
      <c r="A81" s="12">
        <v>43945</v>
      </c>
      <c r="B81" s="9" t="s">
        <v>27</v>
      </c>
      <c r="C81" s="9"/>
      <c r="D81" s="9">
        <v>-275</v>
      </c>
      <c r="E81" s="9">
        <v>330510.70000000059</v>
      </c>
      <c r="F81" s="9"/>
    </row>
    <row r="82" spans="1:6" x14ac:dyDescent="0.3">
      <c r="A82" s="12">
        <v>43951</v>
      </c>
      <c r="B82" s="9" t="s">
        <v>27</v>
      </c>
      <c r="C82" s="9" t="s">
        <v>3542</v>
      </c>
      <c r="D82" s="9">
        <v>-275</v>
      </c>
      <c r="E82" s="9">
        <v>330794.94000000058</v>
      </c>
      <c r="F82" s="9"/>
    </row>
    <row r="83" spans="1:6" x14ac:dyDescent="0.3">
      <c r="A83" s="12">
        <v>43951</v>
      </c>
      <c r="B83" s="9" t="s">
        <v>27</v>
      </c>
      <c r="C83" s="9" t="s">
        <v>3543</v>
      </c>
      <c r="D83" s="9">
        <v>-295</v>
      </c>
      <c r="E83" s="9">
        <v>330499.94000000058</v>
      </c>
      <c r="F83" s="9"/>
    </row>
    <row r="84" spans="1:6" x14ac:dyDescent="0.3">
      <c r="A84" s="12">
        <v>43952</v>
      </c>
      <c r="B84" s="9" t="s">
        <v>27</v>
      </c>
      <c r="C84" s="9"/>
      <c r="D84" s="9">
        <v>-675</v>
      </c>
      <c r="E84" s="9">
        <v>330099.94000000058</v>
      </c>
      <c r="F84" s="9"/>
    </row>
    <row r="85" spans="1:6" x14ac:dyDescent="0.3">
      <c r="A85" s="12">
        <v>43952</v>
      </c>
      <c r="B85" s="9" t="s">
        <v>27</v>
      </c>
      <c r="C85" s="9"/>
      <c r="D85" s="9">
        <v>-4700</v>
      </c>
      <c r="E85" s="9">
        <v>324373.61000000063</v>
      </c>
      <c r="F85" s="9"/>
    </row>
    <row r="86" spans="1:6" x14ac:dyDescent="0.3">
      <c r="A86" s="12">
        <v>43959</v>
      </c>
      <c r="B86" s="9" t="s">
        <v>27</v>
      </c>
      <c r="C86" s="9" t="s">
        <v>3544</v>
      </c>
      <c r="D86" s="9">
        <v>-26.99</v>
      </c>
      <c r="E86" s="9">
        <v>308687.42000000062</v>
      </c>
      <c r="F86" s="9"/>
    </row>
    <row r="87" spans="1:6" x14ac:dyDescent="0.3">
      <c r="A87" s="12">
        <v>43973</v>
      </c>
      <c r="B87" s="9" t="s">
        <v>25</v>
      </c>
      <c r="C87" s="9"/>
      <c r="D87" s="9">
        <v>123.75</v>
      </c>
      <c r="E87" s="9">
        <v>300496.13000000059</v>
      </c>
      <c r="F87" s="9"/>
    </row>
    <row r="88" spans="1:6" x14ac:dyDescent="0.3">
      <c r="A88" s="12">
        <v>43975</v>
      </c>
      <c r="B88" s="9" t="s">
        <v>27</v>
      </c>
      <c r="C88" s="9"/>
      <c r="D88" s="9">
        <v>-70.77</v>
      </c>
      <c r="E88" s="9">
        <v>300230.37000000058</v>
      </c>
      <c r="F88" s="9"/>
    </row>
    <row r="89" spans="1:6" x14ac:dyDescent="0.3">
      <c r="A89" s="12">
        <v>43980</v>
      </c>
      <c r="B89" s="9" t="s">
        <v>25</v>
      </c>
      <c r="C89" s="9" t="s">
        <v>3545</v>
      </c>
      <c r="D89" s="9">
        <v>275</v>
      </c>
      <c r="E89" s="9">
        <v>300545.37000000058</v>
      </c>
      <c r="F89" s="9"/>
    </row>
    <row r="90" spans="1:6" x14ac:dyDescent="0.3">
      <c r="A90" s="12">
        <v>43981</v>
      </c>
      <c r="B90" s="9" t="s">
        <v>25</v>
      </c>
      <c r="C90" s="9" t="s">
        <v>3546</v>
      </c>
      <c r="D90" s="9">
        <v>375</v>
      </c>
      <c r="E90" s="9">
        <v>300920.37000000058</v>
      </c>
      <c r="F90" s="9"/>
    </row>
    <row r="91" spans="1:6" x14ac:dyDescent="0.3">
      <c r="A91" s="12">
        <v>43981</v>
      </c>
      <c r="B91" s="9" t="s">
        <v>25</v>
      </c>
      <c r="C91" s="9" t="s">
        <v>3547</v>
      </c>
      <c r="D91" s="9">
        <v>375</v>
      </c>
      <c r="E91" s="9">
        <v>301295.37000000058</v>
      </c>
      <c r="F91" s="9"/>
    </row>
    <row r="92" spans="1:6" x14ac:dyDescent="0.3">
      <c r="A92" s="12">
        <v>43983</v>
      </c>
      <c r="B92" s="9" t="s">
        <v>25</v>
      </c>
      <c r="C92" s="9"/>
      <c r="D92" s="9">
        <v>530</v>
      </c>
      <c r="E92" s="9">
        <v>302297.87000000058</v>
      </c>
      <c r="F92" s="9"/>
    </row>
    <row r="93" spans="1:6" x14ac:dyDescent="0.3">
      <c r="A93" s="12">
        <v>43983</v>
      </c>
      <c r="B93" s="9" t="s">
        <v>27</v>
      </c>
      <c r="C93" s="9"/>
      <c r="D93" s="9">
        <v>-650</v>
      </c>
      <c r="E93" s="9">
        <v>301647.87000000058</v>
      </c>
      <c r="F93" s="9"/>
    </row>
    <row r="94" spans="1:6" x14ac:dyDescent="0.3">
      <c r="A94" s="12">
        <v>43983</v>
      </c>
      <c r="B94" s="9" t="s">
        <v>27</v>
      </c>
      <c r="C94" s="9"/>
      <c r="D94" s="9">
        <v>-5866.75</v>
      </c>
      <c r="E94" s="9">
        <v>295781.12000000058</v>
      </c>
      <c r="F94" s="9"/>
    </row>
    <row r="95" spans="1:6" x14ac:dyDescent="0.3">
      <c r="A95" s="12">
        <v>44011</v>
      </c>
      <c r="B95" s="9" t="s">
        <v>27</v>
      </c>
      <c r="C95" s="9"/>
      <c r="D95" s="9">
        <v>-697.89</v>
      </c>
      <c r="E95" s="9">
        <v>311176.94000000053</v>
      </c>
      <c r="F95" s="9"/>
    </row>
    <row r="96" spans="1:6" x14ac:dyDescent="0.3">
      <c r="A96" s="12">
        <v>44032</v>
      </c>
      <c r="B96" s="9" t="s">
        <v>27</v>
      </c>
      <c r="C96" s="9"/>
      <c r="D96" s="9">
        <v>-70.77</v>
      </c>
      <c r="E96" s="9">
        <v>403332.55000000051</v>
      </c>
      <c r="F96" s="9"/>
    </row>
    <row r="97" spans="1:6" x14ac:dyDescent="0.3">
      <c r="A97" s="12">
        <v>44032</v>
      </c>
      <c r="B97" s="9" t="s">
        <v>27</v>
      </c>
      <c r="C97" s="9" t="s">
        <v>3548</v>
      </c>
      <c r="D97" s="9">
        <v>-1000</v>
      </c>
      <c r="E97" s="9">
        <v>403403.32000000047</v>
      </c>
      <c r="F97" s="9"/>
    </row>
    <row r="98" spans="1:6" x14ac:dyDescent="0.3">
      <c r="A98" s="12">
        <v>44035</v>
      </c>
      <c r="B98" s="9" t="s">
        <v>27</v>
      </c>
      <c r="C98" s="9"/>
      <c r="D98" s="9">
        <v>-6811.65</v>
      </c>
      <c r="E98" s="9">
        <v>396835.90000000049</v>
      </c>
      <c r="F98" s="9"/>
    </row>
    <row r="99" spans="1:6" x14ac:dyDescent="0.3">
      <c r="A99" s="12">
        <v>44045</v>
      </c>
      <c r="B99" s="9" t="s">
        <v>27</v>
      </c>
      <c r="C99" s="9"/>
      <c r="D99" s="9">
        <v>-573.36</v>
      </c>
      <c r="E99" s="9">
        <v>392301.06000000052</v>
      </c>
      <c r="F99" s="9"/>
    </row>
    <row r="100" spans="1:6" x14ac:dyDescent="0.3">
      <c r="A100" s="12">
        <v>44057</v>
      </c>
      <c r="B100" s="9" t="s">
        <v>25</v>
      </c>
      <c r="C100" s="9"/>
      <c r="D100" s="9">
        <v>82.5</v>
      </c>
      <c r="E100" s="9">
        <v>389604.88000000053</v>
      </c>
      <c r="F100" s="9"/>
    </row>
    <row r="101" spans="1:6" x14ac:dyDescent="0.3">
      <c r="A101" s="12">
        <v>44057</v>
      </c>
      <c r="B101" s="9" t="s">
        <v>25</v>
      </c>
      <c r="C101" s="9"/>
      <c r="D101" s="9">
        <v>82.5</v>
      </c>
      <c r="E101" s="9">
        <v>389687.38000000053</v>
      </c>
      <c r="F101" s="9"/>
    </row>
    <row r="102" spans="1:6" x14ac:dyDescent="0.3">
      <c r="A102" s="12">
        <v>44076</v>
      </c>
      <c r="B102" s="9" t="s">
        <v>27</v>
      </c>
      <c r="C102" s="9"/>
      <c r="D102" s="9">
        <v>-4700</v>
      </c>
      <c r="E102" s="9">
        <v>376804.24000000051</v>
      </c>
      <c r="F102" s="9"/>
    </row>
    <row r="103" spans="1:6" x14ac:dyDescent="0.3">
      <c r="A103" s="12">
        <v>44095</v>
      </c>
      <c r="B103" s="9" t="s">
        <v>25</v>
      </c>
      <c r="C103" s="9"/>
      <c r="D103" s="9">
        <v>165</v>
      </c>
      <c r="E103" s="9">
        <v>383378.96000000049</v>
      </c>
      <c r="F103" s="9"/>
    </row>
    <row r="104" spans="1:6" x14ac:dyDescent="0.3">
      <c r="A104" s="12">
        <v>44095</v>
      </c>
      <c r="B104" s="9" t="s">
        <v>25</v>
      </c>
      <c r="C104" s="9"/>
      <c r="D104" s="9">
        <v>110</v>
      </c>
      <c r="E104" s="9">
        <v>383488.96000000049</v>
      </c>
      <c r="F104" s="9"/>
    </row>
    <row r="105" spans="1:6" x14ac:dyDescent="0.3">
      <c r="A105" s="12">
        <v>44105</v>
      </c>
      <c r="B105" s="9" t="s">
        <v>27</v>
      </c>
      <c r="C105" s="9" t="s">
        <v>3549</v>
      </c>
      <c r="D105" s="9">
        <v>-38.159999999999997</v>
      </c>
      <c r="E105" s="9">
        <v>404035.03000000049</v>
      </c>
      <c r="F105" s="9"/>
    </row>
    <row r="106" spans="1:6" x14ac:dyDescent="0.3">
      <c r="A106" s="12">
        <v>44105</v>
      </c>
      <c r="B106" s="9" t="s">
        <v>27</v>
      </c>
      <c r="C106" s="9" t="s">
        <v>3550</v>
      </c>
      <c r="D106" s="9">
        <v>-79.989999999999995</v>
      </c>
      <c r="E106" s="9">
        <v>403955.0400000005</v>
      </c>
      <c r="F106" s="9"/>
    </row>
    <row r="107" spans="1:6" x14ac:dyDescent="0.3">
      <c r="A107" s="12">
        <v>44105</v>
      </c>
      <c r="B107" s="9" t="s">
        <v>27</v>
      </c>
      <c r="C107" s="9"/>
      <c r="D107" s="9">
        <v>-750</v>
      </c>
      <c r="E107" s="9">
        <v>395982.56000000052</v>
      </c>
      <c r="F107" s="9"/>
    </row>
    <row r="108" spans="1:6" x14ac:dyDescent="0.3">
      <c r="A108" s="12">
        <v>44105</v>
      </c>
      <c r="B108" s="9" t="s">
        <v>27</v>
      </c>
      <c r="C108" s="9"/>
      <c r="D108" s="9">
        <v>-2437.5</v>
      </c>
      <c r="E108" s="9">
        <v>401517.5400000005</v>
      </c>
      <c r="F108" s="9"/>
    </row>
    <row r="109" spans="1:6" x14ac:dyDescent="0.3">
      <c r="A109" s="12">
        <v>44105</v>
      </c>
      <c r="B109" s="9" t="s">
        <v>27</v>
      </c>
      <c r="C109" s="9"/>
      <c r="D109" s="9">
        <v>-4784.9799999999996</v>
      </c>
      <c r="E109" s="9">
        <v>396732.56000000052</v>
      </c>
      <c r="F109" s="9"/>
    </row>
    <row r="110" spans="1:6" x14ac:dyDescent="0.3">
      <c r="A110" s="12">
        <v>44145</v>
      </c>
      <c r="B110" s="9" t="s">
        <v>25</v>
      </c>
      <c r="C110" s="9"/>
      <c r="D110" s="9">
        <v>618.75</v>
      </c>
      <c r="E110" s="9">
        <v>430150.50000000052</v>
      </c>
      <c r="F110" s="9"/>
    </row>
    <row r="111" spans="1:6" x14ac:dyDescent="0.3">
      <c r="A111" s="12">
        <v>44165</v>
      </c>
      <c r="B111" s="9" t="s">
        <v>25</v>
      </c>
      <c r="C111" s="9" t="s">
        <v>3551</v>
      </c>
      <c r="D111" s="9">
        <v>5390</v>
      </c>
      <c r="E111" s="9">
        <v>476133.65000000037</v>
      </c>
      <c r="F111" s="9"/>
    </row>
    <row r="112" spans="1:6" x14ac:dyDescent="0.3">
      <c r="A112" s="12">
        <v>44165</v>
      </c>
      <c r="B112" s="9" t="s">
        <v>27</v>
      </c>
      <c r="C112" s="9"/>
      <c r="D112" s="9">
        <v>-700</v>
      </c>
      <c r="E112" s="9">
        <v>475287.34000000037</v>
      </c>
      <c r="F112" s="9"/>
    </row>
    <row r="113" spans="1:6" x14ac:dyDescent="0.3">
      <c r="A113" s="12">
        <v>44197</v>
      </c>
      <c r="B113" s="9" t="s">
        <v>27</v>
      </c>
      <c r="C113" s="9" t="s">
        <v>3552</v>
      </c>
      <c r="D113" s="9">
        <v>-703.62</v>
      </c>
      <c r="E113" s="9">
        <v>535481.51000000047</v>
      </c>
      <c r="F113" s="9"/>
    </row>
    <row r="114" spans="1:6" x14ac:dyDescent="0.3">
      <c r="A114" s="12">
        <v>44197</v>
      </c>
      <c r="B114" s="9" t="s">
        <v>27</v>
      </c>
      <c r="C114" s="9" t="s">
        <v>3553</v>
      </c>
      <c r="D114" s="9">
        <v>-3750</v>
      </c>
      <c r="E114" s="9">
        <v>531731.51000000047</v>
      </c>
      <c r="F114" s="9"/>
    </row>
    <row r="115" spans="1:6" x14ac:dyDescent="0.3">
      <c r="A115" s="12">
        <v>44225</v>
      </c>
      <c r="B115" s="9" t="s">
        <v>27</v>
      </c>
      <c r="C115" s="9" t="s">
        <v>3554</v>
      </c>
      <c r="D115" s="9">
        <v>-7000</v>
      </c>
      <c r="E115" s="9">
        <v>650433.69000000076</v>
      </c>
      <c r="F115" s="9"/>
    </row>
    <row r="116" spans="1:6" x14ac:dyDescent="0.3">
      <c r="A116" s="12">
        <v>44227</v>
      </c>
      <c r="B116" s="9" t="s">
        <v>27</v>
      </c>
      <c r="C116" s="9"/>
      <c r="D116" s="9">
        <v>-3750</v>
      </c>
      <c r="E116" s="9">
        <v>646612.92000000074</v>
      </c>
      <c r="F116" s="9"/>
    </row>
    <row r="117" spans="1:6" x14ac:dyDescent="0.3">
      <c r="A117" s="12">
        <v>44227</v>
      </c>
      <c r="B117" s="9" t="s">
        <v>27</v>
      </c>
      <c r="C117" s="9"/>
      <c r="D117" s="9">
        <v>-5142.17</v>
      </c>
      <c r="E117" s="9">
        <v>641470.7500000007</v>
      </c>
      <c r="F117" s="9"/>
    </row>
    <row r="118" spans="1:6" x14ac:dyDescent="0.3">
      <c r="A118" s="12">
        <v>44227</v>
      </c>
      <c r="B118" s="9" t="s">
        <v>27</v>
      </c>
      <c r="C118" s="9"/>
      <c r="D118" s="9">
        <v>-7018</v>
      </c>
      <c r="E118" s="9">
        <v>586952.7500000007</v>
      </c>
      <c r="F118" s="9"/>
    </row>
    <row r="119" spans="1:6" hidden="1" x14ac:dyDescent="0.3">
      <c r="A119" s="6">
        <v>44562</v>
      </c>
      <c r="B119" s="10" t="s">
        <v>27</v>
      </c>
      <c r="C119" s="10" t="s">
        <v>3555</v>
      </c>
      <c r="D119" s="10">
        <v>-18500</v>
      </c>
      <c r="E119" s="10">
        <v>629595.83000000124</v>
      </c>
      <c r="F119" s="9" t="s">
        <v>3509</v>
      </c>
    </row>
    <row r="120" spans="1:6" hidden="1" x14ac:dyDescent="0.3">
      <c r="A120" s="6">
        <v>44651</v>
      </c>
      <c r="B120" s="10" t="s">
        <v>27</v>
      </c>
      <c r="C120" s="10"/>
      <c r="D120" s="10">
        <v>-18500</v>
      </c>
      <c r="E120" s="10">
        <v>813166.68000000133</v>
      </c>
      <c r="F120" s="9" t="s">
        <v>3509</v>
      </c>
    </row>
    <row r="121" spans="1:6" hidden="1" x14ac:dyDescent="0.3">
      <c r="A121" s="6">
        <v>44696</v>
      </c>
      <c r="B121" s="10" t="s">
        <v>27</v>
      </c>
      <c r="C121" s="10" t="s">
        <v>3555</v>
      </c>
      <c r="D121" s="10">
        <v>-18500</v>
      </c>
      <c r="E121" s="10">
        <v>668492.15000000142</v>
      </c>
      <c r="F121" s="9" t="s">
        <v>3509</v>
      </c>
    </row>
    <row r="122" spans="1:6" x14ac:dyDescent="0.3">
      <c r="A122" s="12">
        <v>44231</v>
      </c>
      <c r="B122" s="9" t="s">
        <v>27</v>
      </c>
      <c r="C122" s="9" t="s">
        <v>3556</v>
      </c>
      <c r="D122" s="9">
        <v>-2404.17</v>
      </c>
      <c r="E122" s="9">
        <v>582936.60000000068</v>
      </c>
      <c r="F122" s="9"/>
    </row>
    <row r="123" spans="1:6" x14ac:dyDescent="0.3">
      <c r="A123" s="12">
        <v>44259</v>
      </c>
      <c r="B123" s="9" t="s">
        <v>25</v>
      </c>
      <c r="C123" s="9"/>
      <c r="D123" s="9">
        <v>855</v>
      </c>
      <c r="E123" s="9">
        <v>582887.22000000114</v>
      </c>
      <c r="F123" s="9"/>
    </row>
    <row r="124" spans="1:6" x14ac:dyDescent="0.3">
      <c r="A124" s="12">
        <v>44262</v>
      </c>
      <c r="B124" s="9" t="s">
        <v>27</v>
      </c>
      <c r="C124" s="9" t="s">
        <v>3402</v>
      </c>
      <c r="D124" s="9">
        <v>-475</v>
      </c>
      <c r="E124" s="9">
        <v>581522.22000000114</v>
      </c>
      <c r="F124" s="9"/>
    </row>
    <row r="125" spans="1:6" x14ac:dyDescent="0.3">
      <c r="A125" s="12">
        <v>44262</v>
      </c>
      <c r="B125" s="9" t="s">
        <v>27</v>
      </c>
      <c r="C125" s="9" t="s">
        <v>3402</v>
      </c>
      <c r="D125" s="9">
        <v>-6675</v>
      </c>
      <c r="E125" s="9">
        <v>574847.22000000114</v>
      </c>
      <c r="F125" s="9"/>
    </row>
    <row r="126" spans="1:6" x14ac:dyDescent="0.3">
      <c r="A126" s="12">
        <v>44286</v>
      </c>
      <c r="B126" s="9" t="s">
        <v>27</v>
      </c>
      <c r="C126" s="9" t="s">
        <v>3526</v>
      </c>
      <c r="D126" s="9">
        <v>-0.39</v>
      </c>
      <c r="E126" s="9">
        <v>501752.96000000113</v>
      </c>
      <c r="F126" s="9"/>
    </row>
    <row r="127" spans="1:6" x14ac:dyDescent="0.3">
      <c r="A127" s="12">
        <v>44287</v>
      </c>
      <c r="B127" s="9" t="s">
        <v>27</v>
      </c>
      <c r="C127" s="9" t="s">
        <v>3557</v>
      </c>
      <c r="D127" s="9">
        <v>-1250</v>
      </c>
      <c r="E127" s="9">
        <v>497222.96000000113</v>
      </c>
      <c r="F127" s="9"/>
    </row>
    <row r="128" spans="1:6" x14ac:dyDescent="0.3">
      <c r="A128" s="12">
        <v>44287</v>
      </c>
      <c r="B128" s="9" t="s">
        <v>27</v>
      </c>
      <c r="C128" s="9"/>
      <c r="D128" s="9">
        <v>-5300</v>
      </c>
      <c r="E128" s="9">
        <v>498472.96000000113</v>
      </c>
      <c r="F128" s="9"/>
    </row>
    <row r="129" spans="1:6" x14ac:dyDescent="0.3">
      <c r="A129" s="12">
        <v>44291</v>
      </c>
      <c r="B129" s="9" t="s">
        <v>27</v>
      </c>
      <c r="C129" s="9"/>
      <c r="D129" s="9">
        <v>-800</v>
      </c>
      <c r="E129" s="9">
        <v>495756.1800000011</v>
      </c>
      <c r="F129" s="9"/>
    </row>
    <row r="130" spans="1:6" x14ac:dyDescent="0.3">
      <c r="A130" s="12">
        <v>44293</v>
      </c>
      <c r="B130" s="9" t="s">
        <v>25</v>
      </c>
      <c r="C130" s="9" t="s">
        <v>3558</v>
      </c>
      <c r="D130" s="9">
        <v>600</v>
      </c>
      <c r="E130" s="9">
        <v>497018.6800000011</v>
      </c>
      <c r="F130" s="9"/>
    </row>
    <row r="131" spans="1:6" x14ac:dyDescent="0.3">
      <c r="A131" s="12">
        <v>44294</v>
      </c>
      <c r="B131" s="9" t="s">
        <v>27</v>
      </c>
      <c r="C131" s="9" t="s">
        <v>3528</v>
      </c>
      <c r="D131" s="9">
        <v>-331.61</v>
      </c>
      <c r="E131" s="9">
        <v>500620.05000000121</v>
      </c>
      <c r="F131" s="9"/>
    </row>
    <row r="132" spans="1:6" hidden="1" x14ac:dyDescent="0.3">
      <c r="A132" s="6">
        <v>43539</v>
      </c>
      <c r="B132" s="10" t="s">
        <v>27</v>
      </c>
      <c r="C132" s="10" t="s">
        <v>3559</v>
      </c>
      <c r="D132" s="10">
        <v>-18225.57</v>
      </c>
      <c r="E132" s="10">
        <v>499220.81000000058</v>
      </c>
      <c r="F132" s="9" t="s">
        <v>3509</v>
      </c>
    </row>
    <row r="133" spans="1:6" hidden="1" x14ac:dyDescent="0.3">
      <c r="A133" s="6">
        <v>44972</v>
      </c>
      <c r="B133" s="10" t="s">
        <v>27</v>
      </c>
      <c r="C133" s="10" t="s">
        <v>3560</v>
      </c>
      <c r="D133" s="10">
        <v>-17500</v>
      </c>
      <c r="E133" s="10">
        <v>1039455.850000002</v>
      </c>
      <c r="F133" s="9" t="s">
        <v>3515</v>
      </c>
    </row>
    <row r="134" spans="1:6" x14ac:dyDescent="0.3">
      <c r="A134" s="12">
        <v>44331</v>
      </c>
      <c r="B134" s="9" t="s">
        <v>27</v>
      </c>
      <c r="C134" s="9" t="s">
        <v>3561</v>
      </c>
      <c r="D134" s="9">
        <v>-5128.99</v>
      </c>
      <c r="E134" s="9">
        <v>459660.34000000107</v>
      </c>
      <c r="F134" s="9"/>
    </row>
    <row r="135" spans="1:6" hidden="1" x14ac:dyDescent="0.3">
      <c r="A135" s="6">
        <v>45046</v>
      </c>
      <c r="B135" s="10" t="s">
        <v>27</v>
      </c>
      <c r="C135" s="10"/>
      <c r="D135" s="10">
        <v>-15561.08</v>
      </c>
      <c r="E135" s="10">
        <v>185938.19000000169</v>
      </c>
      <c r="F135" s="9" t="s">
        <v>3509</v>
      </c>
    </row>
    <row r="136" spans="1:6" x14ac:dyDescent="0.3">
      <c r="A136" s="12">
        <v>44348</v>
      </c>
      <c r="B136" s="9" t="s">
        <v>27</v>
      </c>
      <c r="C136" s="9" t="s">
        <v>3562</v>
      </c>
      <c r="D136" s="9">
        <v>-675</v>
      </c>
      <c r="E136" s="9">
        <v>457395.29000000108</v>
      </c>
      <c r="F136" s="9"/>
    </row>
    <row r="137" spans="1:6" x14ac:dyDescent="0.3">
      <c r="A137" s="12">
        <v>44348</v>
      </c>
      <c r="B137" s="9" t="s">
        <v>27</v>
      </c>
      <c r="C137" s="9"/>
      <c r="D137" s="9">
        <v>-6675</v>
      </c>
      <c r="E137" s="9">
        <v>458173.73000000109</v>
      </c>
      <c r="F137" s="9"/>
    </row>
    <row r="138" spans="1:6" x14ac:dyDescent="0.3">
      <c r="A138" s="12">
        <v>44359</v>
      </c>
      <c r="B138" s="9" t="s">
        <v>27</v>
      </c>
      <c r="C138" s="9"/>
      <c r="D138" s="9">
        <v>-5247.07</v>
      </c>
      <c r="E138" s="9">
        <v>408780.42000000109</v>
      </c>
      <c r="F138" s="9"/>
    </row>
    <row r="139" spans="1:6" hidden="1" x14ac:dyDescent="0.3">
      <c r="A139" s="6">
        <v>45809</v>
      </c>
      <c r="B139" s="10" t="s">
        <v>27</v>
      </c>
      <c r="C139" s="10"/>
      <c r="D139" s="10">
        <v>-15400</v>
      </c>
      <c r="E139" s="10">
        <v>69850.53000000109</v>
      </c>
      <c r="F139" s="9" t="s">
        <v>3515</v>
      </c>
    </row>
    <row r="140" spans="1:6" x14ac:dyDescent="0.3">
      <c r="A140" s="12">
        <v>44409</v>
      </c>
      <c r="B140" s="9" t="s">
        <v>27</v>
      </c>
      <c r="C140" s="9"/>
      <c r="D140" s="9">
        <v>-5513.39</v>
      </c>
      <c r="E140" s="9">
        <v>441411.48000000097</v>
      </c>
      <c r="F140" s="9"/>
    </row>
    <row r="141" spans="1:6" hidden="1" x14ac:dyDescent="0.3">
      <c r="A141" s="6">
        <v>45260</v>
      </c>
      <c r="B141" s="10" t="s">
        <v>27</v>
      </c>
      <c r="C141" s="10"/>
      <c r="D141" s="10">
        <v>-15163.81</v>
      </c>
      <c r="E141" s="10">
        <v>246856.91000000169</v>
      </c>
      <c r="F141" s="9" t="s">
        <v>3509</v>
      </c>
    </row>
    <row r="142" spans="1:6" hidden="1" x14ac:dyDescent="0.3">
      <c r="A142" s="6">
        <v>44227</v>
      </c>
      <c r="B142" s="10" t="s">
        <v>27</v>
      </c>
      <c r="C142" s="10"/>
      <c r="D142" s="10">
        <v>-15000</v>
      </c>
      <c r="E142" s="10">
        <v>626470.7500000007</v>
      </c>
      <c r="F142" s="9" t="s">
        <v>3509</v>
      </c>
    </row>
    <row r="143" spans="1:6" hidden="1" x14ac:dyDescent="0.3">
      <c r="A143" s="6">
        <v>45105</v>
      </c>
      <c r="B143" s="10" t="s">
        <v>2004</v>
      </c>
      <c r="C143" s="10" t="s">
        <v>3563</v>
      </c>
      <c r="D143" s="10">
        <v>-14500</v>
      </c>
      <c r="E143" s="10">
        <v>103095.5800000017</v>
      </c>
      <c r="F143" s="9" t="s">
        <v>3509</v>
      </c>
    </row>
    <row r="144" spans="1:6" hidden="1" x14ac:dyDescent="0.3">
      <c r="A144" s="6">
        <v>45397</v>
      </c>
      <c r="B144" s="10" t="s">
        <v>27</v>
      </c>
      <c r="C144" s="10"/>
      <c r="D144" s="10">
        <v>-14400.21</v>
      </c>
      <c r="E144" s="10">
        <v>327943.08000000141</v>
      </c>
      <c r="F144" s="9" t="s">
        <v>3515</v>
      </c>
    </row>
    <row r="145" spans="1:6" x14ac:dyDescent="0.3">
      <c r="A145" s="12">
        <v>44427</v>
      </c>
      <c r="B145" s="9" t="s">
        <v>25</v>
      </c>
      <c r="C145" s="9"/>
      <c r="D145" s="9">
        <v>122.5</v>
      </c>
      <c r="E145" s="9">
        <v>450165.24000000098</v>
      </c>
      <c r="F145" s="9"/>
    </row>
    <row r="146" spans="1:6" x14ac:dyDescent="0.3">
      <c r="A146" s="12">
        <v>44440</v>
      </c>
      <c r="B146" s="9" t="s">
        <v>27</v>
      </c>
      <c r="C146" s="9"/>
      <c r="D146" s="9">
        <v>-5156.96</v>
      </c>
      <c r="E146" s="9">
        <v>441792.34000000102</v>
      </c>
      <c r="F146" s="9"/>
    </row>
    <row r="147" spans="1:6" hidden="1" x14ac:dyDescent="0.3">
      <c r="A147" s="6">
        <v>45195</v>
      </c>
      <c r="B147" s="10" t="s">
        <v>2004</v>
      </c>
      <c r="C147" s="10" t="s">
        <v>3472</v>
      </c>
      <c r="D147" s="10">
        <v>-13600</v>
      </c>
      <c r="E147" s="10">
        <v>183535.1400000017</v>
      </c>
      <c r="F147" s="9" t="s">
        <v>3514</v>
      </c>
    </row>
    <row r="148" spans="1:6" x14ac:dyDescent="0.3">
      <c r="A148" s="12">
        <v>44444</v>
      </c>
      <c r="B148" s="9" t="s">
        <v>27</v>
      </c>
      <c r="C148" s="9" t="s">
        <v>3564</v>
      </c>
      <c r="D148" s="9">
        <v>-34.950000000000003</v>
      </c>
      <c r="E148" s="9">
        <v>442563.23000000091</v>
      </c>
      <c r="F148" s="9"/>
    </row>
    <row r="149" spans="1:6" hidden="1" x14ac:dyDescent="0.3">
      <c r="A149" s="6">
        <v>45195</v>
      </c>
      <c r="B149" s="10" t="s">
        <v>2004</v>
      </c>
      <c r="C149" s="10" t="s">
        <v>3474</v>
      </c>
      <c r="D149" s="10">
        <v>-13600</v>
      </c>
      <c r="E149" s="10">
        <v>169935.1400000017</v>
      </c>
      <c r="F149" s="9" t="s">
        <v>3514</v>
      </c>
    </row>
    <row r="150" spans="1:6" hidden="1" x14ac:dyDescent="0.3">
      <c r="A150" s="6">
        <v>45275</v>
      </c>
      <c r="B150" s="10" t="s">
        <v>27</v>
      </c>
      <c r="C150" s="10"/>
      <c r="D150" s="10">
        <v>-13600</v>
      </c>
      <c r="E150" s="10">
        <v>292905.42000000167</v>
      </c>
      <c r="F150" s="9" t="s">
        <v>3514</v>
      </c>
    </row>
    <row r="151" spans="1:6" x14ac:dyDescent="0.3">
      <c r="A151" s="12">
        <v>44452</v>
      </c>
      <c r="B151" s="9" t="s">
        <v>27</v>
      </c>
      <c r="C151" s="9" t="s">
        <v>3565</v>
      </c>
      <c r="D151" s="9">
        <v>-36.54</v>
      </c>
      <c r="E151" s="9">
        <v>477523.28000000102</v>
      </c>
      <c r="F151" s="9"/>
    </row>
    <row r="152" spans="1:6" hidden="1" x14ac:dyDescent="0.3">
      <c r="A152" s="6">
        <v>45337</v>
      </c>
      <c r="B152" s="10" t="s">
        <v>27</v>
      </c>
      <c r="C152" s="10"/>
      <c r="D152" s="10">
        <v>-13600</v>
      </c>
      <c r="E152" s="10">
        <v>547989.60000000161</v>
      </c>
      <c r="F152" s="9" t="s">
        <v>3514</v>
      </c>
    </row>
    <row r="153" spans="1:6" x14ac:dyDescent="0.3">
      <c r="A153" s="12">
        <v>44484</v>
      </c>
      <c r="B153" s="9" t="s">
        <v>27</v>
      </c>
      <c r="C153" s="9"/>
      <c r="D153" s="9">
        <v>-5117.28</v>
      </c>
      <c r="E153" s="9">
        <v>519790.82000000088</v>
      </c>
      <c r="F153" s="9"/>
    </row>
    <row r="154" spans="1:6" x14ac:dyDescent="0.3">
      <c r="A154" s="12">
        <v>44501</v>
      </c>
      <c r="B154" s="9" t="s">
        <v>27</v>
      </c>
      <c r="C154" s="9"/>
      <c r="D154" s="9">
        <v>-2000</v>
      </c>
      <c r="E154" s="9">
        <v>519685.99000000092</v>
      </c>
      <c r="F154" s="9"/>
    </row>
    <row r="155" spans="1:6" hidden="1" x14ac:dyDescent="0.3">
      <c r="A155" s="6">
        <v>45476</v>
      </c>
      <c r="B155" s="10" t="s">
        <v>27</v>
      </c>
      <c r="C155" s="10"/>
      <c r="D155" s="10">
        <v>-13600</v>
      </c>
      <c r="E155" s="10">
        <v>202029.67000000141</v>
      </c>
      <c r="F155" s="9" t="s">
        <v>3514</v>
      </c>
    </row>
    <row r="156" spans="1:6" hidden="1" x14ac:dyDescent="0.3">
      <c r="A156" s="6">
        <v>45507</v>
      </c>
      <c r="B156" s="10" t="s">
        <v>27</v>
      </c>
      <c r="C156" s="10"/>
      <c r="D156" s="10">
        <v>-13600</v>
      </c>
      <c r="E156" s="10">
        <v>297803.67000000138</v>
      </c>
      <c r="F156" s="9" t="s">
        <v>3514</v>
      </c>
    </row>
    <row r="157" spans="1:6" x14ac:dyDescent="0.3">
      <c r="A157" s="12">
        <v>44530</v>
      </c>
      <c r="B157" s="9" t="s">
        <v>25</v>
      </c>
      <c r="C157" s="9" t="s">
        <v>3526</v>
      </c>
      <c r="D157" s="9">
        <v>425</v>
      </c>
      <c r="E157" s="9">
        <v>568159.60000000102</v>
      </c>
      <c r="F157" s="9"/>
    </row>
    <row r="158" spans="1:6" x14ac:dyDescent="0.3">
      <c r="A158" s="12">
        <v>44541</v>
      </c>
      <c r="B158" s="9" t="s">
        <v>25</v>
      </c>
      <c r="C158" s="9" t="s">
        <v>3566</v>
      </c>
      <c r="D158" s="9">
        <v>3750</v>
      </c>
      <c r="E158" s="9">
        <v>582261.44000000111</v>
      </c>
      <c r="F158" s="9"/>
    </row>
    <row r="159" spans="1:6" x14ac:dyDescent="0.3">
      <c r="A159" s="12">
        <v>44545</v>
      </c>
      <c r="B159" s="9" t="s">
        <v>27</v>
      </c>
      <c r="C159" s="9" t="s">
        <v>3567</v>
      </c>
      <c r="D159" s="9">
        <v>-6835.62</v>
      </c>
      <c r="E159" s="9">
        <v>580588.73000000115</v>
      </c>
      <c r="F159" s="9"/>
    </row>
    <row r="160" spans="1:6" x14ac:dyDescent="0.3">
      <c r="A160" s="12">
        <v>44561</v>
      </c>
      <c r="B160" s="9" t="s">
        <v>25</v>
      </c>
      <c r="C160" s="9"/>
      <c r="D160" s="9">
        <v>3525</v>
      </c>
      <c r="E160" s="9">
        <v>650443.28000000119</v>
      </c>
      <c r="F160" s="9"/>
    </row>
    <row r="161" spans="1:6" x14ac:dyDescent="0.3">
      <c r="A161" s="12">
        <v>44561</v>
      </c>
      <c r="B161" s="9" t="s">
        <v>27</v>
      </c>
      <c r="C161" s="9"/>
      <c r="D161" s="9">
        <v>-34.950000000000003</v>
      </c>
      <c r="E161" s="9">
        <v>648095.83000000124</v>
      </c>
      <c r="F161" s="9"/>
    </row>
    <row r="162" spans="1:6" x14ac:dyDescent="0.3">
      <c r="A162" s="12">
        <v>44561</v>
      </c>
      <c r="B162" s="9" t="s">
        <v>27</v>
      </c>
      <c r="C162" s="9" t="s">
        <v>3553</v>
      </c>
      <c r="D162" s="9">
        <v>-112.5</v>
      </c>
      <c r="E162" s="9">
        <v>648130.78000000119</v>
      </c>
      <c r="F162" s="9"/>
    </row>
    <row r="163" spans="1:6" x14ac:dyDescent="0.3">
      <c r="A163" s="12">
        <v>44561</v>
      </c>
      <c r="B163" s="9" t="s">
        <v>27</v>
      </c>
      <c r="C163" s="9" t="s">
        <v>3553</v>
      </c>
      <c r="D163" s="9">
        <v>-2200</v>
      </c>
      <c r="E163" s="9">
        <v>648243.28000000119</v>
      </c>
      <c r="F163" s="9"/>
    </row>
    <row r="164" spans="1:6" hidden="1" x14ac:dyDescent="0.3">
      <c r="A164" s="6">
        <v>45580</v>
      </c>
      <c r="B164" s="10" t="s">
        <v>2004</v>
      </c>
      <c r="C164" s="10" t="s">
        <v>3491</v>
      </c>
      <c r="D164" s="10">
        <v>-13600</v>
      </c>
      <c r="E164" s="10">
        <v>283874.36000000138</v>
      </c>
      <c r="F164" s="9" t="s">
        <v>3514</v>
      </c>
    </row>
    <row r="165" spans="1:6" hidden="1" x14ac:dyDescent="0.3">
      <c r="A165" s="6">
        <v>45672</v>
      </c>
      <c r="B165" s="10" t="s">
        <v>27</v>
      </c>
      <c r="C165" s="10"/>
      <c r="D165" s="10">
        <v>-13600</v>
      </c>
      <c r="E165" s="10">
        <v>359587.59000000131</v>
      </c>
      <c r="F165" s="9" t="s">
        <v>3514</v>
      </c>
    </row>
    <row r="166" spans="1:6" x14ac:dyDescent="0.3">
      <c r="A166" s="12">
        <v>44564</v>
      </c>
      <c r="B166" s="9" t="s">
        <v>25</v>
      </c>
      <c r="C166" s="9"/>
      <c r="D166" s="9">
        <v>300</v>
      </c>
      <c r="E166" s="9">
        <v>670810.83000000124</v>
      </c>
      <c r="F166" s="9"/>
    </row>
    <row r="167" spans="1:6" x14ac:dyDescent="0.3">
      <c r="A167" s="12">
        <v>44564</v>
      </c>
      <c r="B167" s="9" t="s">
        <v>25</v>
      </c>
      <c r="C167" s="9"/>
      <c r="D167" s="9">
        <v>165</v>
      </c>
      <c r="E167" s="9">
        <v>670975.83000000124</v>
      </c>
      <c r="F167" s="9"/>
    </row>
    <row r="168" spans="1:6" x14ac:dyDescent="0.3">
      <c r="A168" s="12">
        <v>44571</v>
      </c>
      <c r="B168" s="9" t="s">
        <v>27</v>
      </c>
      <c r="C168" s="9" t="s">
        <v>3568</v>
      </c>
      <c r="D168" s="9">
        <v>-100</v>
      </c>
      <c r="E168" s="9">
        <v>724558.03000000119</v>
      </c>
      <c r="F168" s="9"/>
    </row>
    <row r="169" spans="1:6" x14ac:dyDescent="0.3">
      <c r="A169" s="12">
        <v>44592</v>
      </c>
      <c r="B169" s="9" t="s">
        <v>27</v>
      </c>
      <c r="C169" s="9"/>
      <c r="D169" s="9">
        <v>-300</v>
      </c>
      <c r="E169" s="9">
        <v>818961.9100000012</v>
      </c>
      <c r="F169" s="9"/>
    </row>
    <row r="170" spans="1:6" x14ac:dyDescent="0.3">
      <c r="A170" s="12">
        <v>44593</v>
      </c>
      <c r="B170" s="9" t="s">
        <v>25</v>
      </c>
      <c r="C170" s="9"/>
      <c r="D170" s="9">
        <v>165</v>
      </c>
      <c r="E170" s="9">
        <v>826756.9100000012</v>
      </c>
      <c r="F170" s="9"/>
    </row>
    <row r="171" spans="1:6" x14ac:dyDescent="0.3">
      <c r="A171" s="12">
        <v>44607</v>
      </c>
      <c r="B171" s="9" t="s">
        <v>25</v>
      </c>
      <c r="C171" s="9" t="s">
        <v>3539</v>
      </c>
      <c r="D171" s="9">
        <v>220</v>
      </c>
      <c r="E171" s="9">
        <v>846088.98000000138</v>
      </c>
      <c r="F171" s="9"/>
    </row>
    <row r="172" spans="1:6" x14ac:dyDescent="0.3">
      <c r="A172" s="12">
        <v>44620</v>
      </c>
      <c r="B172" s="9" t="s">
        <v>27</v>
      </c>
      <c r="C172" s="9" t="s">
        <v>3520</v>
      </c>
      <c r="D172" s="9">
        <v>-5597.46</v>
      </c>
      <c r="E172" s="9">
        <v>857908.31000000134</v>
      </c>
      <c r="F172" s="9"/>
    </row>
    <row r="173" spans="1:6" x14ac:dyDescent="0.3">
      <c r="A173" s="12">
        <v>44624</v>
      </c>
      <c r="B173" s="9" t="s">
        <v>25</v>
      </c>
      <c r="C173" s="9" t="s">
        <v>3569</v>
      </c>
      <c r="D173" s="9">
        <v>170</v>
      </c>
      <c r="E173" s="9">
        <v>862753.86000000138</v>
      </c>
      <c r="F173" s="9"/>
    </row>
    <row r="174" spans="1:6" x14ac:dyDescent="0.3">
      <c r="A174" s="12">
        <v>44627</v>
      </c>
      <c r="B174" s="9" t="s">
        <v>25</v>
      </c>
      <c r="C174" s="9" t="s">
        <v>3569</v>
      </c>
      <c r="D174" s="9">
        <v>660</v>
      </c>
      <c r="E174" s="9">
        <v>863663.86000000138</v>
      </c>
      <c r="F174" s="9"/>
    </row>
    <row r="175" spans="1:6" x14ac:dyDescent="0.3">
      <c r="A175" s="12">
        <v>44645</v>
      </c>
      <c r="B175" s="9" t="s">
        <v>25</v>
      </c>
      <c r="C175" s="9" t="s">
        <v>3569</v>
      </c>
      <c r="D175" s="9">
        <v>495</v>
      </c>
      <c r="E175" s="9">
        <v>864888.11000000138</v>
      </c>
      <c r="F175" s="9"/>
    </row>
    <row r="176" spans="1:6" x14ac:dyDescent="0.3">
      <c r="A176" s="12">
        <v>44649</v>
      </c>
      <c r="B176" s="9" t="s">
        <v>27</v>
      </c>
      <c r="C176" s="9"/>
      <c r="D176" s="9">
        <v>-301.43</v>
      </c>
      <c r="E176" s="9">
        <v>864146.68000000133</v>
      </c>
      <c r="F176" s="9"/>
    </row>
    <row r="177" spans="1:6" x14ac:dyDescent="0.3">
      <c r="A177" s="12">
        <v>44649</v>
      </c>
      <c r="B177" s="9" t="s">
        <v>27</v>
      </c>
      <c r="C177" s="9"/>
      <c r="D177" s="9">
        <v>-500</v>
      </c>
      <c r="E177" s="9">
        <v>864448.11000000138</v>
      </c>
      <c r="F177" s="9"/>
    </row>
    <row r="178" spans="1:6" x14ac:dyDescent="0.3">
      <c r="A178" s="12">
        <v>44651</v>
      </c>
      <c r="B178" s="9" t="s">
        <v>25</v>
      </c>
      <c r="C178" s="9" t="s">
        <v>3569</v>
      </c>
      <c r="D178" s="9">
        <v>495</v>
      </c>
      <c r="E178" s="9">
        <v>835041.68000000133</v>
      </c>
      <c r="F178" s="9"/>
    </row>
    <row r="179" spans="1:6" x14ac:dyDescent="0.3">
      <c r="A179" s="12">
        <v>44651</v>
      </c>
      <c r="B179" s="9" t="s">
        <v>27</v>
      </c>
      <c r="C179" s="9" t="s">
        <v>3570</v>
      </c>
      <c r="D179" s="9">
        <v>-1035</v>
      </c>
      <c r="E179" s="9">
        <v>679683.93000000145</v>
      </c>
      <c r="F179" s="9"/>
    </row>
    <row r="180" spans="1:6" x14ac:dyDescent="0.3">
      <c r="A180" s="12">
        <v>44651</v>
      </c>
      <c r="B180" s="9" t="s">
        <v>27</v>
      </c>
      <c r="C180" s="9" t="s">
        <v>3571</v>
      </c>
      <c r="D180" s="9">
        <v>-3375</v>
      </c>
      <c r="E180" s="9">
        <v>831666.68000000133</v>
      </c>
      <c r="F180" s="9"/>
    </row>
    <row r="181" spans="1:6" hidden="1" x14ac:dyDescent="0.3">
      <c r="A181" s="6">
        <v>45708</v>
      </c>
      <c r="B181" s="10" t="s">
        <v>2004</v>
      </c>
      <c r="C181" s="10" t="s">
        <v>3500</v>
      </c>
      <c r="D181" s="10">
        <v>-13600</v>
      </c>
      <c r="E181" s="10">
        <v>648738.60000000114</v>
      </c>
      <c r="F181" s="9" t="s">
        <v>3514</v>
      </c>
    </row>
    <row r="182" spans="1:6" hidden="1" x14ac:dyDescent="0.3">
      <c r="A182" s="6">
        <v>45823</v>
      </c>
      <c r="B182" s="10" t="s">
        <v>2004</v>
      </c>
      <c r="C182" s="10" t="s">
        <v>3508</v>
      </c>
      <c r="D182" s="10">
        <v>-13600</v>
      </c>
      <c r="E182" s="10">
        <v>68435.53000000109</v>
      </c>
      <c r="F182" s="9" t="s">
        <v>3514</v>
      </c>
    </row>
    <row r="183" spans="1:6" hidden="1" x14ac:dyDescent="0.3">
      <c r="A183" s="6">
        <v>44409</v>
      </c>
      <c r="B183" s="10" t="s">
        <v>27</v>
      </c>
      <c r="C183" s="10"/>
      <c r="D183" s="10">
        <v>-13525</v>
      </c>
      <c r="E183" s="10">
        <v>464274.87000000098</v>
      </c>
      <c r="F183" s="9" t="s">
        <v>3515</v>
      </c>
    </row>
    <row r="184" spans="1:6" x14ac:dyDescent="0.3">
      <c r="A184" s="12">
        <v>44666</v>
      </c>
      <c r="B184" s="9" t="s">
        <v>27</v>
      </c>
      <c r="C184" s="9"/>
      <c r="D184" s="9">
        <v>-5184.78</v>
      </c>
      <c r="E184" s="9">
        <v>667395.10000000137</v>
      </c>
      <c r="F184" s="9"/>
    </row>
    <row r="185" spans="1:6" x14ac:dyDescent="0.3">
      <c r="A185" s="12">
        <v>44682</v>
      </c>
      <c r="B185" s="9" t="s">
        <v>27</v>
      </c>
      <c r="C185" s="9" t="s">
        <v>3572</v>
      </c>
      <c r="D185" s="9">
        <v>-6500</v>
      </c>
      <c r="E185" s="9">
        <v>687221.04000000143</v>
      </c>
      <c r="F185" s="9"/>
    </row>
    <row r="186" spans="1:6" x14ac:dyDescent="0.3">
      <c r="A186" s="12">
        <v>44696</v>
      </c>
      <c r="B186" s="9" t="s">
        <v>27</v>
      </c>
      <c r="C186" s="9"/>
      <c r="D186" s="9">
        <v>-2665.26</v>
      </c>
      <c r="E186" s="9">
        <v>665826.89000000141</v>
      </c>
      <c r="F186" s="9"/>
    </row>
    <row r="187" spans="1:6" x14ac:dyDescent="0.3">
      <c r="A187" s="12">
        <v>44696</v>
      </c>
      <c r="B187" s="9" t="s">
        <v>27</v>
      </c>
      <c r="C187" s="9" t="s">
        <v>3553</v>
      </c>
      <c r="D187" s="9">
        <v>-3800</v>
      </c>
      <c r="E187" s="9">
        <v>662026.89000000141</v>
      </c>
      <c r="F187" s="9"/>
    </row>
    <row r="188" spans="1:6" hidden="1" x14ac:dyDescent="0.3">
      <c r="A188" s="6">
        <v>45425</v>
      </c>
      <c r="B188" s="10" t="s">
        <v>2004</v>
      </c>
      <c r="C188" s="10" t="s">
        <v>3573</v>
      </c>
      <c r="D188" s="10">
        <v>-12863.58</v>
      </c>
      <c r="E188" s="10">
        <v>228017.4700000014</v>
      </c>
      <c r="F188" s="9" t="s">
        <v>3509</v>
      </c>
    </row>
    <row r="189" spans="1:6" x14ac:dyDescent="0.3">
      <c r="A189" s="12">
        <v>44700</v>
      </c>
      <c r="B189" s="9" t="s">
        <v>25</v>
      </c>
      <c r="C189" s="9"/>
      <c r="D189" s="9">
        <v>60</v>
      </c>
      <c r="E189" s="9">
        <v>667226.65000000142</v>
      </c>
      <c r="F189" s="9"/>
    </row>
    <row r="190" spans="1:6" x14ac:dyDescent="0.3">
      <c r="A190" s="12">
        <v>44739</v>
      </c>
      <c r="B190" s="9" t="s">
        <v>27</v>
      </c>
      <c r="C190" s="9" t="s">
        <v>3520</v>
      </c>
      <c r="D190" s="9">
        <v>-1041.22</v>
      </c>
      <c r="E190" s="9">
        <v>660240.40000000154</v>
      </c>
      <c r="F190" s="9"/>
    </row>
    <row r="191" spans="1:6" x14ac:dyDescent="0.3">
      <c r="A191" s="12">
        <v>44739</v>
      </c>
      <c r="B191" s="9" t="s">
        <v>27</v>
      </c>
      <c r="C191" s="9"/>
      <c r="D191" s="9">
        <v>-5000</v>
      </c>
      <c r="E191" s="9">
        <v>655240.40000000154</v>
      </c>
      <c r="F191" s="9"/>
    </row>
    <row r="192" spans="1:6" x14ac:dyDescent="0.3">
      <c r="A192" s="12">
        <v>44742</v>
      </c>
      <c r="B192" s="9" t="s">
        <v>25</v>
      </c>
      <c r="C192" s="9" t="s">
        <v>3574</v>
      </c>
      <c r="D192" s="9">
        <v>48.3</v>
      </c>
      <c r="E192" s="9">
        <v>655508.70000000158</v>
      </c>
      <c r="F192" s="9"/>
    </row>
    <row r="193" spans="1:6" x14ac:dyDescent="0.3">
      <c r="A193" s="12">
        <v>44742</v>
      </c>
      <c r="B193" s="9" t="s">
        <v>27</v>
      </c>
      <c r="C193" s="9" t="s">
        <v>3526</v>
      </c>
      <c r="D193" s="9">
        <v>-3250</v>
      </c>
      <c r="E193" s="9">
        <v>652258.70000000158</v>
      </c>
      <c r="F193" s="9"/>
    </row>
    <row r="194" spans="1:6" hidden="1" x14ac:dyDescent="0.3">
      <c r="A194" s="6">
        <v>45070</v>
      </c>
      <c r="B194" s="10" t="s">
        <v>27</v>
      </c>
      <c r="C194" s="10"/>
      <c r="D194" s="10">
        <v>-12400</v>
      </c>
      <c r="E194" s="10">
        <v>168086.99000000171</v>
      </c>
      <c r="F194" s="9" t="s">
        <v>3509</v>
      </c>
    </row>
    <row r="195" spans="1:6" x14ac:dyDescent="0.3">
      <c r="A195" s="12">
        <v>44762</v>
      </c>
      <c r="B195" s="9" t="s">
        <v>27</v>
      </c>
      <c r="C195" s="9" t="s">
        <v>3575</v>
      </c>
      <c r="D195" s="9">
        <v>-30</v>
      </c>
      <c r="E195" s="9">
        <v>674441.09000000171</v>
      </c>
      <c r="F195" s="9"/>
    </row>
    <row r="196" spans="1:6" x14ac:dyDescent="0.3">
      <c r="A196" s="12">
        <v>44762</v>
      </c>
      <c r="B196" s="9" t="s">
        <v>27</v>
      </c>
      <c r="C196" s="9" t="s">
        <v>3576</v>
      </c>
      <c r="D196" s="9">
        <v>-495</v>
      </c>
      <c r="E196" s="9">
        <v>674471.09000000171</v>
      </c>
      <c r="F196" s="9"/>
    </row>
    <row r="197" spans="1:6" x14ac:dyDescent="0.3">
      <c r="A197" s="12">
        <v>44762</v>
      </c>
      <c r="B197" s="9" t="s">
        <v>27</v>
      </c>
      <c r="C197" s="9" t="s">
        <v>3553</v>
      </c>
      <c r="D197" s="9">
        <v>-1625</v>
      </c>
      <c r="E197" s="9">
        <v>674966.09000000171</v>
      </c>
      <c r="F197" s="9"/>
    </row>
    <row r="198" spans="1:6" x14ac:dyDescent="0.3">
      <c r="A198" s="12">
        <v>44762</v>
      </c>
      <c r="B198" s="9" t="s">
        <v>27</v>
      </c>
      <c r="C198" s="9" t="s">
        <v>3572</v>
      </c>
      <c r="D198" s="9">
        <v>-6500</v>
      </c>
      <c r="E198" s="9">
        <v>676591.09000000171</v>
      </c>
      <c r="F198" s="9"/>
    </row>
    <row r="199" spans="1:6" x14ac:dyDescent="0.3">
      <c r="A199" s="12">
        <v>44775</v>
      </c>
      <c r="B199" s="9" t="s">
        <v>25</v>
      </c>
      <c r="C199" s="9"/>
      <c r="D199" s="9">
        <v>727.5</v>
      </c>
      <c r="E199" s="9">
        <v>692603.59000000171</v>
      </c>
      <c r="F199" s="9"/>
    </row>
    <row r="200" spans="1:6" x14ac:dyDescent="0.3">
      <c r="A200" s="12">
        <v>44779</v>
      </c>
      <c r="B200" s="9" t="s">
        <v>25</v>
      </c>
      <c r="C200" s="9"/>
      <c r="D200" s="9">
        <v>965</v>
      </c>
      <c r="E200" s="9">
        <v>690634.48000000173</v>
      </c>
      <c r="F200" s="9"/>
    </row>
    <row r="201" spans="1:6" x14ac:dyDescent="0.3">
      <c r="A201" s="12">
        <v>44779</v>
      </c>
      <c r="B201" s="9" t="s">
        <v>25</v>
      </c>
      <c r="C201" s="9"/>
      <c r="D201" s="9">
        <v>520</v>
      </c>
      <c r="E201" s="9">
        <v>689421.98000000173</v>
      </c>
      <c r="F201" s="9"/>
    </row>
    <row r="202" spans="1:6" x14ac:dyDescent="0.3">
      <c r="A202" s="12">
        <v>44779</v>
      </c>
      <c r="B202" s="9" t="s">
        <v>25</v>
      </c>
      <c r="C202" s="9"/>
      <c r="D202" s="9">
        <v>247.5</v>
      </c>
      <c r="E202" s="9">
        <v>689669.48000000173</v>
      </c>
      <c r="F202" s="9"/>
    </row>
    <row r="203" spans="1:6" x14ac:dyDescent="0.3">
      <c r="A203" s="12">
        <v>44784</v>
      </c>
      <c r="B203" s="9" t="s">
        <v>25</v>
      </c>
      <c r="C203" s="9"/>
      <c r="D203" s="9">
        <v>585</v>
      </c>
      <c r="E203" s="9">
        <v>708489.48000000173</v>
      </c>
      <c r="F203" s="9"/>
    </row>
    <row r="204" spans="1:6" x14ac:dyDescent="0.3">
      <c r="A204" s="12">
        <v>44787</v>
      </c>
      <c r="B204" s="9" t="s">
        <v>25</v>
      </c>
      <c r="C204" s="9"/>
      <c r="D204" s="9">
        <v>82.5</v>
      </c>
      <c r="E204" s="9">
        <v>709789.48000000173</v>
      </c>
      <c r="F204" s="9"/>
    </row>
    <row r="205" spans="1:6" hidden="1" x14ac:dyDescent="0.3">
      <c r="A205" s="6">
        <v>45397</v>
      </c>
      <c r="B205" s="10" t="s">
        <v>27</v>
      </c>
      <c r="C205" s="10"/>
      <c r="D205" s="10">
        <v>-12295.73</v>
      </c>
      <c r="E205" s="10">
        <v>313697.35000000137</v>
      </c>
      <c r="F205" s="9" t="s">
        <v>3509</v>
      </c>
    </row>
    <row r="206" spans="1:6" x14ac:dyDescent="0.3">
      <c r="A206" s="12">
        <v>44791</v>
      </c>
      <c r="B206" s="9" t="s">
        <v>25</v>
      </c>
      <c r="C206" s="9"/>
      <c r="D206" s="9">
        <v>1270</v>
      </c>
      <c r="E206" s="9">
        <v>678935.48000000173</v>
      </c>
      <c r="F206" s="9"/>
    </row>
    <row r="207" spans="1:6" x14ac:dyDescent="0.3">
      <c r="A207" s="12">
        <v>44791</v>
      </c>
      <c r="B207" s="9" t="s">
        <v>25</v>
      </c>
      <c r="C207" s="9"/>
      <c r="D207" s="9">
        <v>1100</v>
      </c>
      <c r="E207" s="9">
        <v>677665.48000000173</v>
      </c>
      <c r="F207" s="9"/>
    </row>
    <row r="208" spans="1:6" x14ac:dyDescent="0.3">
      <c r="A208" s="12">
        <v>44791</v>
      </c>
      <c r="B208" s="9" t="s">
        <v>25</v>
      </c>
      <c r="C208" s="9"/>
      <c r="D208" s="9">
        <v>642.5</v>
      </c>
      <c r="E208" s="9">
        <v>679660.48000000173</v>
      </c>
      <c r="F208" s="9"/>
    </row>
    <row r="209" spans="1:6" x14ac:dyDescent="0.3">
      <c r="A209" s="12">
        <v>44791</v>
      </c>
      <c r="B209" s="9" t="s">
        <v>25</v>
      </c>
      <c r="C209" s="9"/>
      <c r="D209" s="9">
        <v>440</v>
      </c>
      <c r="E209" s="9">
        <v>676565.48000000173</v>
      </c>
      <c r="F209" s="9"/>
    </row>
    <row r="210" spans="1:6" x14ac:dyDescent="0.3">
      <c r="A210" s="12">
        <v>44791</v>
      </c>
      <c r="B210" s="9" t="s">
        <v>25</v>
      </c>
      <c r="C210" s="9"/>
      <c r="D210" s="9">
        <v>150</v>
      </c>
      <c r="E210" s="9">
        <v>679810.48000000173</v>
      </c>
      <c r="F210" s="9"/>
    </row>
    <row r="211" spans="1:6" x14ac:dyDescent="0.3">
      <c r="A211" s="12">
        <v>44791</v>
      </c>
      <c r="B211" s="9" t="s">
        <v>27</v>
      </c>
      <c r="C211" s="9"/>
      <c r="D211" s="9">
        <v>-45</v>
      </c>
      <c r="E211" s="9">
        <v>679765.48000000173</v>
      </c>
      <c r="F211" s="9"/>
    </row>
    <row r="212" spans="1:6" x14ac:dyDescent="0.3">
      <c r="A212" s="12">
        <v>44796</v>
      </c>
      <c r="B212" s="9" t="s">
        <v>25</v>
      </c>
      <c r="C212" s="9"/>
      <c r="D212" s="9">
        <v>762.5</v>
      </c>
      <c r="E212" s="9">
        <v>680391.8200000017</v>
      </c>
      <c r="F212" s="9"/>
    </row>
    <row r="213" spans="1:6" x14ac:dyDescent="0.3">
      <c r="A213" s="12">
        <v>44796</v>
      </c>
      <c r="B213" s="9" t="s">
        <v>27</v>
      </c>
      <c r="C213" s="9" t="s">
        <v>3576</v>
      </c>
      <c r="D213" s="9">
        <v>-572</v>
      </c>
      <c r="E213" s="9">
        <v>676069.8200000017</v>
      </c>
      <c r="F213" s="9"/>
    </row>
    <row r="214" spans="1:6" x14ac:dyDescent="0.3">
      <c r="A214" s="12">
        <v>44796</v>
      </c>
      <c r="B214" s="9" t="s">
        <v>27</v>
      </c>
      <c r="C214" s="9" t="s">
        <v>3553</v>
      </c>
      <c r="D214" s="9">
        <v>-3750</v>
      </c>
      <c r="E214" s="9">
        <v>676641.8200000017</v>
      </c>
      <c r="F214" s="9"/>
    </row>
    <row r="215" spans="1:6" x14ac:dyDescent="0.3">
      <c r="A215" s="12">
        <v>44798</v>
      </c>
      <c r="B215" s="9" t="s">
        <v>27</v>
      </c>
      <c r="C215" s="9" t="s">
        <v>3520</v>
      </c>
      <c r="D215" s="9">
        <v>-6000</v>
      </c>
      <c r="E215" s="9">
        <v>670069.8200000017</v>
      </c>
      <c r="F215" s="9"/>
    </row>
    <row r="216" spans="1:6" x14ac:dyDescent="0.3">
      <c r="A216" s="12">
        <v>44805</v>
      </c>
      <c r="B216" s="9" t="s">
        <v>25</v>
      </c>
      <c r="C216" s="9"/>
      <c r="D216" s="9">
        <v>730</v>
      </c>
      <c r="E216" s="9">
        <v>671677.3200000017</v>
      </c>
      <c r="F216" s="9"/>
    </row>
    <row r="217" spans="1:6" x14ac:dyDescent="0.3">
      <c r="A217" s="12">
        <v>44805</v>
      </c>
      <c r="B217" s="9" t="s">
        <v>25</v>
      </c>
      <c r="C217" s="9"/>
      <c r="D217" s="9">
        <v>435</v>
      </c>
      <c r="E217" s="9">
        <v>672112.3200000017</v>
      </c>
      <c r="F217" s="9"/>
    </row>
    <row r="218" spans="1:6" x14ac:dyDescent="0.3">
      <c r="A218" s="12">
        <v>44819</v>
      </c>
      <c r="B218" s="9" t="s">
        <v>25</v>
      </c>
      <c r="C218" s="9"/>
      <c r="D218" s="9">
        <v>1317.5</v>
      </c>
      <c r="E218" s="9">
        <v>679076.54000000178</v>
      </c>
      <c r="F218" s="9"/>
    </row>
    <row r="219" spans="1:6" hidden="1" x14ac:dyDescent="0.3">
      <c r="A219" s="6">
        <v>44865</v>
      </c>
      <c r="B219" s="10" t="s">
        <v>27</v>
      </c>
      <c r="C219" s="10" t="s">
        <v>3577</v>
      </c>
      <c r="D219" s="10">
        <v>-12279.24</v>
      </c>
      <c r="E219" s="10">
        <v>562969.52000000176</v>
      </c>
      <c r="F219" s="9" t="s">
        <v>3509</v>
      </c>
    </row>
    <row r="220" spans="1:6" hidden="1" x14ac:dyDescent="0.3">
      <c r="A220" s="6">
        <v>45412</v>
      </c>
      <c r="B220" s="10" t="s">
        <v>27</v>
      </c>
      <c r="C220" s="10"/>
      <c r="D220" s="10">
        <v>-11704.07</v>
      </c>
      <c r="E220" s="10">
        <v>276010.76000000141</v>
      </c>
      <c r="F220" s="9" t="s">
        <v>3509</v>
      </c>
    </row>
    <row r="221" spans="1:6" x14ac:dyDescent="0.3">
      <c r="A221" s="12">
        <v>44829</v>
      </c>
      <c r="B221" s="9" t="s">
        <v>25</v>
      </c>
      <c r="C221" s="9"/>
      <c r="D221" s="9">
        <v>1180</v>
      </c>
      <c r="E221" s="9">
        <v>652489.79000000178</v>
      </c>
      <c r="F221" s="9"/>
    </row>
    <row r="222" spans="1:6" x14ac:dyDescent="0.3">
      <c r="A222" s="12">
        <v>44829</v>
      </c>
      <c r="B222" s="9" t="s">
        <v>25</v>
      </c>
      <c r="C222" s="9"/>
      <c r="D222" s="9">
        <v>270</v>
      </c>
      <c r="E222" s="9">
        <v>652759.79000000178</v>
      </c>
      <c r="F222" s="9"/>
    </row>
    <row r="223" spans="1:6" x14ac:dyDescent="0.3">
      <c r="A223" s="12">
        <v>44829</v>
      </c>
      <c r="B223" s="9" t="s">
        <v>27</v>
      </c>
      <c r="C223" s="9"/>
      <c r="D223" s="9">
        <v>-109</v>
      </c>
      <c r="E223" s="9">
        <v>652650.79000000178</v>
      </c>
      <c r="F223" s="9"/>
    </row>
    <row r="224" spans="1:6" x14ac:dyDescent="0.3">
      <c r="A224" s="12">
        <v>44849</v>
      </c>
      <c r="B224" s="9" t="s">
        <v>27</v>
      </c>
      <c r="C224" s="9"/>
      <c r="D224" s="9">
        <v>-300</v>
      </c>
      <c r="E224" s="9">
        <v>567496.88000000175</v>
      </c>
      <c r="F224" s="9"/>
    </row>
    <row r="225" spans="1:6" x14ac:dyDescent="0.3">
      <c r="A225" s="12">
        <v>44849</v>
      </c>
      <c r="B225" s="9" t="s">
        <v>27</v>
      </c>
      <c r="C225" s="9"/>
      <c r="D225" s="9">
        <v>-2050</v>
      </c>
      <c r="E225" s="9">
        <v>572796.88000000175</v>
      </c>
      <c r="F225" s="9"/>
    </row>
    <row r="226" spans="1:6" x14ac:dyDescent="0.3">
      <c r="A226" s="12">
        <v>44859</v>
      </c>
      <c r="B226" s="9" t="s">
        <v>27</v>
      </c>
      <c r="C226" s="9"/>
      <c r="D226" s="9">
        <v>-109</v>
      </c>
      <c r="E226" s="9">
        <v>571069.50000000175</v>
      </c>
      <c r="F226" s="9"/>
    </row>
    <row r="227" spans="1:6" x14ac:dyDescent="0.3">
      <c r="A227" s="12">
        <v>44865</v>
      </c>
      <c r="B227" s="9" t="s">
        <v>27</v>
      </c>
      <c r="C227" s="9"/>
      <c r="D227" s="9">
        <v>-109</v>
      </c>
      <c r="E227" s="9">
        <v>575248.76000000176</v>
      </c>
      <c r="F227" s="9"/>
    </row>
    <row r="228" spans="1:6" x14ac:dyDescent="0.3">
      <c r="A228" s="12">
        <v>44865</v>
      </c>
      <c r="B228" s="9" t="s">
        <v>27</v>
      </c>
      <c r="C228" s="9" t="s">
        <v>3520</v>
      </c>
      <c r="D228" s="9">
        <v>-668.45</v>
      </c>
      <c r="E228" s="9">
        <v>541766.77000000176</v>
      </c>
      <c r="F228" s="9"/>
    </row>
    <row r="229" spans="1:6" hidden="1" x14ac:dyDescent="0.3">
      <c r="A229" s="6">
        <v>44651</v>
      </c>
      <c r="B229" s="10" t="s">
        <v>27</v>
      </c>
      <c r="C229" s="10" t="s">
        <v>3520</v>
      </c>
      <c r="D229" s="10">
        <v>-11620.57</v>
      </c>
      <c r="E229" s="10">
        <v>801546.11000000138</v>
      </c>
      <c r="F229" s="9" t="s">
        <v>3509</v>
      </c>
    </row>
    <row r="230" spans="1:6" hidden="1" x14ac:dyDescent="0.3">
      <c r="A230" s="6">
        <v>43252</v>
      </c>
      <c r="B230" s="10" t="s">
        <v>27</v>
      </c>
      <c r="C230" s="10" t="s">
        <v>3528</v>
      </c>
      <c r="D230" s="10">
        <v>-11353.16</v>
      </c>
      <c r="E230" s="10">
        <v>426146.20000000042</v>
      </c>
      <c r="F230" s="9" t="s">
        <v>3509</v>
      </c>
    </row>
    <row r="231" spans="1:6" x14ac:dyDescent="0.3">
      <c r="A231" s="12">
        <v>44870</v>
      </c>
      <c r="B231" s="9" t="s">
        <v>27</v>
      </c>
      <c r="C231" s="9" t="s">
        <v>3553</v>
      </c>
      <c r="D231" s="9">
        <v>-3750</v>
      </c>
      <c r="E231" s="9">
        <v>540031.58000000182</v>
      </c>
      <c r="F231" s="9"/>
    </row>
    <row r="232" spans="1:6" hidden="1" x14ac:dyDescent="0.3">
      <c r="A232" s="6">
        <v>45488</v>
      </c>
      <c r="B232" s="10" t="s">
        <v>27</v>
      </c>
      <c r="C232" s="10"/>
      <c r="D232" s="10">
        <v>-10626.38</v>
      </c>
      <c r="E232" s="10">
        <v>296450.1900000014</v>
      </c>
      <c r="F232" s="9" t="s">
        <v>3515</v>
      </c>
    </row>
    <row r="233" spans="1:6" hidden="1" x14ac:dyDescent="0.3">
      <c r="A233" s="6">
        <v>45425</v>
      </c>
      <c r="B233" s="10" t="s">
        <v>2004</v>
      </c>
      <c r="C233" s="10" t="s">
        <v>3578</v>
      </c>
      <c r="D233" s="10">
        <v>-10500</v>
      </c>
      <c r="E233" s="10">
        <v>217517.4700000014</v>
      </c>
      <c r="F233" s="9" t="s">
        <v>3509</v>
      </c>
    </row>
    <row r="234" spans="1:6" hidden="1" x14ac:dyDescent="0.3">
      <c r="A234" s="6">
        <v>44529</v>
      </c>
      <c r="B234" s="10" t="s">
        <v>27</v>
      </c>
      <c r="C234" s="10" t="s">
        <v>3567</v>
      </c>
      <c r="D234" s="10">
        <v>-10473.69</v>
      </c>
      <c r="E234" s="10">
        <v>566373.35000000102</v>
      </c>
      <c r="F234" s="9" t="s">
        <v>3509</v>
      </c>
    </row>
    <row r="235" spans="1:6" hidden="1" x14ac:dyDescent="0.3">
      <c r="A235" s="6">
        <v>44301</v>
      </c>
      <c r="B235" s="10" t="s">
        <v>27</v>
      </c>
      <c r="C235" s="10" t="s">
        <v>3528</v>
      </c>
      <c r="D235" s="10">
        <v>-10042.11</v>
      </c>
      <c r="E235" s="10">
        <v>496592.48000000109</v>
      </c>
      <c r="F235" s="9" t="s">
        <v>3509</v>
      </c>
    </row>
    <row r="236" spans="1:6" x14ac:dyDescent="0.3">
      <c r="A236" s="12">
        <v>44882</v>
      </c>
      <c r="B236" s="9" t="s">
        <v>25</v>
      </c>
      <c r="C236" s="9"/>
      <c r="D236" s="9">
        <v>1155</v>
      </c>
      <c r="E236" s="9">
        <v>555252.62000000174</v>
      </c>
      <c r="F236" s="9"/>
    </row>
    <row r="237" spans="1:6" x14ac:dyDescent="0.3">
      <c r="A237" s="12">
        <v>44886</v>
      </c>
      <c r="B237" s="9" t="s">
        <v>25</v>
      </c>
      <c r="C237" s="9"/>
      <c r="D237" s="9">
        <v>2351.25</v>
      </c>
      <c r="E237" s="9">
        <v>562689.24000000174</v>
      </c>
      <c r="F237" s="9"/>
    </row>
    <row r="238" spans="1:6" x14ac:dyDescent="0.3">
      <c r="A238" s="12">
        <v>44888</v>
      </c>
      <c r="B238" s="9" t="s">
        <v>25</v>
      </c>
      <c r="C238" s="9"/>
      <c r="D238" s="9">
        <v>660</v>
      </c>
      <c r="E238" s="9">
        <v>564669.24000000174</v>
      </c>
      <c r="F238" s="9"/>
    </row>
    <row r="239" spans="1:6" x14ac:dyDescent="0.3">
      <c r="A239" s="12">
        <v>44889</v>
      </c>
      <c r="B239" s="9" t="s">
        <v>25</v>
      </c>
      <c r="C239" s="9"/>
      <c r="D239" s="9">
        <v>795</v>
      </c>
      <c r="E239" s="9">
        <v>566000.49000000174</v>
      </c>
      <c r="F239" s="9"/>
    </row>
    <row r="240" spans="1:6" x14ac:dyDescent="0.3">
      <c r="A240" s="12">
        <v>44889</v>
      </c>
      <c r="B240" s="9" t="s">
        <v>25</v>
      </c>
      <c r="C240" s="9"/>
      <c r="D240" s="9">
        <v>536.25</v>
      </c>
      <c r="E240" s="9">
        <v>565205.49000000174</v>
      </c>
      <c r="F240" s="9"/>
    </row>
    <row r="241" spans="1:6" x14ac:dyDescent="0.3">
      <c r="A241" s="12">
        <v>44891</v>
      </c>
      <c r="B241" s="9" t="s">
        <v>25</v>
      </c>
      <c r="C241" s="9"/>
      <c r="D241" s="9">
        <v>1702.5</v>
      </c>
      <c r="E241" s="9">
        <v>576094.54000000178</v>
      </c>
      <c r="F241" s="9"/>
    </row>
    <row r="242" spans="1:6" x14ac:dyDescent="0.3">
      <c r="A242" s="12">
        <v>44891</v>
      </c>
      <c r="B242" s="9" t="s">
        <v>25</v>
      </c>
      <c r="C242" s="9"/>
      <c r="D242" s="9">
        <v>1545</v>
      </c>
      <c r="E242" s="9">
        <v>574392.04000000178</v>
      </c>
      <c r="F242" s="9"/>
    </row>
    <row r="243" spans="1:6" x14ac:dyDescent="0.3">
      <c r="A243" s="12">
        <v>44895</v>
      </c>
      <c r="B243" s="9" t="s">
        <v>27</v>
      </c>
      <c r="C243" s="9"/>
      <c r="D243" s="9">
        <v>-700</v>
      </c>
      <c r="E243" s="9">
        <v>575301.26000000176</v>
      </c>
      <c r="F243" s="9"/>
    </row>
    <row r="244" spans="1:6" hidden="1" x14ac:dyDescent="0.3">
      <c r="A244" s="6">
        <v>44409</v>
      </c>
      <c r="B244" s="10" t="s">
        <v>27</v>
      </c>
      <c r="C244" s="10" t="s">
        <v>3579</v>
      </c>
      <c r="D244" s="10">
        <v>-10000</v>
      </c>
      <c r="E244" s="10">
        <v>454274.87000000098</v>
      </c>
      <c r="F244" s="9" t="s">
        <v>3509</v>
      </c>
    </row>
    <row r="245" spans="1:6" x14ac:dyDescent="0.3">
      <c r="A245" s="12">
        <v>44926</v>
      </c>
      <c r="B245" s="9" t="s">
        <v>27</v>
      </c>
      <c r="C245" s="9"/>
      <c r="D245" s="9">
        <v>-500</v>
      </c>
      <c r="E245" s="9">
        <v>651594.25000000175</v>
      </c>
      <c r="F245" s="9"/>
    </row>
    <row r="246" spans="1:6" hidden="1" x14ac:dyDescent="0.3">
      <c r="A246" s="6">
        <v>45291</v>
      </c>
      <c r="B246" s="10" t="s">
        <v>27</v>
      </c>
      <c r="C246" s="10" t="s">
        <v>3580</v>
      </c>
      <c r="D246" s="10">
        <v>-10000</v>
      </c>
      <c r="E246" s="10">
        <v>293210.10000000172</v>
      </c>
      <c r="F246" s="9" t="s">
        <v>3510</v>
      </c>
    </row>
    <row r="247" spans="1:6" hidden="1" x14ac:dyDescent="0.3">
      <c r="A247" s="6">
        <v>43539</v>
      </c>
      <c r="B247" s="10" t="s">
        <v>27</v>
      </c>
      <c r="C247" s="10"/>
      <c r="D247" s="10">
        <v>-9600</v>
      </c>
      <c r="E247" s="10">
        <v>489620.81000000058</v>
      </c>
      <c r="F247" s="9" t="s">
        <v>3515</v>
      </c>
    </row>
    <row r="248" spans="1:6" hidden="1" x14ac:dyDescent="0.3">
      <c r="A248" s="6">
        <v>44958</v>
      </c>
      <c r="B248" s="10" t="s">
        <v>27</v>
      </c>
      <c r="C248" s="10"/>
      <c r="D248" s="10">
        <v>-9600</v>
      </c>
      <c r="E248" s="10">
        <v>1014218.860000002</v>
      </c>
      <c r="F248" s="9" t="s">
        <v>3509</v>
      </c>
    </row>
    <row r="249" spans="1:6" hidden="1" x14ac:dyDescent="0.3">
      <c r="A249" s="6">
        <v>45281</v>
      </c>
      <c r="B249" s="10" t="s">
        <v>27</v>
      </c>
      <c r="C249" s="10"/>
      <c r="D249" s="10">
        <v>-8831.02</v>
      </c>
      <c r="E249" s="10">
        <v>291184.27000000171</v>
      </c>
      <c r="F249" s="9" t="s">
        <v>3512</v>
      </c>
    </row>
    <row r="250" spans="1:6" hidden="1" x14ac:dyDescent="0.3">
      <c r="A250" s="6">
        <v>45092</v>
      </c>
      <c r="B250" s="10" t="s">
        <v>27</v>
      </c>
      <c r="C250" s="10"/>
      <c r="D250" s="10">
        <v>-8750</v>
      </c>
      <c r="E250" s="10">
        <v>108622.4400000017</v>
      </c>
      <c r="F250" s="9" t="s">
        <v>3509</v>
      </c>
    </row>
    <row r="251" spans="1:6" hidden="1" x14ac:dyDescent="0.3">
      <c r="A251" s="6">
        <v>45092</v>
      </c>
      <c r="B251" s="10" t="s">
        <v>27</v>
      </c>
      <c r="C251" s="10" t="s">
        <v>3520</v>
      </c>
      <c r="D251" s="10">
        <v>-8732.74</v>
      </c>
      <c r="E251" s="10">
        <v>125772.4400000017</v>
      </c>
      <c r="F251" s="9" t="s">
        <v>3509</v>
      </c>
    </row>
    <row r="252" spans="1:6" hidden="1" x14ac:dyDescent="0.3">
      <c r="A252" s="6">
        <v>43465</v>
      </c>
      <c r="B252" s="10" t="s">
        <v>27</v>
      </c>
      <c r="C252" s="10"/>
      <c r="D252" s="10">
        <v>-8720</v>
      </c>
      <c r="E252" s="10">
        <v>424612.19000000041</v>
      </c>
      <c r="F252" s="9" t="s">
        <v>3510</v>
      </c>
    </row>
    <row r="253" spans="1:6" x14ac:dyDescent="0.3">
      <c r="A253" s="12">
        <v>44929</v>
      </c>
      <c r="B253" s="9" t="s">
        <v>27</v>
      </c>
      <c r="C253" s="9"/>
      <c r="D253" s="9">
        <v>-10.88</v>
      </c>
      <c r="E253" s="9">
        <v>892427.54000000178</v>
      </c>
      <c r="F253" s="9"/>
    </row>
    <row r="254" spans="1:6" hidden="1" x14ac:dyDescent="0.3">
      <c r="A254" s="6">
        <v>45031</v>
      </c>
      <c r="B254" s="10" t="s">
        <v>27</v>
      </c>
      <c r="C254" s="10" t="s">
        <v>3581</v>
      </c>
      <c r="D254" s="10">
        <v>-8400</v>
      </c>
      <c r="E254" s="10">
        <v>340609.15000000171</v>
      </c>
      <c r="F254" s="9" t="s">
        <v>3509</v>
      </c>
    </row>
    <row r="255" spans="1:6" hidden="1" x14ac:dyDescent="0.3">
      <c r="A255" s="6">
        <v>45525</v>
      </c>
      <c r="B255" s="10" t="s">
        <v>2004</v>
      </c>
      <c r="C255" s="10" t="s">
        <v>3582</v>
      </c>
      <c r="D255" s="10">
        <v>-8008.33</v>
      </c>
      <c r="E255" s="10">
        <v>287258.15000000142</v>
      </c>
      <c r="F255" s="9" t="s">
        <v>3509</v>
      </c>
    </row>
    <row r="256" spans="1:6" hidden="1" x14ac:dyDescent="0.3">
      <c r="A256" s="6">
        <v>45550</v>
      </c>
      <c r="B256" s="10" t="s">
        <v>2004</v>
      </c>
      <c r="C256" s="10" t="s">
        <v>3583</v>
      </c>
      <c r="D256" s="10">
        <v>-8008.33</v>
      </c>
      <c r="E256" s="10">
        <v>212768.6600000014</v>
      </c>
      <c r="F256" s="9" t="s">
        <v>3509</v>
      </c>
    </row>
    <row r="257" spans="1:6" hidden="1" x14ac:dyDescent="0.3">
      <c r="A257" s="6">
        <v>45061</v>
      </c>
      <c r="B257" s="10" t="s">
        <v>27</v>
      </c>
      <c r="C257" s="10" t="s">
        <v>3520</v>
      </c>
      <c r="D257" s="10">
        <v>-8000.92</v>
      </c>
      <c r="E257" s="10">
        <v>172029.75000000169</v>
      </c>
      <c r="F257" s="9" t="s">
        <v>3515</v>
      </c>
    </row>
    <row r="258" spans="1:6" x14ac:dyDescent="0.3">
      <c r="A258" s="12">
        <v>44941</v>
      </c>
      <c r="B258" s="9" t="s">
        <v>25</v>
      </c>
      <c r="C258" s="9" t="s">
        <v>3584</v>
      </c>
      <c r="D258" s="9">
        <v>1650</v>
      </c>
      <c r="E258" s="9">
        <v>945402.54000000178</v>
      </c>
      <c r="F258" s="9"/>
    </row>
    <row r="259" spans="1:6" x14ac:dyDescent="0.3">
      <c r="A259" s="12">
        <v>44941</v>
      </c>
      <c r="B259" s="9" t="s">
        <v>25</v>
      </c>
      <c r="C259" s="9" t="s">
        <v>3585</v>
      </c>
      <c r="D259" s="9">
        <v>1650</v>
      </c>
      <c r="E259" s="9">
        <v>947052.54000000178</v>
      </c>
      <c r="F259" s="9"/>
    </row>
    <row r="260" spans="1:6" x14ac:dyDescent="0.3">
      <c r="A260" s="12">
        <v>44941</v>
      </c>
      <c r="B260" s="9" t="s">
        <v>27</v>
      </c>
      <c r="C260" s="9"/>
      <c r="D260" s="9">
        <v>-50</v>
      </c>
      <c r="E260" s="9">
        <v>947002.54000000178</v>
      </c>
      <c r="F260" s="9"/>
    </row>
    <row r="261" spans="1:6" x14ac:dyDescent="0.3">
      <c r="A261" s="12">
        <v>44941</v>
      </c>
      <c r="B261" s="9" t="s">
        <v>27</v>
      </c>
      <c r="C261" s="9"/>
      <c r="D261" s="9">
        <v>-920</v>
      </c>
      <c r="E261" s="9">
        <v>921082.54000000178</v>
      </c>
      <c r="F261" s="9"/>
    </row>
    <row r="262" spans="1:6" x14ac:dyDescent="0.3">
      <c r="A262" s="12">
        <v>44941</v>
      </c>
      <c r="B262" s="9" t="s">
        <v>27</v>
      </c>
      <c r="C262" s="9"/>
      <c r="D262" s="9">
        <v>-5044.78</v>
      </c>
      <c r="E262" s="9">
        <v>916037.76000000176</v>
      </c>
      <c r="F262" s="9"/>
    </row>
    <row r="263" spans="1:6" x14ac:dyDescent="0.3">
      <c r="A263" s="12">
        <v>44943</v>
      </c>
      <c r="B263" s="9" t="s">
        <v>25</v>
      </c>
      <c r="C263" s="9"/>
      <c r="D263" s="9">
        <v>700</v>
      </c>
      <c r="E263" s="9">
        <v>931982.76000000176</v>
      </c>
      <c r="F263" s="9"/>
    </row>
    <row r="264" spans="1:6" x14ac:dyDescent="0.3">
      <c r="A264" s="12">
        <v>44957</v>
      </c>
      <c r="B264" s="9" t="s">
        <v>25</v>
      </c>
      <c r="C264" s="9" t="s">
        <v>3586</v>
      </c>
      <c r="D264" s="9">
        <v>308.36</v>
      </c>
      <c r="E264" s="9">
        <v>994906.12000000174</v>
      </c>
      <c r="F264" s="9"/>
    </row>
    <row r="265" spans="1:6" x14ac:dyDescent="0.3">
      <c r="A265" s="12">
        <v>44958</v>
      </c>
      <c r="B265" s="9" t="s">
        <v>25</v>
      </c>
      <c r="C265" s="9"/>
      <c r="D265" s="9">
        <v>5510</v>
      </c>
      <c r="E265" s="9">
        <v>1015146.120000002</v>
      </c>
      <c r="F265" s="9"/>
    </row>
    <row r="266" spans="1:6" x14ac:dyDescent="0.3">
      <c r="A266" s="12">
        <v>44958</v>
      </c>
      <c r="B266" s="9" t="s">
        <v>25</v>
      </c>
      <c r="C266" s="9"/>
      <c r="D266" s="9">
        <v>4825</v>
      </c>
      <c r="E266" s="9">
        <v>1019971.120000002</v>
      </c>
      <c r="F266" s="9"/>
    </row>
    <row r="267" spans="1:6" x14ac:dyDescent="0.3">
      <c r="A267" s="12">
        <v>44958</v>
      </c>
      <c r="B267" s="9" t="s">
        <v>25</v>
      </c>
      <c r="C267" s="9"/>
      <c r="D267" s="9">
        <v>3750</v>
      </c>
      <c r="E267" s="9">
        <v>1009636.120000002</v>
      </c>
      <c r="F267" s="9"/>
    </row>
    <row r="268" spans="1:6" x14ac:dyDescent="0.3">
      <c r="A268" s="12">
        <v>44958</v>
      </c>
      <c r="B268" s="9" t="s">
        <v>25</v>
      </c>
      <c r="C268" s="9"/>
      <c r="D268" s="9">
        <v>2585</v>
      </c>
      <c r="E268" s="9">
        <v>1022556.120000002</v>
      </c>
      <c r="F268" s="9"/>
    </row>
    <row r="269" spans="1:6" x14ac:dyDescent="0.3">
      <c r="A269" s="12">
        <v>44958</v>
      </c>
      <c r="B269" s="9" t="s">
        <v>25</v>
      </c>
      <c r="C269" s="9"/>
      <c r="D269" s="9">
        <v>1345</v>
      </c>
      <c r="E269" s="9">
        <v>1023901.120000002</v>
      </c>
      <c r="F269" s="9"/>
    </row>
    <row r="270" spans="1:6" hidden="1" x14ac:dyDescent="0.3">
      <c r="A270" s="6">
        <v>43281</v>
      </c>
      <c r="B270" s="10" t="s">
        <v>27</v>
      </c>
      <c r="C270" s="10" t="s">
        <v>3587</v>
      </c>
      <c r="D270" s="10">
        <v>-7990</v>
      </c>
      <c r="E270" s="10">
        <v>400332.5500000004</v>
      </c>
      <c r="F270" s="9" t="s">
        <v>3509</v>
      </c>
    </row>
    <row r="271" spans="1:6" hidden="1" x14ac:dyDescent="0.3">
      <c r="A271" s="6">
        <v>44750</v>
      </c>
      <c r="B271" s="10" t="s">
        <v>27</v>
      </c>
      <c r="C271" s="10"/>
      <c r="D271" s="10">
        <v>-7776</v>
      </c>
      <c r="E271" s="10">
        <v>650451.79000000167</v>
      </c>
      <c r="F271" s="9" t="s">
        <v>3509</v>
      </c>
    </row>
    <row r="272" spans="1:6" x14ac:dyDescent="0.3">
      <c r="A272" s="12">
        <v>44968</v>
      </c>
      <c r="B272" s="9" t="s">
        <v>25</v>
      </c>
      <c r="C272" s="9"/>
      <c r="D272" s="9">
        <v>4490</v>
      </c>
      <c r="E272" s="9">
        <v>1035987.230000002</v>
      </c>
      <c r="F272" s="9"/>
    </row>
    <row r="273" spans="1:6" x14ac:dyDescent="0.3">
      <c r="A273" s="12">
        <v>44970</v>
      </c>
      <c r="B273" s="9" t="s">
        <v>25</v>
      </c>
      <c r="C273" s="9"/>
      <c r="D273" s="9">
        <v>1800</v>
      </c>
      <c r="E273" s="9">
        <v>1039532.230000002</v>
      </c>
      <c r="F273" s="9"/>
    </row>
    <row r="274" spans="1:6" hidden="1" x14ac:dyDescent="0.3">
      <c r="A274" s="6">
        <v>44331</v>
      </c>
      <c r="B274" s="10" t="s">
        <v>27</v>
      </c>
      <c r="C274" s="10" t="s">
        <v>3528</v>
      </c>
      <c r="D274" s="10">
        <v>-7614.25</v>
      </c>
      <c r="E274" s="10">
        <v>464789.33000000112</v>
      </c>
      <c r="F274" s="9" t="s">
        <v>3509</v>
      </c>
    </row>
    <row r="275" spans="1:6" hidden="1" x14ac:dyDescent="0.3">
      <c r="A275" s="6">
        <v>45412</v>
      </c>
      <c r="B275" s="10" t="s">
        <v>27</v>
      </c>
      <c r="C275" s="10"/>
      <c r="D275" s="10">
        <v>-7500</v>
      </c>
      <c r="E275" s="10">
        <v>315991.6300000014</v>
      </c>
      <c r="F275" s="9" t="s">
        <v>3509</v>
      </c>
    </row>
    <row r="276" spans="1:6" hidden="1" x14ac:dyDescent="0.3">
      <c r="A276" s="6">
        <v>43535</v>
      </c>
      <c r="B276" s="10" t="s">
        <v>27</v>
      </c>
      <c r="C276" s="10" t="s">
        <v>3416</v>
      </c>
      <c r="D276" s="10">
        <v>-7350</v>
      </c>
      <c r="E276" s="10">
        <v>484605.01000000059</v>
      </c>
      <c r="F276" s="9" t="s">
        <v>3030</v>
      </c>
    </row>
    <row r="277" spans="1:6" x14ac:dyDescent="0.3">
      <c r="A277" s="12">
        <v>44972</v>
      </c>
      <c r="B277" s="9" t="s">
        <v>25</v>
      </c>
      <c r="C277" s="9"/>
      <c r="D277" s="9">
        <v>5215</v>
      </c>
      <c r="E277" s="9">
        <v>1060027.350000002</v>
      </c>
      <c r="F277" s="9"/>
    </row>
    <row r="278" spans="1:6" x14ac:dyDescent="0.3">
      <c r="A278" s="12">
        <v>44972</v>
      </c>
      <c r="B278" s="9" t="s">
        <v>25</v>
      </c>
      <c r="C278" s="9"/>
      <c r="D278" s="9">
        <v>3295</v>
      </c>
      <c r="E278" s="9">
        <v>1063322.350000002</v>
      </c>
      <c r="F278" s="9"/>
    </row>
    <row r="279" spans="1:6" x14ac:dyDescent="0.3">
      <c r="A279" s="12">
        <v>44972</v>
      </c>
      <c r="B279" s="9" t="s">
        <v>25</v>
      </c>
      <c r="C279" s="9" t="s">
        <v>3588</v>
      </c>
      <c r="D279" s="9">
        <v>1500</v>
      </c>
      <c r="E279" s="9">
        <v>1054812.350000002</v>
      </c>
      <c r="F279" s="9"/>
    </row>
    <row r="280" spans="1:6" x14ac:dyDescent="0.3">
      <c r="A280" s="12">
        <v>44972</v>
      </c>
      <c r="B280" s="9" t="s">
        <v>25</v>
      </c>
      <c r="C280" s="9"/>
      <c r="D280" s="9">
        <v>425</v>
      </c>
      <c r="E280" s="9">
        <v>1063747.350000002</v>
      </c>
      <c r="F280" s="9"/>
    </row>
    <row r="281" spans="1:6" x14ac:dyDescent="0.3">
      <c r="A281" s="12">
        <v>44972</v>
      </c>
      <c r="B281" s="9" t="s">
        <v>27</v>
      </c>
      <c r="C281" s="9"/>
      <c r="D281" s="9">
        <v>-960</v>
      </c>
      <c r="E281" s="9">
        <v>1034745.850000002</v>
      </c>
      <c r="F281" s="9"/>
    </row>
    <row r="282" spans="1:6" x14ac:dyDescent="0.3">
      <c r="A282" s="12">
        <v>44972</v>
      </c>
      <c r="B282" s="9" t="s">
        <v>27</v>
      </c>
      <c r="C282" s="9" t="s">
        <v>3589</v>
      </c>
      <c r="D282" s="9">
        <v>-1925</v>
      </c>
      <c r="E282" s="9">
        <v>1032820.850000002</v>
      </c>
      <c r="F282" s="9"/>
    </row>
    <row r="283" spans="1:6" x14ac:dyDescent="0.3">
      <c r="A283" s="12">
        <v>44972</v>
      </c>
      <c r="B283" s="9" t="s">
        <v>27</v>
      </c>
      <c r="C283" s="9"/>
      <c r="D283" s="9">
        <v>-3300</v>
      </c>
      <c r="E283" s="9">
        <v>1094437.350000002</v>
      </c>
      <c r="F283" s="9"/>
    </row>
    <row r="284" spans="1:6" x14ac:dyDescent="0.3">
      <c r="A284" s="12">
        <v>44972</v>
      </c>
      <c r="B284" s="9" t="s">
        <v>27</v>
      </c>
      <c r="C284" s="9" t="s">
        <v>3553</v>
      </c>
      <c r="D284" s="9">
        <v>-3750</v>
      </c>
      <c r="E284" s="9">
        <v>1035705.850000002</v>
      </c>
      <c r="F284" s="9"/>
    </row>
    <row r="285" spans="1:6" hidden="1" x14ac:dyDescent="0.3">
      <c r="A285" s="6">
        <v>43586</v>
      </c>
      <c r="B285" s="10" t="s">
        <v>27</v>
      </c>
      <c r="C285" s="10" t="s">
        <v>3416</v>
      </c>
      <c r="D285" s="10">
        <v>-7350</v>
      </c>
      <c r="E285" s="10">
        <v>239915.38000000059</v>
      </c>
      <c r="F285" s="9" t="s">
        <v>3030</v>
      </c>
    </row>
    <row r="286" spans="1:6" hidden="1" x14ac:dyDescent="0.3">
      <c r="A286" s="6">
        <v>43770</v>
      </c>
      <c r="B286" s="10" t="s">
        <v>27</v>
      </c>
      <c r="C286" s="10" t="s">
        <v>3416</v>
      </c>
      <c r="D286" s="10">
        <v>-7350</v>
      </c>
      <c r="E286" s="10">
        <v>179517.86000000071</v>
      </c>
      <c r="F286" s="9" t="s">
        <v>3030</v>
      </c>
    </row>
    <row r="287" spans="1:6" hidden="1" x14ac:dyDescent="0.3">
      <c r="A287" s="6">
        <v>43800</v>
      </c>
      <c r="B287" s="10" t="s">
        <v>27</v>
      </c>
      <c r="C287" s="10" t="s">
        <v>3416</v>
      </c>
      <c r="D287" s="10">
        <v>-7350</v>
      </c>
      <c r="E287" s="10">
        <v>243269.24000000069</v>
      </c>
      <c r="F287" s="9" t="s">
        <v>3030</v>
      </c>
    </row>
    <row r="288" spans="1:6" x14ac:dyDescent="0.3">
      <c r="A288" s="12">
        <v>44974</v>
      </c>
      <c r="B288" s="9" t="s">
        <v>25</v>
      </c>
      <c r="C288" s="9"/>
      <c r="D288" s="9">
        <v>2505</v>
      </c>
      <c r="E288" s="9">
        <v>1042038.250000002</v>
      </c>
      <c r="F288" s="9"/>
    </row>
    <row r="289" spans="1:6" x14ac:dyDescent="0.3">
      <c r="A289" s="12">
        <v>44974</v>
      </c>
      <c r="B289" s="9" t="s">
        <v>25</v>
      </c>
      <c r="C289" s="9"/>
      <c r="D289" s="9">
        <v>600</v>
      </c>
      <c r="E289" s="9">
        <v>1039533.250000002</v>
      </c>
      <c r="F289" s="9"/>
    </row>
    <row r="290" spans="1:6" x14ac:dyDescent="0.3">
      <c r="A290" s="12">
        <v>44975</v>
      </c>
      <c r="B290" s="9" t="s">
        <v>25</v>
      </c>
      <c r="C290" s="9"/>
      <c r="D290" s="9">
        <v>2670</v>
      </c>
      <c r="E290" s="9">
        <v>1048357.370000002</v>
      </c>
      <c r="F290" s="9"/>
    </row>
    <row r="291" spans="1:6" x14ac:dyDescent="0.3">
      <c r="A291" s="12">
        <v>44975</v>
      </c>
      <c r="B291" s="9" t="s">
        <v>25</v>
      </c>
      <c r="C291" s="9"/>
      <c r="D291" s="9">
        <v>2605</v>
      </c>
      <c r="E291" s="9">
        <v>1050962.370000002</v>
      </c>
      <c r="F291" s="9"/>
    </row>
    <row r="292" spans="1:6" hidden="1" x14ac:dyDescent="0.3">
      <c r="A292" s="6">
        <v>43831</v>
      </c>
      <c r="B292" s="10" t="s">
        <v>27</v>
      </c>
      <c r="C292" s="10" t="s">
        <v>3416</v>
      </c>
      <c r="D292" s="10">
        <v>-7350</v>
      </c>
      <c r="E292" s="10">
        <v>335732.89000000071</v>
      </c>
      <c r="F292" s="9" t="s">
        <v>3030</v>
      </c>
    </row>
    <row r="293" spans="1:6" x14ac:dyDescent="0.3">
      <c r="A293" s="12">
        <v>44976</v>
      </c>
      <c r="B293" s="9" t="s">
        <v>25</v>
      </c>
      <c r="C293" s="9"/>
      <c r="D293" s="9">
        <v>5070</v>
      </c>
      <c r="E293" s="9">
        <v>1068632.370000002</v>
      </c>
      <c r="F293" s="9"/>
    </row>
    <row r="294" spans="1:6" x14ac:dyDescent="0.3">
      <c r="A294" s="12">
        <v>44976</v>
      </c>
      <c r="B294" s="9" t="s">
        <v>25</v>
      </c>
      <c r="C294" s="9"/>
      <c r="D294" s="9">
        <v>3920</v>
      </c>
      <c r="E294" s="9">
        <v>1054882.370000002</v>
      </c>
      <c r="F294" s="9"/>
    </row>
    <row r="295" spans="1:6" x14ac:dyDescent="0.3">
      <c r="A295" s="12">
        <v>44976</v>
      </c>
      <c r="B295" s="9" t="s">
        <v>25</v>
      </c>
      <c r="C295" s="9"/>
      <c r="D295" s="9">
        <v>3445</v>
      </c>
      <c r="E295" s="9">
        <v>1072077.370000002</v>
      </c>
      <c r="F295" s="9"/>
    </row>
    <row r="296" spans="1:6" x14ac:dyDescent="0.3">
      <c r="A296" s="12">
        <v>44987</v>
      </c>
      <c r="B296" s="9" t="s">
        <v>25</v>
      </c>
      <c r="C296" s="9"/>
      <c r="D296" s="9">
        <v>1785</v>
      </c>
      <c r="E296" s="9">
        <v>1105355.690000002</v>
      </c>
      <c r="F296" s="9"/>
    </row>
    <row r="297" spans="1:6" x14ac:dyDescent="0.3">
      <c r="A297" s="12">
        <v>44991</v>
      </c>
      <c r="B297" s="9" t="s">
        <v>25</v>
      </c>
      <c r="C297" s="9" t="s">
        <v>3590</v>
      </c>
      <c r="D297" s="9">
        <v>4000</v>
      </c>
      <c r="E297" s="9">
        <v>1102626.7100000021</v>
      </c>
      <c r="F297" s="9"/>
    </row>
    <row r="298" spans="1:6" x14ac:dyDescent="0.3">
      <c r="A298" s="12">
        <v>44996</v>
      </c>
      <c r="B298" s="9" t="s">
        <v>27</v>
      </c>
      <c r="C298" s="9"/>
      <c r="D298" s="9">
        <v>-5149.9799999999996</v>
      </c>
      <c r="E298" s="9">
        <v>1122637.5800000019</v>
      </c>
      <c r="F298" s="9"/>
    </row>
    <row r="299" spans="1:6" x14ac:dyDescent="0.3">
      <c r="A299" s="12">
        <v>45001</v>
      </c>
      <c r="B299" s="9" t="s">
        <v>27</v>
      </c>
      <c r="C299" s="9" t="s">
        <v>3591</v>
      </c>
      <c r="D299" s="9">
        <v>-1021.87</v>
      </c>
      <c r="E299" s="9">
        <v>555165.74000000174</v>
      </c>
      <c r="F299" s="9"/>
    </row>
    <row r="300" spans="1:6" x14ac:dyDescent="0.3">
      <c r="A300" s="12">
        <v>45002</v>
      </c>
      <c r="B300" s="9" t="s">
        <v>27</v>
      </c>
      <c r="C300" s="9"/>
      <c r="D300" s="9">
        <v>0</v>
      </c>
      <c r="E300" s="9">
        <v>559190.61000000173</v>
      </c>
      <c r="F300" s="9"/>
    </row>
    <row r="301" spans="1:6" hidden="1" x14ac:dyDescent="0.3">
      <c r="A301" s="6">
        <v>43862</v>
      </c>
      <c r="B301" s="10" t="s">
        <v>27</v>
      </c>
      <c r="C301" s="10" t="s">
        <v>3426</v>
      </c>
      <c r="D301" s="10">
        <v>-7350</v>
      </c>
      <c r="E301" s="10">
        <v>530530.99000000057</v>
      </c>
      <c r="F301" s="9" t="s">
        <v>3030</v>
      </c>
    </row>
    <row r="302" spans="1:6" hidden="1" x14ac:dyDescent="0.3">
      <c r="A302" s="6">
        <v>44228</v>
      </c>
      <c r="B302" s="10" t="s">
        <v>27</v>
      </c>
      <c r="C302" s="10"/>
      <c r="D302" s="10">
        <v>-7350</v>
      </c>
      <c r="E302" s="10">
        <v>585322.7500000007</v>
      </c>
      <c r="F302" s="9" t="s">
        <v>3030</v>
      </c>
    </row>
    <row r="303" spans="1:6" x14ac:dyDescent="0.3">
      <c r="A303" s="12">
        <v>45032</v>
      </c>
      <c r="B303" s="9" t="s">
        <v>25</v>
      </c>
      <c r="C303" s="9" t="s">
        <v>3592</v>
      </c>
      <c r="D303" s="9">
        <v>1200</v>
      </c>
      <c r="E303" s="9">
        <v>341809.15000000171</v>
      </c>
      <c r="F303" s="9"/>
    </row>
    <row r="304" spans="1:6" x14ac:dyDescent="0.3">
      <c r="A304" s="12">
        <v>45046</v>
      </c>
      <c r="B304" s="9" t="s">
        <v>25</v>
      </c>
      <c r="C304" s="9"/>
      <c r="D304" s="9">
        <v>5479</v>
      </c>
      <c r="E304" s="9">
        <v>223344.27000000171</v>
      </c>
      <c r="F304" s="9"/>
    </row>
    <row r="305" spans="1:6" x14ac:dyDescent="0.3">
      <c r="A305" s="12">
        <v>45046</v>
      </c>
      <c r="B305" s="9" t="s">
        <v>27</v>
      </c>
      <c r="C305" s="9" t="s">
        <v>3593</v>
      </c>
      <c r="D305" s="9">
        <v>-85</v>
      </c>
      <c r="E305" s="9">
        <v>201499.27000000171</v>
      </c>
      <c r="F305" s="9"/>
    </row>
    <row r="306" spans="1:6" hidden="1" x14ac:dyDescent="0.3">
      <c r="A306" s="6">
        <v>44317</v>
      </c>
      <c r="B306" s="10" t="s">
        <v>27</v>
      </c>
      <c r="C306" s="10" t="s">
        <v>3429</v>
      </c>
      <c r="D306" s="10">
        <v>-7350</v>
      </c>
      <c r="E306" s="10">
        <v>455962.2400000011</v>
      </c>
      <c r="F306" s="9" t="s">
        <v>3030</v>
      </c>
    </row>
    <row r="307" spans="1:6" hidden="1" x14ac:dyDescent="0.3">
      <c r="A307" s="6">
        <v>44378</v>
      </c>
      <c r="B307" s="10" t="s">
        <v>27</v>
      </c>
      <c r="C307" s="10"/>
      <c r="D307" s="10">
        <v>-7350</v>
      </c>
      <c r="E307" s="10">
        <v>410798.21000000113</v>
      </c>
      <c r="F307" s="9" t="s">
        <v>3030</v>
      </c>
    </row>
    <row r="308" spans="1:6" x14ac:dyDescent="0.3">
      <c r="A308" s="12">
        <v>45061</v>
      </c>
      <c r="B308" s="9" t="s">
        <v>25</v>
      </c>
      <c r="C308" s="9" t="s">
        <v>3272</v>
      </c>
      <c r="D308" s="9">
        <v>1870.89</v>
      </c>
      <c r="E308" s="9">
        <v>173900.6400000017</v>
      </c>
      <c r="F308" s="9"/>
    </row>
    <row r="309" spans="1:6" hidden="1" x14ac:dyDescent="0.3">
      <c r="A309" s="6">
        <v>44409</v>
      </c>
      <c r="B309" s="10" t="s">
        <v>27</v>
      </c>
      <c r="C309" s="10"/>
      <c r="D309" s="10">
        <v>-7350</v>
      </c>
      <c r="E309" s="10">
        <v>446924.87000000098</v>
      </c>
      <c r="F309" s="9" t="s">
        <v>3030</v>
      </c>
    </row>
    <row r="310" spans="1:6" x14ac:dyDescent="0.3">
      <c r="A310" s="12">
        <v>45070</v>
      </c>
      <c r="B310" s="9" t="s">
        <v>27</v>
      </c>
      <c r="C310" s="9" t="s">
        <v>3594</v>
      </c>
      <c r="D310" s="9">
        <v>-1250</v>
      </c>
      <c r="E310" s="9">
        <v>166836.99000000171</v>
      </c>
      <c r="F310" s="9"/>
    </row>
    <row r="311" spans="1:6" x14ac:dyDescent="0.3">
      <c r="A311" s="12">
        <v>45070</v>
      </c>
      <c r="B311" s="9" t="s">
        <v>27</v>
      </c>
      <c r="C311" s="9" t="s">
        <v>3553</v>
      </c>
      <c r="D311" s="9">
        <v>-3750</v>
      </c>
      <c r="E311" s="9">
        <v>163086.99000000171</v>
      </c>
      <c r="F311" s="9"/>
    </row>
    <row r="312" spans="1:6" x14ac:dyDescent="0.3">
      <c r="A312" s="12">
        <v>45070</v>
      </c>
      <c r="B312" s="9" t="s">
        <v>27</v>
      </c>
      <c r="C312" s="9" t="s">
        <v>3553</v>
      </c>
      <c r="D312" s="9">
        <v>-4900</v>
      </c>
      <c r="E312" s="9">
        <v>158186.99000000171</v>
      </c>
      <c r="F312" s="9"/>
    </row>
    <row r="313" spans="1:6" hidden="1" x14ac:dyDescent="0.3">
      <c r="A313" s="6">
        <v>44440</v>
      </c>
      <c r="B313" s="10" t="s">
        <v>27</v>
      </c>
      <c r="C313" s="10"/>
      <c r="D313" s="10">
        <v>-7350</v>
      </c>
      <c r="E313" s="10">
        <v>446949.30000000098</v>
      </c>
      <c r="F313" s="9" t="s">
        <v>3030</v>
      </c>
    </row>
    <row r="314" spans="1:6" hidden="1" x14ac:dyDescent="0.3">
      <c r="A314" s="6">
        <v>44470</v>
      </c>
      <c r="B314" s="10" t="s">
        <v>27</v>
      </c>
      <c r="C314" s="10"/>
      <c r="D314" s="10">
        <v>-7350</v>
      </c>
      <c r="E314" s="10">
        <v>492621.44000000088</v>
      </c>
      <c r="F314" s="9" t="s">
        <v>3030</v>
      </c>
    </row>
    <row r="315" spans="1:6" x14ac:dyDescent="0.3">
      <c r="A315" s="12">
        <v>45077</v>
      </c>
      <c r="B315" s="9" t="s">
        <v>27</v>
      </c>
      <c r="C315" s="9" t="s">
        <v>3595</v>
      </c>
      <c r="D315" s="9">
        <v>-3750</v>
      </c>
      <c r="E315" s="9">
        <v>129231.99000000169</v>
      </c>
      <c r="F315" s="9"/>
    </row>
    <row r="316" spans="1:6" hidden="1" x14ac:dyDescent="0.3">
      <c r="A316" s="6">
        <v>44501</v>
      </c>
      <c r="B316" s="10" t="s">
        <v>27</v>
      </c>
      <c r="C316" s="10"/>
      <c r="D316" s="10">
        <v>-7350</v>
      </c>
      <c r="E316" s="10">
        <v>521685.99000000092</v>
      </c>
      <c r="F316" s="9" t="s">
        <v>3030</v>
      </c>
    </row>
    <row r="317" spans="1:6" hidden="1" x14ac:dyDescent="0.3">
      <c r="A317" s="6">
        <v>44788</v>
      </c>
      <c r="B317" s="10" t="s">
        <v>27</v>
      </c>
      <c r="C317" s="10" t="s">
        <v>3436</v>
      </c>
      <c r="D317" s="10">
        <v>-7350</v>
      </c>
      <c r="E317" s="10">
        <v>702439.48000000173</v>
      </c>
      <c r="F317" s="9" t="s">
        <v>3030</v>
      </c>
    </row>
    <row r="318" spans="1:6" x14ac:dyDescent="0.3">
      <c r="A318" s="12">
        <v>45103</v>
      </c>
      <c r="B318" s="9" t="s">
        <v>27</v>
      </c>
      <c r="C318" s="9" t="s">
        <v>3596</v>
      </c>
      <c r="D318" s="9">
        <v>-187.69</v>
      </c>
      <c r="E318" s="9">
        <v>115774.8300000017</v>
      </c>
      <c r="F318" s="9"/>
    </row>
    <row r="319" spans="1:6" x14ac:dyDescent="0.3">
      <c r="A319" s="12">
        <v>45103</v>
      </c>
      <c r="B319" s="9" t="s">
        <v>27</v>
      </c>
      <c r="C319" s="9" t="s">
        <v>3597</v>
      </c>
      <c r="D319" s="9">
        <v>-533</v>
      </c>
      <c r="E319" s="9">
        <v>115241.8300000017</v>
      </c>
      <c r="F319" s="9"/>
    </row>
    <row r="320" spans="1:6" hidden="1" x14ac:dyDescent="0.3">
      <c r="A320" s="6">
        <v>44819</v>
      </c>
      <c r="B320" s="10" t="s">
        <v>27</v>
      </c>
      <c r="C320" s="10" t="s">
        <v>3436</v>
      </c>
      <c r="D320" s="10">
        <v>-7350</v>
      </c>
      <c r="E320" s="10">
        <v>671726.54000000178</v>
      </c>
      <c r="F320" s="9" t="s">
        <v>3030</v>
      </c>
    </row>
    <row r="321" spans="1:6" x14ac:dyDescent="0.3">
      <c r="A321" s="12">
        <v>45110</v>
      </c>
      <c r="B321" s="9" t="s">
        <v>2004</v>
      </c>
      <c r="C321" s="9" t="s">
        <v>3598</v>
      </c>
      <c r="D321" s="9">
        <v>-52.26</v>
      </c>
      <c r="E321" s="9">
        <v>106414.1900000017</v>
      </c>
      <c r="F321" s="9"/>
    </row>
    <row r="322" spans="1:6" x14ac:dyDescent="0.3">
      <c r="A322" s="12">
        <v>45110</v>
      </c>
      <c r="B322" s="9" t="s">
        <v>2004</v>
      </c>
      <c r="C322" s="9" t="s">
        <v>3599</v>
      </c>
      <c r="D322" s="9">
        <v>-157.87</v>
      </c>
      <c r="E322" s="9">
        <v>106256.3200000017</v>
      </c>
      <c r="F322" s="9"/>
    </row>
    <row r="323" spans="1:6" x14ac:dyDescent="0.3">
      <c r="A323" s="12">
        <v>45114</v>
      </c>
      <c r="B323" s="9" t="s">
        <v>2004</v>
      </c>
      <c r="C323" s="9" t="s">
        <v>3600</v>
      </c>
      <c r="D323" s="9">
        <v>-850</v>
      </c>
      <c r="E323" s="9">
        <v>129211.7300000017</v>
      </c>
      <c r="F323" s="9"/>
    </row>
    <row r="324" spans="1:6" x14ac:dyDescent="0.3">
      <c r="A324" s="12">
        <v>45122</v>
      </c>
      <c r="B324" s="9" t="s">
        <v>27</v>
      </c>
      <c r="C324" s="9"/>
      <c r="D324" s="9">
        <v>-5000</v>
      </c>
      <c r="E324" s="9">
        <v>169930.44000000169</v>
      </c>
      <c r="F324" s="9"/>
    </row>
    <row r="325" spans="1:6" x14ac:dyDescent="0.3">
      <c r="A325" s="12">
        <v>45139</v>
      </c>
      <c r="B325" s="9" t="s">
        <v>25</v>
      </c>
      <c r="C325" s="9" t="s">
        <v>3601</v>
      </c>
      <c r="D325" s="9">
        <v>2100</v>
      </c>
      <c r="E325" s="9">
        <v>191884.91000000169</v>
      </c>
      <c r="F325" s="9"/>
    </row>
    <row r="326" spans="1:6" x14ac:dyDescent="0.3">
      <c r="A326" s="12">
        <v>45141</v>
      </c>
      <c r="B326" s="9" t="s">
        <v>25</v>
      </c>
      <c r="C326" s="9"/>
      <c r="D326" s="9">
        <v>315</v>
      </c>
      <c r="E326" s="9">
        <v>187617.1700000017</v>
      </c>
      <c r="F326" s="9"/>
    </row>
    <row r="327" spans="1:6" x14ac:dyDescent="0.3">
      <c r="A327" s="12">
        <v>45170</v>
      </c>
      <c r="B327" s="9" t="s">
        <v>25</v>
      </c>
      <c r="C327" s="9"/>
      <c r="D327" s="9">
        <v>982.5</v>
      </c>
      <c r="E327" s="9">
        <v>159586.62000000171</v>
      </c>
      <c r="F327" s="9"/>
    </row>
    <row r="328" spans="1:6" x14ac:dyDescent="0.3">
      <c r="A328" s="12">
        <v>45184</v>
      </c>
      <c r="B328" s="9" t="s">
        <v>27</v>
      </c>
      <c r="C328" s="9"/>
      <c r="D328" s="9">
        <v>-200</v>
      </c>
      <c r="E328" s="9">
        <v>169646.30000000171</v>
      </c>
      <c r="F328" s="9"/>
    </row>
    <row r="329" spans="1:6" x14ac:dyDescent="0.3">
      <c r="A329" s="12">
        <v>45184</v>
      </c>
      <c r="B329" s="9" t="s">
        <v>27</v>
      </c>
      <c r="C329" s="9"/>
      <c r="D329" s="9">
        <v>-462.02</v>
      </c>
      <c r="E329" s="9">
        <v>169184.28000000169</v>
      </c>
      <c r="F329" s="9"/>
    </row>
    <row r="330" spans="1:6" x14ac:dyDescent="0.3">
      <c r="A330" s="12">
        <v>45195</v>
      </c>
      <c r="B330" s="9" t="s">
        <v>2004</v>
      </c>
      <c r="C330" s="9" t="s">
        <v>3602</v>
      </c>
      <c r="D330" s="9">
        <v>-7071.76</v>
      </c>
      <c r="E330" s="9">
        <v>162863.38000000169</v>
      </c>
      <c r="F330" s="9"/>
    </row>
    <row r="331" spans="1:6" hidden="1" x14ac:dyDescent="0.3">
      <c r="A331" s="6">
        <v>44870</v>
      </c>
      <c r="B331" s="10" t="s">
        <v>27</v>
      </c>
      <c r="C331" s="10"/>
      <c r="D331" s="10">
        <v>-7350</v>
      </c>
      <c r="E331" s="10">
        <v>532681.58000000182</v>
      </c>
      <c r="F331" s="9" t="s">
        <v>3030</v>
      </c>
    </row>
    <row r="332" spans="1:6" hidden="1" x14ac:dyDescent="0.3">
      <c r="A332" s="6">
        <v>44896</v>
      </c>
      <c r="B332" s="10" t="s">
        <v>27</v>
      </c>
      <c r="C332" s="10"/>
      <c r="D332" s="10">
        <v>-7350</v>
      </c>
      <c r="E332" s="10">
        <v>567921.26000000176</v>
      </c>
      <c r="F332" s="9" t="s">
        <v>3030</v>
      </c>
    </row>
    <row r="333" spans="1:6" x14ac:dyDescent="0.3">
      <c r="A333" s="12">
        <v>45202</v>
      </c>
      <c r="B333" s="9" t="s">
        <v>2004</v>
      </c>
      <c r="C333" s="9" t="s">
        <v>3603</v>
      </c>
      <c r="D333" s="9">
        <v>-584</v>
      </c>
      <c r="E333" s="9">
        <v>169534.3600000017</v>
      </c>
      <c r="F333" s="9"/>
    </row>
    <row r="334" spans="1:6" hidden="1" x14ac:dyDescent="0.3">
      <c r="A334" s="6">
        <v>44973</v>
      </c>
      <c r="B334" s="10" t="s">
        <v>25</v>
      </c>
      <c r="C334" s="10"/>
      <c r="D334" s="10">
        <v>6130</v>
      </c>
      <c r="E334" s="10">
        <v>1038950.850000002</v>
      </c>
      <c r="F334" s="9" t="s">
        <v>3509</v>
      </c>
    </row>
    <row r="335" spans="1:6" x14ac:dyDescent="0.3">
      <c r="A335" s="12">
        <v>45214</v>
      </c>
      <c r="B335" s="9" t="s">
        <v>27</v>
      </c>
      <c r="C335" s="9"/>
      <c r="D335" s="9">
        <v>-200</v>
      </c>
      <c r="E335" s="9">
        <v>201442.97000000169</v>
      </c>
      <c r="F335" s="9"/>
    </row>
    <row r="336" spans="1:6" x14ac:dyDescent="0.3">
      <c r="A336" s="12">
        <v>45245</v>
      </c>
      <c r="B336" s="9" t="s">
        <v>27</v>
      </c>
      <c r="C336" s="9"/>
      <c r="D336" s="9">
        <v>-200</v>
      </c>
      <c r="E336" s="9">
        <v>195816.18000000171</v>
      </c>
      <c r="F336" s="9"/>
    </row>
    <row r="337" spans="1:6" hidden="1" x14ac:dyDescent="0.3">
      <c r="A337" s="6">
        <v>43475</v>
      </c>
      <c r="B337" s="10" t="s">
        <v>25</v>
      </c>
      <c r="C337" s="10"/>
      <c r="D337" s="10">
        <v>6335</v>
      </c>
      <c r="E337" s="10">
        <v>515322.70000000042</v>
      </c>
      <c r="F337" s="9" t="s">
        <v>3509</v>
      </c>
    </row>
    <row r="338" spans="1:6" x14ac:dyDescent="0.3">
      <c r="A338" s="12">
        <v>45275</v>
      </c>
      <c r="B338" s="9" t="s">
        <v>27</v>
      </c>
      <c r="C338" s="9"/>
      <c r="D338" s="9">
        <v>-2000</v>
      </c>
      <c r="E338" s="9">
        <v>306505.42000000167</v>
      </c>
      <c r="F338" s="9"/>
    </row>
    <row r="339" spans="1:6" x14ac:dyDescent="0.3">
      <c r="A339" s="12">
        <v>45275</v>
      </c>
      <c r="B339" s="9" t="s">
        <v>27</v>
      </c>
      <c r="C339" s="9"/>
      <c r="D339" s="9">
        <v>-6019.31</v>
      </c>
      <c r="E339" s="9">
        <v>308505.42000000167</v>
      </c>
      <c r="F339" s="9"/>
    </row>
    <row r="340" spans="1:6" hidden="1" x14ac:dyDescent="0.3">
      <c r="A340" s="6">
        <v>43343</v>
      </c>
      <c r="B340" s="10" t="s">
        <v>25</v>
      </c>
      <c r="C340" s="10"/>
      <c r="D340" s="10">
        <v>6400</v>
      </c>
      <c r="E340" s="10">
        <v>469406.08000000031</v>
      </c>
      <c r="F340" s="9" t="s">
        <v>3509</v>
      </c>
    </row>
    <row r="341" spans="1:6" hidden="1" x14ac:dyDescent="0.3">
      <c r="A341" s="6">
        <v>43669</v>
      </c>
      <c r="B341" s="10" t="s">
        <v>25</v>
      </c>
      <c r="C341" s="10"/>
      <c r="D341" s="10">
        <v>6500</v>
      </c>
      <c r="E341" s="10">
        <v>176744.12000000061</v>
      </c>
      <c r="F341" s="9" t="s">
        <v>3509</v>
      </c>
    </row>
    <row r="342" spans="1:6" hidden="1" x14ac:dyDescent="0.3">
      <c r="A342" s="6">
        <v>44972</v>
      </c>
      <c r="B342" s="10" t="s">
        <v>25</v>
      </c>
      <c r="C342" s="10"/>
      <c r="D342" s="10">
        <v>6600</v>
      </c>
      <c r="E342" s="10">
        <v>1053312.350000002</v>
      </c>
      <c r="F342" s="9" t="s">
        <v>3509</v>
      </c>
    </row>
    <row r="343" spans="1:6" x14ac:dyDescent="0.3">
      <c r="A343" s="12">
        <v>45289</v>
      </c>
      <c r="B343" s="9" t="s">
        <v>25</v>
      </c>
      <c r="C343" s="9"/>
      <c r="D343" s="9">
        <v>930</v>
      </c>
      <c r="E343" s="9">
        <v>309953.85000000172</v>
      </c>
      <c r="F343" s="9"/>
    </row>
    <row r="344" spans="1:6" hidden="1" x14ac:dyDescent="0.3">
      <c r="A344" s="6">
        <v>43431</v>
      </c>
      <c r="B344" s="10" t="s">
        <v>25</v>
      </c>
      <c r="C344" s="10" t="s">
        <v>3604</v>
      </c>
      <c r="D344" s="10">
        <v>6995</v>
      </c>
      <c r="E344" s="10">
        <v>468879.92000000027</v>
      </c>
      <c r="F344" s="9" t="s">
        <v>3509</v>
      </c>
    </row>
    <row r="345" spans="1:6" hidden="1" x14ac:dyDescent="0.3">
      <c r="A345" s="6">
        <v>45282</v>
      </c>
      <c r="B345" s="10" t="s">
        <v>25</v>
      </c>
      <c r="C345" s="10"/>
      <c r="D345" s="10">
        <v>7255</v>
      </c>
      <c r="E345" s="10">
        <v>298439.27000000171</v>
      </c>
      <c r="F345" s="9" t="s">
        <v>3509</v>
      </c>
    </row>
    <row r="346" spans="1:6" x14ac:dyDescent="0.3">
      <c r="A346" s="12">
        <v>45300</v>
      </c>
      <c r="B346" s="9" t="s">
        <v>25</v>
      </c>
      <c r="C346" s="9"/>
      <c r="D346" s="9">
        <v>1850</v>
      </c>
      <c r="E346" s="9">
        <v>396809.05000000168</v>
      </c>
      <c r="F346" s="9"/>
    </row>
    <row r="347" spans="1:6" x14ac:dyDescent="0.3">
      <c r="A347" s="12">
        <v>45303</v>
      </c>
      <c r="B347" s="9" t="s">
        <v>25</v>
      </c>
      <c r="C347" s="9"/>
      <c r="D347" s="9">
        <v>2015</v>
      </c>
      <c r="E347" s="9">
        <v>429046.30000000168</v>
      </c>
      <c r="F347" s="9"/>
    </row>
    <row r="348" spans="1:6" x14ac:dyDescent="0.3">
      <c r="A348" s="12">
        <v>45306</v>
      </c>
      <c r="B348" s="9" t="s">
        <v>25</v>
      </c>
      <c r="C348" s="9"/>
      <c r="D348" s="9">
        <v>2070</v>
      </c>
      <c r="E348" s="9">
        <v>422378.78000000172</v>
      </c>
      <c r="F348" s="9"/>
    </row>
    <row r="349" spans="1:6" x14ac:dyDescent="0.3">
      <c r="A349" s="12">
        <v>45306</v>
      </c>
      <c r="B349" s="9" t="s">
        <v>27</v>
      </c>
      <c r="C349" s="9"/>
      <c r="D349" s="9">
        <v>-25</v>
      </c>
      <c r="E349" s="9">
        <v>420308.78000000172</v>
      </c>
      <c r="F349" s="9"/>
    </row>
    <row r="350" spans="1:6" x14ac:dyDescent="0.3">
      <c r="A350" s="12">
        <v>45306</v>
      </c>
      <c r="B350" s="9" t="s">
        <v>27</v>
      </c>
      <c r="C350" s="9"/>
      <c r="D350" s="9">
        <v>-41.64</v>
      </c>
      <c r="E350" s="9">
        <v>420383.78000000172</v>
      </c>
      <c r="F350" s="9"/>
    </row>
    <row r="351" spans="1:6" x14ac:dyDescent="0.3">
      <c r="A351" s="12">
        <v>45306</v>
      </c>
      <c r="B351" s="9" t="s">
        <v>27</v>
      </c>
      <c r="C351" s="9"/>
      <c r="D351" s="9">
        <v>-50</v>
      </c>
      <c r="E351" s="9">
        <v>420333.78000000172</v>
      </c>
      <c r="F351" s="9"/>
    </row>
    <row r="352" spans="1:6" x14ac:dyDescent="0.3">
      <c r="A352" s="12">
        <v>45321</v>
      </c>
      <c r="B352" s="9" t="s">
        <v>25</v>
      </c>
      <c r="C352" s="9"/>
      <c r="D352" s="9">
        <v>1520</v>
      </c>
      <c r="E352" s="9">
        <v>499278.3200000017</v>
      </c>
      <c r="F352" s="9"/>
    </row>
    <row r="353" spans="1:6" x14ac:dyDescent="0.3">
      <c r="A353" s="12">
        <v>45323</v>
      </c>
      <c r="B353" s="9" t="s">
        <v>25</v>
      </c>
      <c r="C353" s="9"/>
      <c r="D353" s="9">
        <v>4775</v>
      </c>
      <c r="E353" s="9">
        <v>513243.3200000017</v>
      </c>
      <c r="F353" s="9"/>
    </row>
    <row r="354" spans="1:6" x14ac:dyDescent="0.3">
      <c r="A354" s="12">
        <v>45329</v>
      </c>
      <c r="B354" s="9" t="s">
        <v>25</v>
      </c>
      <c r="C354" s="9"/>
      <c r="D354" s="9">
        <v>195</v>
      </c>
      <c r="E354" s="9">
        <v>541702.80000000168</v>
      </c>
      <c r="F354" s="9"/>
    </row>
    <row r="355" spans="1:6" hidden="1" x14ac:dyDescent="0.3">
      <c r="A355" s="6">
        <v>44564</v>
      </c>
      <c r="B355" s="10" t="s">
        <v>25</v>
      </c>
      <c r="C355" s="10"/>
      <c r="D355" s="10">
        <v>7300</v>
      </c>
      <c r="E355" s="10">
        <v>670510.83000000124</v>
      </c>
      <c r="F355" s="9" t="s">
        <v>3513</v>
      </c>
    </row>
    <row r="356" spans="1:6" x14ac:dyDescent="0.3">
      <c r="A356" s="12">
        <v>45337</v>
      </c>
      <c r="B356" s="9" t="s">
        <v>27</v>
      </c>
      <c r="C356" s="9"/>
      <c r="D356" s="9">
        <v>-10</v>
      </c>
      <c r="E356" s="9">
        <v>546599.60000000161</v>
      </c>
      <c r="F356" s="9"/>
    </row>
    <row r="357" spans="1:6" x14ac:dyDescent="0.3">
      <c r="A357" s="12">
        <v>45337</v>
      </c>
      <c r="B357" s="9" t="s">
        <v>27</v>
      </c>
      <c r="C357" s="9"/>
      <c r="D357" s="9">
        <v>-680</v>
      </c>
      <c r="E357" s="9">
        <v>547309.60000000161</v>
      </c>
      <c r="F357" s="9"/>
    </row>
    <row r="358" spans="1:6" x14ac:dyDescent="0.3">
      <c r="A358" s="12">
        <v>45337</v>
      </c>
      <c r="B358" s="9" t="s">
        <v>27</v>
      </c>
      <c r="C358" s="9"/>
      <c r="D358" s="9">
        <v>-700</v>
      </c>
      <c r="E358" s="9">
        <v>546609.60000000161</v>
      </c>
      <c r="F358" s="9"/>
    </row>
    <row r="359" spans="1:6" hidden="1" x14ac:dyDescent="0.3">
      <c r="A359" s="6">
        <v>44929</v>
      </c>
      <c r="B359" s="10" t="s">
        <v>25</v>
      </c>
      <c r="C359" s="10" t="s">
        <v>3605</v>
      </c>
      <c r="D359" s="10">
        <v>7300</v>
      </c>
      <c r="E359" s="10">
        <v>882583.00000000175</v>
      </c>
      <c r="F359" s="9" t="s">
        <v>3513</v>
      </c>
    </row>
    <row r="360" spans="1:6" x14ac:dyDescent="0.3">
      <c r="A360" s="12">
        <v>45338</v>
      </c>
      <c r="B360" s="9" t="s">
        <v>25</v>
      </c>
      <c r="C360" s="9"/>
      <c r="D360" s="9">
        <v>2825</v>
      </c>
      <c r="E360" s="9">
        <v>549424.60000000161</v>
      </c>
      <c r="F360" s="9"/>
    </row>
    <row r="361" spans="1:6" x14ac:dyDescent="0.3">
      <c r="A361" s="12">
        <v>45345</v>
      </c>
      <c r="B361" s="9" t="s">
        <v>25</v>
      </c>
      <c r="C361" s="9"/>
      <c r="D361" s="9">
        <v>1040</v>
      </c>
      <c r="E361" s="9">
        <v>557996.08000000159</v>
      </c>
      <c r="F361" s="9"/>
    </row>
    <row r="362" spans="1:6" x14ac:dyDescent="0.3">
      <c r="A362" s="12">
        <v>45379</v>
      </c>
      <c r="B362" s="9" t="s">
        <v>25</v>
      </c>
      <c r="C362" s="9"/>
      <c r="D362" s="9">
        <v>165</v>
      </c>
      <c r="E362" s="9">
        <v>376981.39000000141</v>
      </c>
      <c r="F362" s="9"/>
    </row>
    <row r="363" spans="1:6" x14ac:dyDescent="0.3">
      <c r="A363" s="12">
        <v>45381</v>
      </c>
      <c r="B363" s="9" t="s">
        <v>27</v>
      </c>
      <c r="C363" s="9" t="s">
        <v>3606</v>
      </c>
      <c r="D363" s="9">
        <v>-1850</v>
      </c>
      <c r="E363" s="9">
        <v>375131.39000000141</v>
      </c>
      <c r="F363" s="9"/>
    </row>
    <row r="364" spans="1:6" hidden="1" x14ac:dyDescent="0.3">
      <c r="A364" s="6">
        <v>44972</v>
      </c>
      <c r="B364" s="10" t="s">
        <v>25</v>
      </c>
      <c r="C364" s="10"/>
      <c r="D364" s="10">
        <v>7300</v>
      </c>
      <c r="E364" s="10">
        <v>1046712.350000002</v>
      </c>
      <c r="F364" s="9" t="s">
        <v>3513</v>
      </c>
    </row>
    <row r="365" spans="1:6" hidden="1" x14ac:dyDescent="0.3">
      <c r="A365" s="6">
        <v>44966</v>
      </c>
      <c r="B365" s="10" t="s">
        <v>25</v>
      </c>
      <c r="C365" s="10"/>
      <c r="D365" s="10">
        <v>7615</v>
      </c>
      <c r="E365" s="10">
        <v>1021162.230000002</v>
      </c>
      <c r="F365" s="9" t="s">
        <v>3509</v>
      </c>
    </row>
    <row r="366" spans="1:6" x14ac:dyDescent="0.3">
      <c r="A366" s="12">
        <v>45412</v>
      </c>
      <c r="B366" s="9" t="s">
        <v>27</v>
      </c>
      <c r="C366" s="9"/>
      <c r="D366" s="9">
        <v>-70.86</v>
      </c>
      <c r="E366" s="9">
        <v>321641.6300000014</v>
      </c>
      <c r="F366" s="9"/>
    </row>
    <row r="367" spans="1:6" x14ac:dyDescent="0.3">
      <c r="A367" s="12">
        <v>45412</v>
      </c>
      <c r="B367" s="9" t="s">
        <v>27</v>
      </c>
      <c r="C367" s="9"/>
      <c r="D367" s="9">
        <v>-500</v>
      </c>
      <c r="E367" s="9">
        <v>275510.76000000141</v>
      </c>
      <c r="F367" s="9"/>
    </row>
    <row r="368" spans="1:6" x14ac:dyDescent="0.3">
      <c r="A368" s="12">
        <v>45412</v>
      </c>
      <c r="B368" s="9" t="s">
        <v>27</v>
      </c>
      <c r="C368" s="9" t="s">
        <v>3607</v>
      </c>
      <c r="D368" s="9">
        <v>-3201.76</v>
      </c>
      <c r="E368" s="9">
        <v>312789.87000000139</v>
      </c>
      <c r="F368" s="9"/>
    </row>
    <row r="369" spans="1:6" hidden="1" x14ac:dyDescent="0.3">
      <c r="A369" s="6">
        <v>44933</v>
      </c>
      <c r="B369" s="10" t="s">
        <v>25</v>
      </c>
      <c r="C369" s="10"/>
      <c r="D369" s="10">
        <v>7965</v>
      </c>
      <c r="E369" s="10">
        <v>929342.54000000178</v>
      </c>
      <c r="F369" s="9" t="s">
        <v>3509</v>
      </c>
    </row>
    <row r="370" spans="1:6" hidden="1" x14ac:dyDescent="0.3">
      <c r="A370" s="6">
        <v>44976</v>
      </c>
      <c r="B370" s="10" t="s">
        <v>25</v>
      </c>
      <c r="C370" s="10"/>
      <c r="D370" s="10">
        <v>8680</v>
      </c>
      <c r="E370" s="10">
        <v>1063562.370000002</v>
      </c>
      <c r="F370" s="9" t="s">
        <v>3509</v>
      </c>
    </row>
    <row r="371" spans="1:6" hidden="1" x14ac:dyDescent="0.3">
      <c r="A371" s="6">
        <v>45205</v>
      </c>
      <c r="B371" s="10" t="s">
        <v>25</v>
      </c>
      <c r="C371" s="10"/>
      <c r="D371" s="10">
        <v>8887.5</v>
      </c>
      <c r="E371" s="10">
        <v>185685.72000000169</v>
      </c>
      <c r="F371" s="9" t="s">
        <v>3509</v>
      </c>
    </row>
    <row r="372" spans="1:6" x14ac:dyDescent="0.3">
      <c r="A372" s="12">
        <v>45419</v>
      </c>
      <c r="B372" s="9" t="s">
        <v>25</v>
      </c>
      <c r="C372" s="9" t="s">
        <v>3608</v>
      </c>
      <c r="D372" s="9">
        <v>80</v>
      </c>
      <c r="E372" s="9">
        <v>259216.17000000141</v>
      </c>
      <c r="F372" s="9"/>
    </row>
    <row r="373" spans="1:6" x14ac:dyDescent="0.3">
      <c r="A373" s="12">
        <v>45421</v>
      </c>
      <c r="B373" s="9" t="s">
        <v>25</v>
      </c>
      <c r="C373" s="9" t="s">
        <v>3608</v>
      </c>
      <c r="D373" s="9">
        <v>123.75</v>
      </c>
      <c r="E373" s="9">
        <v>254546.02000000139</v>
      </c>
      <c r="F373" s="9"/>
    </row>
    <row r="374" spans="1:6" hidden="1" x14ac:dyDescent="0.3">
      <c r="A374" s="6">
        <v>43616</v>
      </c>
      <c r="B374" s="10" t="s">
        <v>25</v>
      </c>
      <c r="C374" s="10" t="s">
        <v>3609</v>
      </c>
      <c r="D374" s="10">
        <v>9504.06</v>
      </c>
      <c r="E374" s="10">
        <v>148936.27000000069</v>
      </c>
      <c r="F374" s="9" t="s">
        <v>3509</v>
      </c>
    </row>
    <row r="375" spans="1:6" hidden="1" x14ac:dyDescent="0.3">
      <c r="A375" s="6">
        <v>45675</v>
      </c>
      <c r="B375" s="10" t="s">
        <v>25</v>
      </c>
      <c r="C375" s="10"/>
      <c r="D375" s="10">
        <v>9845</v>
      </c>
      <c r="E375" s="10">
        <v>377112.28000000131</v>
      </c>
      <c r="F375" s="9" t="s">
        <v>3515</v>
      </c>
    </row>
    <row r="376" spans="1:6" x14ac:dyDescent="0.3">
      <c r="A376" s="12">
        <v>45427</v>
      </c>
      <c r="B376" s="9" t="s">
        <v>27</v>
      </c>
      <c r="C376" s="9"/>
      <c r="D376" s="9">
        <v>-3409.84</v>
      </c>
      <c r="E376" s="9">
        <v>209435.1300000014</v>
      </c>
      <c r="F376" s="9"/>
    </row>
    <row r="377" spans="1:6" x14ac:dyDescent="0.3">
      <c r="A377" s="12">
        <v>45427</v>
      </c>
      <c r="B377" s="9" t="s">
        <v>27</v>
      </c>
      <c r="C377" s="9"/>
      <c r="D377" s="9">
        <v>-5000</v>
      </c>
      <c r="E377" s="9">
        <v>212844.9700000014</v>
      </c>
      <c r="F377" s="9"/>
    </row>
    <row r="378" spans="1:6" x14ac:dyDescent="0.3">
      <c r="A378" s="12">
        <v>45433</v>
      </c>
      <c r="B378" s="9" t="s">
        <v>25</v>
      </c>
      <c r="C378" s="9"/>
      <c r="D378" s="9">
        <v>123.75</v>
      </c>
      <c r="E378" s="9">
        <v>210106.6300000014</v>
      </c>
      <c r="F378" s="9"/>
    </row>
    <row r="379" spans="1:6" x14ac:dyDescent="0.3">
      <c r="A379" s="12">
        <v>45443</v>
      </c>
      <c r="B379" s="9" t="s">
        <v>27</v>
      </c>
      <c r="C379" s="9" t="s">
        <v>3610</v>
      </c>
      <c r="D379" s="9">
        <v>-0.42</v>
      </c>
      <c r="E379" s="9">
        <v>207203.80000000141</v>
      </c>
      <c r="F379" s="9"/>
    </row>
    <row r="380" spans="1:6" x14ac:dyDescent="0.3">
      <c r="A380" s="12">
        <v>45448</v>
      </c>
      <c r="B380" s="9" t="s">
        <v>25</v>
      </c>
      <c r="C380" s="9"/>
      <c r="D380" s="9">
        <v>1805</v>
      </c>
      <c r="E380" s="9">
        <v>207474.17000000141</v>
      </c>
      <c r="F380" s="9"/>
    </row>
    <row r="381" spans="1:6" x14ac:dyDescent="0.3">
      <c r="A381" s="12">
        <v>45449</v>
      </c>
      <c r="B381" s="9" t="s">
        <v>25</v>
      </c>
      <c r="C381" s="9"/>
      <c r="D381" s="9">
        <v>795</v>
      </c>
      <c r="E381" s="9">
        <v>208269.17000000141</v>
      </c>
      <c r="F381" s="9"/>
    </row>
    <row r="382" spans="1:6" x14ac:dyDescent="0.3">
      <c r="A382" s="12">
        <v>45450</v>
      </c>
      <c r="B382" s="9" t="s">
        <v>25</v>
      </c>
      <c r="C382" s="9"/>
      <c r="D382" s="9">
        <v>920</v>
      </c>
      <c r="E382" s="9">
        <v>209189.17000000141</v>
      </c>
      <c r="F382" s="9"/>
    </row>
    <row r="383" spans="1:6" x14ac:dyDescent="0.3">
      <c r="A383" s="12">
        <v>45451</v>
      </c>
      <c r="B383" s="9" t="s">
        <v>25</v>
      </c>
      <c r="C383" s="9"/>
      <c r="D383" s="9">
        <v>840</v>
      </c>
      <c r="E383" s="9">
        <v>210029.17000000141</v>
      </c>
      <c r="F383" s="9"/>
    </row>
    <row r="384" spans="1:6" x14ac:dyDescent="0.3">
      <c r="A384" s="12">
        <v>45452</v>
      </c>
      <c r="B384" s="9" t="s">
        <v>25</v>
      </c>
      <c r="C384" s="9"/>
      <c r="D384" s="9">
        <v>270</v>
      </c>
      <c r="E384" s="9">
        <v>210299.17000000141</v>
      </c>
      <c r="F384" s="9"/>
    </row>
    <row r="385" spans="1:6" x14ac:dyDescent="0.3">
      <c r="A385" s="12">
        <v>45453</v>
      </c>
      <c r="B385" s="9" t="s">
        <v>25</v>
      </c>
      <c r="C385" s="9"/>
      <c r="D385" s="9">
        <v>1365</v>
      </c>
      <c r="E385" s="9">
        <v>211664.17000000141</v>
      </c>
      <c r="F385" s="9"/>
    </row>
    <row r="386" spans="1:6" x14ac:dyDescent="0.3">
      <c r="A386" s="12">
        <v>45454</v>
      </c>
      <c r="B386" s="9" t="s">
        <v>25</v>
      </c>
      <c r="C386" s="9"/>
      <c r="D386" s="9">
        <v>1290</v>
      </c>
      <c r="E386" s="9">
        <v>212152.67000000141</v>
      </c>
      <c r="F386" s="9"/>
    </row>
    <row r="387" spans="1:6" x14ac:dyDescent="0.3">
      <c r="A387" s="12">
        <v>45455</v>
      </c>
      <c r="B387" s="9" t="s">
        <v>25</v>
      </c>
      <c r="C387" s="9"/>
      <c r="D387" s="9">
        <v>778.75</v>
      </c>
      <c r="E387" s="9">
        <v>212931.42000000141</v>
      </c>
      <c r="F387" s="9"/>
    </row>
    <row r="388" spans="1:6" x14ac:dyDescent="0.3">
      <c r="A388" s="12">
        <v>45456</v>
      </c>
      <c r="B388" s="9" t="s">
        <v>25</v>
      </c>
      <c r="C388" s="9"/>
      <c r="D388" s="9">
        <v>487.5</v>
      </c>
      <c r="E388" s="9">
        <v>213320.5000000014</v>
      </c>
      <c r="F388" s="9"/>
    </row>
    <row r="389" spans="1:6" x14ac:dyDescent="0.3">
      <c r="A389" s="12">
        <v>45457</v>
      </c>
      <c r="B389" s="9" t="s">
        <v>25</v>
      </c>
      <c r="C389" s="9"/>
      <c r="D389" s="9">
        <v>672.5</v>
      </c>
      <c r="E389" s="9">
        <v>206016.11000000141</v>
      </c>
      <c r="F389" s="9"/>
    </row>
    <row r="390" spans="1:6" x14ac:dyDescent="0.3">
      <c r="A390" s="12">
        <v>45458</v>
      </c>
      <c r="B390" s="9" t="s">
        <v>25</v>
      </c>
      <c r="C390" s="9"/>
      <c r="D390" s="9">
        <v>1450</v>
      </c>
      <c r="E390" s="9">
        <v>207466.11000000141</v>
      </c>
      <c r="F390" s="9"/>
    </row>
    <row r="391" spans="1:6" x14ac:dyDescent="0.3">
      <c r="A391" s="12">
        <v>45458</v>
      </c>
      <c r="B391" s="9" t="s">
        <v>25</v>
      </c>
      <c r="C391" s="9"/>
      <c r="D391" s="9">
        <v>21</v>
      </c>
      <c r="E391" s="9">
        <v>207487.11000000141</v>
      </c>
      <c r="F391" s="9"/>
    </row>
    <row r="392" spans="1:6" x14ac:dyDescent="0.3">
      <c r="A392" s="12">
        <v>45458</v>
      </c>
      <c r="B392" s="9" t="s">
        <v>27</v>
      </c>
      <c r="C392" s="9"/>
      <c r="D392" s="9">
        <v>-21</v>
      </c>
      <c r="E392" s="9">
        <v>207466.11000000141</v>
      </c>
      <c r="F392" s="9"/>
    </row>
    <row r="393" spans="1:6" x14ac:dyDescent="0.3">
      <c r="A393" s="12">
        <v>45459</v>
      </c>
      <c r="B393" s="9" t="s">
        <v>25</v>
      </c>
      <c r="C393" s="9"/>
      <c r="D393" s="9">
        <v>705</v>
      </c>
      <c r="E393" s="9">
        <v>194571.11000000141</v>
      </c>
      <c r="F393" s="9"/>
    </row>
    <row r="394" spans="1:6" x14ac:dyDescent="0.3">
      <c r="A394" s="12">
        <v>45460</v>
      </c>
      <c r="B394" s="9" t="s">
        <v>25</v>
      </c>
      <c r="C394" s="9"/>
      <c r="D394" s="9">
        <v>400</v>
      </c>
      <c r="E394" s="9">
        <v>194971.11000000141</v>
      </c>
      <c r="F394" s="9"/>
    </row>
    <row r="395" spans="1:6" x14ac:dyDescent="0.3">
      <c r="A395" s="12">
        <v>45461</v>
      </c>
      <c r="B395" s="9" t="s">
        <v>25</v>
      </c>
      <c r="C395" s="9"/>
      <c r="D395" s="9">
        <v>3775</v>
      </c>
      <c r="E395" s="9">
        <v>198729.74000000139</v>
      </c>
      <c r="F395" s="9"/>
    </row>
    <row r="396" spans="1:6" x14ac:dyDescent="0.3">
      <c r="A396" s="12">
        <v>45463</v>
      </c>
      <c r="B396" s="9" t="s">
        <v>25</v>
      </c>
      <c r="C396" s="9"/>
      <c r="D396" s="9">
        <v>1193.75</v>
      </c>
      <c r="E396" s="9">
        <v>199912.61000000141</v>
      </c>
      <c r="F396" s="9"/>
    </row>
    <row r="397" spans="1:6" x14ac:dyDescent="0.3">
      <c r="A397" s="12">
        <v>45464</v>
      </c>
      <c r="B397" s="9" t="s">
        <v>25</v>
      </c>
      <c r="C397" s="9"/>
      <c r="D397" s="9">
        <v>943.75</v>
      </c>
      <c r="E397" s="9">
        <v>200856.36000000141</v>
      </c>
      <c r="F397" s="9"/>
    </row>
    <row r="398" spans="1:6" x14ac:dyDescent="0.3">
      <c r="A398" s="12">
        <v>45465</v>
      </c>
      <c r="B398" s="9" t="s">
        <v>25</v>
      </c>
      <c r="C398" s="9"/>
      <c r="D398" s="9">
        <v>130</v>
      </c>
      <c r="E398" s="9">
        <v>206356.36000000141</v>
      </c>
      <c r="F398" s="9"/>
    </row>
    <row r="399" spans="1:6" x14ac:dyDescent="0.3">
      <c r="A399" s="12">
        <v>45466</v>
      </c>
      <c r="B399" s="9" t="s">
        <v>25</v>
      </c>
      <c r="C399" s="9"/>
      <c r="D399" s="9">
        <v>165</v>
      </c>
      <c r="E399" s="9">
        <v>206521.36000000141</v>
      </c>
      <c r="F399" s="9"/>
    </row>
    <row r="400" spans="1:6" x14ac:dyDescent="0.3">
      <c r="A400" s="12">
        <v>45467</v>
      </c>
      <c r="B400" s="9" t="s">
        <v>25</v>
      </c>
      <c r="C400" s="9" t="s">
        <v>3266</v>
      </c>
      <c r="D400" s="9">
        <v>1508.89</v>
      </c>
      <c r="E400" s="9">
        <v>208640.2500000014</v>
      </c>
      <c r="F400" s="9"/>
    </row>
    <row r="401" spans="1:6" x14ac:dyDescent="0.3">
      <c r="A401" s="12">
        <v>45467</v>
      </c>
      <c r="B401" s="9" t="s">
        <v>25</v>
      </c>
      <c r="C401" s="9"/>
      <c r="D401" s="9">
        <v>610</v>
      </c>
      <c r="E401" s="9">
        <v>207131.36000000141</v>
      </c>
      <c r="F401" s="9"/>
    </row>
    <row r="402" spans="1:6" x14ac:dyDescent="0.3">
      <c r="A402" s="12">
        <v>45468</v>
      </c>
      <c r="B402" s="9" t="s">
        <v>25</v>
      </c>
      <c r="C402" s="9"/>
      <c r="D402" s="9">
        <v>440</v>
      </c>
      <c r="E402" s="9">
        <v>209080.2500000014</v>
      </c>
      <c r="F402" s="9"/>
    </row>
    <row r="403" spans="1:6" x14ac:dyDescent="0.3">
      <c r="A403" s="12">
        <v>45471</v>
      </c>
      <c r="B403" s="9" t="s">
        <v>27</v>
      </c>
      <c r="C403" s="9" t="s">
        <v>3610</v>
      </c>
      <c r="D403" s="9">
        <v>-100.28</v>
      </c>
      <c r="E403" s="9">
        <v>214437.2200000014</v>
      </c>
      <c r="F403" s="9"/>
    </row>
    <row r="404" spans="1:6" hidden="1" x14ac:dyDescent="0.3">
      <c r="A404" s="6">
        <v>44929</v>
      </c>
      <c r="B404" s="10" t="s">
        <v>25</v>
      </c>
      <c r="C404" s="10"/>
      <c r="D404" s="10">
        <v>10035</v>
      </c>
      <c r="E404" s="10">
        <v>892618.00000000175</v>
      </c>
      <c r="F404" s="9" t="s">
        <v>3515</v>
      </c>
    </row>
    <row r="405" spans="1:6" x14ac:dyDescent="0.3">
      <c r="A405" s="12">
        <v>45478</v>
      </c>
      <c r="B405" s="9" t="s">
        <v>25</v>
      </c>
      <c r="C405" s="9"/>
      <c r="D405" s="9">
        <v>16.5</v>
      </c>
      <c r="E405" s="9">
        <v>207229.30000000141</v>
      </c>
      <c r="F405" s="9"/>
    </row>
    <row r="406" spans="1:6" hidden="1" x14ac:dyDescent="0.3">
      <c r="A406" s="6">
        <v>44929</v>
      </c>
      <c r="B406" s="10" t="s">
        <v>25</v>
      </c>
      <c r="C406" s="10"/>
      <c r="D406" s="10">
        <v>11060</v>
      </c>
      <c r="E406" s="10">
        <v>863713.00000000175</v>
      </c>
      <c r="F406" s="9" t="s">
        <v>3511</v>
      </c>
    </row>
    <row r="407" spans="1:6" x14ac:dyDescent="0.3">
      <c r="A407" s="12">
        <v>45490</v>
      </c>
      <c r="B407" s="9" t="s">
        <v>2004</v>
      </c>
      <c r="C407" s="9" t="s">
        <v>3611</v>
      </c>
      <c r="D407" s="9">
        <v>-533.49</v>
      </c>
      <c r="E407" s="9">
        <v>303635.33000000141</v>
      </c>
      <c r="F407" s="9"/>
    </row>
    <row r="408" spans="1:6" hidden="1" x14ac:dyDescent="0.3">
      <c r="A408" s="6">
        <v>44929</v>
      </c>
      <c r="B408" s="10" t="s">
        <v>25</v>
      </c>
      <c r="C408" s="10"/>
      <c r="D408" s="10">
        <v>11060</v>
      </c>
      <c r="E408" s="10">
        <v>874773.00000000175</v>
      </c>
      <c r="F408" s="9" t="s">
        <v>3511</v>
      </c>
    </row>
    <row r="409" spans="1:6" x14ac:dyDescent="0.3">
      <c r="A409" s="12">
        <v>45519</v>
      </c>
      <c r="B409" s="9" t="s">
        <v>2004</v>
      </c>
      <c r="C409" s="9" t="s">
        <v>3121</v>
      </c>
      <c r="D409" s="9">
        <v>-839.3</v>
      </c>
      <c r="E409" s="9">
        <v>322396.47000000143</v>
      </c>
      <c r="F409" s="9"/>
    </row>
    <row r="410" spans="1:6" hidden="1" x14ac:dyDescent="0.3">
      <c r="A410" s="6">
        <v>44933</v>
      </c>
      <c r="B410" s="10" t="s">
        <v>25</v>
      </c>
      <c r="C410" s="10"/>
      <c r="D410" s="10">
        <v>11100</v>
      </c>
      <c r="E410" s="10">
        <v>921377.54000000178</v>
      </c>
      <c r="F410" s="9" t="s">
        <v>3509</v>
      </c>
    </row>
    <row r="411" spans="1:6" x14ac:dyDescent="0.3">
      <c r="A411" s="12">
        <v>45524</v>
      </c>
      <c r="B411" s="9" t="s">
        <v>25</v>
      </c>
      <c r="C411" s="9" t="s">
        <v>3608</v>
      </c>
      <c r="D411" s="9">
        <v>500</v>
      </c>
      <c r="E411" s="9">
        <v>295266.48000000138</v>
      </c>
      <c r="F411" s="9"/>
    </row>
    <row r="412" spans="1:6" hidden="1" x14ac:dyDescent="0.3">
      <c r="A412" s="6">
        <v>44882</v>
      </c>
      <c r="B412" s="10" t="s">
        <v>25</v>
      </c>
      <c r="C412" s="10"/>
      <c r="D412" s="10">
        <v>11470</v>
      </c>
      <c r="E412" s="10">
        <v>554097.62000000174</v>
      </c>
      <c r="F412" s="9" t="s">
        <v>3509</v>
      </c>
    </row>
    <row r="413" spans="1:6" x14ac:dyDescent="0.3">
      <c r="A413" s="12">
        <v>45534</v>
      </c>
      <c r="B413" s="9" t="s">
        <v>25</v>
      </c>
      <c r="C413" s="9"/>
      <c r="D413" s="9">
        <v>1247.5</v>
      </c>
      <c r="E413" s="9">
        <v>296161.65000000142</v>
      </c>
      <c r="F413" s="9"/>
    </row>
    <row r="414" spans="1:6" x14ac:dyDescent="0.3">
      <c r="A414" s="12">
        <v>45547</v>
      </c>
      <c r="B414" s="9" t="s">
        <v>25</v>
      </c>
      <c r="C414" s="9" t="s">
        <v>3612</v>
      </c>
      <c r="D414" s="9">
        <v>3201.76</v>
      </c>
      <c r="E414" s="9">
        <v>220366.99000000139</v>
      </c>
      <c r="F414" s="9"/>
    </row>
    <row r="415" spans="1:6" x14ac:dyDescent="0.3">
      <c r="A415" s="12">
        <v>45550</v>
      </c>
      <c r="B415" s="9" t="s">
        <v>27</v>
      </c>
      <c r="C415" s="9"/>
      <c r="D415" s="9">
        <v>-165</v>
      </c>
      <c r="E415" s="9">
        <v>207176.99000000139</v>
      </c>
      <c r="F415" s="9"/>
    </row>
    <row r="416" spans="1:6" x14ac:dyDescent="0.3">
      <c r="A416" s="12">
        <v>45550</v>
      </c>
      <c r="B416" s="9" t="s">
        <v>27</v>
      </c>
      <c r="C416" s="9"/>
      <c r="D416" s="9">
        <v>-5587.79</v>
      </c>
      <c r="E416" s="9">
        <v>201589.20000000141</v>
      </c>
      <c r="F416" s="9"/>
    </row>
    <row r="417" spans="1:6" x14ac:dyDescent="0.3">
      <c r="A417" s="12">
        <v>45550</v>
      </c>
      <c r="B417" s="9" t="s">
        <v>2004</v>
      </c>
      <c r="C417" s="9" t="s">
        <v>3613</v>
      </c>
      <c r="D417" s="9">
        <v>-5591.67</v>
      </c>
      <c r="E417" s="9">
        <v>207176.99000000139</v>
      </c>
      <c r="F417" s="9"/>
    </row>
    <row r="418" spans="1:6" hidden="1" x14ac:dyDescent="0.3">
      <c r="A418" s="6">
        <v>44451</v>
      </c>
      <c r="B418" s="10" t="s">
        <v>25</v>
      </c>
      <c r="C418" s="10" t="s">
        <v>3539</v>
      </c>
      <c r="D418" s="10">
        <v>12525</v>
      </c>
      <c r="E418" s="10">
        <v>477097.32000000088</v>
      </c>
      <c r="F418" s="9" t="s">
        <v>3515</v>
      </c>
    </row>
    <row r="419" spans="1:6" hidden="1" x14ac:dyDescent="0.3">
      <c r="A419" s="6">
        <v>44929</v>
      </c>
      <c r="B419" s="10" t="s">
        <v>25</v>
      </c>
      <c r="C419" s="10"/>
      <c r="D419" s="10">
        <v>13970</v>
      </c>
      <c r="E419" s="10">
        <v>797373.00000000175</v>
      </c>
      <c r="F419" s="9" t="s">
        <v>3509</v>
      </c>
    </row>
    <row r="420" spans="1:6" x14ac:dyDescent="0.3">
      <c r="A420" s="12">
        <v>45576</v>
      </c>
      <c r="B420" s="9" t="s">
        <v>2004</v>
      </c>
      <c r="C420" s="9" t="s">
        <v>3614</v>
      </c>
      <c r="D420" s="9">
        <v>-6060</v>
      </c>
      <c r="E420" s="9">
        <v>257616.86000000141</v>
      </c>
      <c r="F420" s="9"/>
    </row>
    <row r="421" spans="1:6" hidden="1" x14ac:dyDescent="0.3">
      <c r="A421" s="6">
        <v>44934</v>
      </c>
      <c r="B421" s="10" t="s">
        <v>25</v>
      </c>
      <c r="C421" s="10"/>
      <c r="D421" s="10">
        <v>14410</v>
      </c>
      <c r="E421" s="10">
        <v>943752.54000000178</v>
      </c>
      <c r="F421" s="9" t="s">
        <v>3509</v>
      </c>
    </row>
    <row r="422" spans="1:6" hidden="1" x14ac:dyDescent="0.3">
      <c r="A422" s="6">
        <v>45576</v>
      </c>
      <c r="B422" s="10" t="s">
        <v>25</v>
      </c>
      <c r="C422" s="10"/>
      <c r="D422" s="10">
        <v>15007.5</v>
      </c>
      <c r="E422" s="10">
        <v>272624.36000000138</v>
      </c>
      <c r="F422" s="9" t="s">
        <v>3509</v>
      </c>
    </row>
    <row r="423" spans="1:6" hidden="1" x14ac:dyDescent="0.3">
      <c r="A423" s="6">
        <v>44932</v>
      </c>
      <c r="B423" s="10" t="s">
        <v>25</v>
      </c>
      <c r="C423" s="10"/>
      <c r="D423" s="10">
        <v>18015</v>
      </c>
      <c r="E423" s="10">
        <v>910277.54000000178</v>
      </c>
      <c r="F423" s="9" t="s">
        <v>3509</v>
      </c>
    </row>
    <row r="424" spans="1:6" x14ac:dyDescent="0.3">
      <c r="A424" s="12">
        <v>45604</v>
      </c>
      <c r="B424" s="9" t="s">
        <v>25</v>
      </c>
      <c r="C424" s="9"/>
      <c r="D424" s="9">
        <v>701.25</v>
      </c>
      <c r="E424" s="9">
        <v>182960.74000000139</v>
      </c>
      <c r="F424" s="9"/>
    </row>
    <row r="425" spans="1:6" x14ac:dyDescent="0.3">
      <c r="A425" s="12">
        <v>45641</v>
      </c>
      <c r="B425" s="9" t="s">
        <v>27</v>
      </c>
      <c r="C425" s="9"/>
      <c r="D425" s="9">
        <v>-2000</v>
      </c>
      <c r="E425" s="9">
        <v>154099.30000000141</v>
      </c>
      <c r="F425" s="9"/>
    </row>
    <row r="426" spans="1:6" x14ac:dyDescent="0.3">
      <c r="A426" s="12">
        <v>45641</v>
      </c>
      <c r="B426" s="9" t="s">
        <v>27</v>
      </c>
      <c r="C426" s="9"/>
      <c r="D426" s="9">
        <v>-6747.46</v>
      </c>
      <c r="E426" s="9">
        <v>147351.84000000139</v>
      </c>
      <c r="F426" s="9"/>
    </row>
    <row r="427" spans="1:6" x14ac:dyDescent="0.3">
      <c r="A427" s="12">
        <v>45657</v>
      </c>
      <c r="B427" s="9" t="s">
        <v>27</v>
      </c>
      <c r="C427" s="9"/>
      <c r="D427" s="9">
        <v>-1858.69</v>
      </c>
      <c r="E427" s="9">
        <v>152626.09000000139</v>
      </c>
      <c r="F427" s="9"/>
    </row>
    <row r="428" spans="1:6" x14ac:dyDescent="0.3">
      <c r="A428" s="12">
        <v>45657</v>
      </c>
      <c r="B428" s="9" t="s">
        <v>27</v>
      </c>
      <c r="C428" s="9"/>
      <c r="D428" s="9">
        <v>-1991.76</v>
      </c>
      <c r="E428" s="9">
        <v>166335.58000000141</v>
      </c>
      <c r="F428" s="9"/>
    </row>
    <row r="429" spans="1:6" hidden="1" x14ac:dyDescent="0.3">
      <c r="A429" s="6">
        <v>45693</v>
      </c>
      <c r="B429" s="10" t="s">
        <v>25</v>
      </c>
      <c r="C429" s="10"/>
      <c r="D429" s="10">
        <v>19055</v>
      </c>
      <c r="E429" s="10">
        <v>540207.34000000125</v>
      </c>
      <c r="F429" s="9" t="s">
        <v>3515</v>
      </c>
    </row>
    <row r="430" spans="1:6" hidden="1" x14ac:dyDescent="0.3">
      <c r="A430" s="6">
        <v>44929</v>
      </c>
      <c r="B430" s="10" t="s">
        <v>25</v>
      </c>
      <c r="C430" s="10"/>
      <c r="D430" s="10">
        <v>19145</v>
      </c>
      <c r="E430" s="10">
        <v>852653.00000000175</v>
      </c>
      <c r="F430" s="9" t="s">
        <v>3509</v>
      </c>
    </row>
    <row r="431" spans="1:6" x14ac:dyDescent="0.3">
      <c r="A431" s="12">
        <v>45672</v>
      </c>
      <c r="B431" s="9" t="s">
        <v>27</v>
      </c>
      <c r="C431" s="9"/>
      <c r="D431" s="9">
        <v>-5000</v>
      </c>
      <c r="E431" s="9">
        <v>361150.63000000129</v>
      </c>
      <c r="F431" s="9"/>
    </row>
    <row r="432" spans="1:6" hidden="1" x14ac:dyDescent="0.3">
      <c r="A432" s="6">
        <v>44450</v>
      </c>
      <c r="B432" s="10" t="s">
        <v>25</v>
      </c>
      <c r="C432" s="10" t="s">
        <v>3615</v>
      </c>
      <c r="D432" s="10">
        <v>19925</v>
      </c>
      <c r="E432" s="10">
        <v>464572.32000000088</v>
      </c>
      <c r="F432" s="9" t="s">
        <v>3509</v>
      </c>
    </row>
    <row r="433" spans="1:6" x14ac:dyDescent="0.3">
      <c r="A433" s="12">
        <v>45674</v>
      </c>
      <c r="B433" s="9" t="s">
        <v>25</v>
      </c>
      <c r="C433" s="9"/>
      <c r="D433" s="9">
        <v>5865</v>
      </c>
      <c r="E433" s="9">
        <v>370919.26000000129</v>
      </c>
      <c r="F433" s="9"/>
    </row>
    <row r="434" spans="1:6" hidden="1" x14ac:dyDescent="0.3">
      <c r="A434" s="6">
        <v>45661</v>
      </c>
      <c r="B434" s="10" t="s">
        <v>25</v>
      </c>
      <c r="C434" s="10"/>
      <c r="D434" s="10">
        <v>22390</v>
      </c>
      <c r="E434" s="10">
        <v>299261.35000000132</v>
      </c>
      <c r="F434" s="9" t="s">
        <v>3515</v>
      </c>
    </row>
    <row r="435" spans="1:6" x14ac:dyDescent="0.3">
      <c r="A435" s="12">
        <v>45686</v>
      </c>
      <c r="B435" s="9" t="s">
        <v>2004</v>
      </c>
      <c r="C435" s="9" t="s">
        <v>3616</v>
      </c>
      <c r="D435" s="9">
        <v>-384</v>
      </c>
      <c r="E435" s="9">
        <v>476361.7100000013</v>
      </c>
      <c r="F435" s="9"/>
    </row>
    <row r="436" spans="1:6" hidden="1" x14ac:dyDescent="0.3">
      <c r="A436" s="6">
        <v>44881</v>
      </c>
      <c r="B436" s="10" t="s">
        <v>25</v>
      </c>
      <c r="C436" s="10"/>
      <c r="D436" s="10">
        <v>29065</v>
      </c>
      <c r="E436" s="10">
        <v>542627.62000000174</v>
      </c>
      <c r="F436" s="9" t="s">
        <v>3509</v>
      </c>
    </row>
    <row r="437" spans="1:6" hidden="1" x14ac:dyDescent="0.3">
      <c r="A437" s="6">
        <v>44972</v>
      </c>
      <c r="B437" s="10" t="s">
        <v>25</v>
      </c>
      <c r="C437" s="10"/>
      <c r="D437" s="10">
        <v>33990</v>
      </c>
      <c r="E437" s="10">
        <v>1097737.350000002</v>
      </c>
      <c r="F437" s="9" t="s">
        <v>3509</v>
      </c>
    </row>
    <row r="438" spans="1:6" hidden="1" x14ac:dyDescent="0.3">
      <c r="A438" s="6">
        <v>44929</v>
      </c>
      <c r="B438" s="10" t="s">
        <v>25</v>
      </c>
      <c r="C438" s="10"/>
      <c r="D438" s="10">
        <v>36135</v>
      </c>
      <c r="E438" s="10">
        <v>833508.00000000175</v>
      </c>
      <c r="F438" s="9" t="s">
        <v>3509</v>
      </c>
    </row>
    <row r="439" spans="1:6" x14ac:dyDescent="0.3">
      <c r="A439" s="12">
        <v>45698</v>
      </c>
      <c r="B439" s="9" t="s">
        <v>2004</v>
      </c>
      <c r="C439" s="9" t="s">
        <v>3617</v>
      </c>
      <c r="D439" s="9">
        <v>-49.1</v>
      </c>
      <c r="E439" s="9">
        <v>668347.38000000129</v>
      </c>
      <c r="F439" s="9"/>
    </row>
    <row r="440" spans="1:6" x14ac:dyDescent="0.3">
      <c r="A440" s="12">
        <v>45702</v>
      </c>
      <c r="B440" s="9" t="s">
        <v>25</v>
      </c>
      <c r="C440" s="9"/>
      <c r="D440" s="9">
        <v>2245</v>
      </c>
      <c r="E440" s="9">
        <v>677307.18000000122</v>
      </c>
      <c r="F440" s="9"/>
    </row>
    <row r="441" spans="1:6" x14ac:dyDescent="0.3">
      <c r="A441" s="12">
        <v>45703</v>
      </c>
      <c r="B441" s="9" t="s">
        <v>27</v>
      </c>
      <c r="C441" s="9"/>
      <c r="D441" s="9">
        <v>-6591.67</v>
      </c>
      <c r="E441" s="9">
        <v>656995.63000000117</v>
      </c>
      <c r="F441" s="9"/>
    </row>
    <row r="442" spans="1:6" hidden="1" x14ac:dyDescent="0.3">
      <c r="A442" s="6">
        <v>45695</v>
      </c>
      <c r="B442" s="10" t="s">
        <v>25</v>
      </c>
      <c r="C442" s="10"/>
      <c r="D442" s="10">
        <v>53025</v>
      </c>
      <c r="E442" s="10">
        <v>606407.34000000125</v>
      </c>
      <c r="F442" s="9" t="s">
        <v>3515</v>
      </c>
    </row>
    <row r="443" spans="1:6" x14ac:dyDescent="0.3">
      <c r="A443" s="12">
        <v>45709</v>
      </c>
      <c r="B443" s="9" t="s">
        <v>25</v>
      </c>
      <c r="C443" s="9"/>
      <c r="D443" s="9">
        <v>1035</v>
      </c>
      <c r="E443" s="9">
        <v>655573.60000000114</v>
      </c>
      <c r="F443" s="9"/>
    </row>
    <row r="444" spans="1:6" x14ac:dyDescent="0.3">
      <c r="A444" s="12">
        <v>45714</v>
      </c>
      <c r="B444" s="9" t="s">
        <v>25</v>
      </c>
      <c r="C444" s="9"/>
      <c r="D444" s="9">
        <v>1870</v>
      </c>
      <c r="E444" s="9">
        <v>662284.5600000011</v>
      </c>
      <c r="F444" s="9"/>
    </row>
    <row r="445" spans="1:6" x14ac:dyDescent="0.3">
      <c r="A445" s="12">
        <v>45716</v>
      </c>
      <c r="B445" s="9" t="s">
        <v>3618</v>
      </c>
      <c r="C445" s="9"/>
      <c r="D445" s="9">
        <v>-1124.1300000000001</v>
      </c>
      <c r="E445" s="9">
        <v>410443.14000000112</v>
      </c>
      <c r="F445" s="9"/>
    </row>
    <row r="446" spans="1:6" x14ac:dyDescent="0.3">
      <c r="A446" s="12">
        <v>45744</v>
      </c>
      <c r="B446" s="9" t="s">
        <v>2004</v>
      </c>
      <c r="C446" s="9"/>
      <c r="D446" s="9">
        <v>-572</v>
      </c>
      <c r="E446" s="9">
        <v>244275.80000000109</v>
      </c>
      <c r="F446" s="9"/>
    </row>
    <row r="447" spans="1:6" x14ac:dyDescent="0.3">
      <c r="A447" s="12">
        <v>45747</v>
      </c>
      <c r="B447" s="9" t="s">
        <v>25</v>
      </c>
      <c r="C447" s="9"/>
      <c r="D447" s="9">
        <v>1650</v>
      </c>
      <c r="E447" s="9">
        <v>248560.80000000109</v>
      </c>
      <c r="F447" s="9"/>
    </row>
    <row r="448" spans="1:6" x14ac:dyDescent="0.3">
      <c r="A448" s="12">
        <v>45747</v>
      </c>
      <c r="B448" s="9" t="s">
        <v>27</v>
      </c>
      <c r="C448" s="9" t="s">
        <v>3619</v>
      </c>
      <c r="D448" s="9">
        <v>-256</v>
      </c>
      <c r="E448" s="9">
        <v>246879.50000000111</v>
      </c>
      <c r="F448" s="9"/>
    </row>
    <row r="449" spans="1:6" x14ac:dyDescent="0.3">
      <c r="A449" s="12">
        <v>45747</v>
      </c>
      <c r="B449" s="9" t="s">
        <v>27</v>
      </c>
      <c r="C449" s="9"/>
      <c r="D449" s="9">
        <v>-1425.3</v>
      </c>
      <c r="E449" s="9">
        <v>247135.50000000111</v>
      </c>
      <c r="F449" s="9"/>
    </row>
    <row r="450" spans="1:6" x14ac:dyDescent="0.3">
      <c r="A450" s="12">
        <v>45762</v>
      </c>
      <c r="B450" s="9" t="s">
        <v>2004</v>
      </c>
      <c r="C450" s="9" t="s">
        <v>3620</v>
      </c>
      <c r="D450" s="9">
        <v>-196.69</v>
      </c>
      <c r="E450" s="9">
        <v>178987.88000000111</v>
      </c>
      <c r="F450" s="9"/>
    </row>
    <row r="451" spans="1:6" x14ac:dyDescent="0.3">
      <c r="A451" s="12">
        <v>45768</v>
      </c>
      <c r="B451" s="9" t="s">
        <v>2004</v>
      </c>
      <c r="C451" s="9" t="s">
        <v>3621</v>
      </c>
      <c r="D451" s="9">
        <v>-29.37</v>
      </c>
      <c r="E451" s="9">
        <v>147655.13000000111</v>
      </c>
      <c r="F451" s="9"/>
    </row>
    <row r="452" spans="1:6" x14ac:dyDescent="0.3">
      <c r="A452" s="12">
        <v>45775</v>
      </c>
      <c r="B452" s="9" t="s">
        <v>2004</v>
      </c>
      <c r="C452" s="9" t="s">
        <v>3622</v>
      </c>
      <c r="D452" s="9">
        <v>-313.79000000000002</v>
      </c>
      <c r="E452" s="9">
        <v>150068.8400000011</v>
      </c>
      <c r="F452" s="9"/>
    </row>
    <row r="453" spans="1:6" x14ac:dyDescent="0.3">
      <c r="A453" s="12">
        <v>45800</v>
      </c>
      <c r="B453" s="9" t="s">
        <v>25</v>
      </c>
      <c r="C453" s="9"/>
      <c r="D453" s="9">
        <v>1223.75</v>
      </c>
      <c r="E453" s="9">
        <v>83708.03000000109</v>
      </c>
      <c r="F453" s="9"/>
    </row>
    <row r="454" spans="1:6" hidden="1" x14ac:dyDescent="0.3">
      <c r="A454" s="6">
        <v>45696</v>
      </c>
      <c r="B454" s="10" t="s">
        <v>25</v>
      </c>
      <c r="C454" s="10"/>
      <c r="D454" s="10">
        <v>54755</v>
      </c>
      <c r="E454" s="10">
        <v>661162.34000000125</v>
      </c>
      <c r="F454" s="9" t="s">
        <v>3515</v>
      </c>
    </row>
    <row r="455" spans="1:6" hidden="1" x14ac:dyDescent="0.3">
      <c r="A455" s="6">
        <v>45660</v>
      </c>
      <c r="B455" s="10" t="s">
        <v>25</v>
      </c>
      <c r="C455" s="10"/>
      <c r="D455" s="10">
        <v>79070</v>
      </c>
      <c r="E455" s="10">
        <v>264242.29000000132</v>
      </c>
      <c r="F455" s="9" t="s">
        <v>3515</v>
      </c>
    </row>
    <row r="456" spans="1:6" x14ac:dyDescent="0.3">
      <c r="A456" s="12">
        <v>45838</v>
      </c>
      <c r="B456" s="9" t="s">
        <v>25</v>
      </c>
      <c r="C456" s="9"/>
      <c r="D456" s="9">
        <v>203.75</v>
      </c>
      <c r="E456" s="9">
        <v>79364.28000000109</v>
      </c>
      <c r="F456" s="9"/>
    </row>
  </sheetData>
  <autoFilter ref="A1:F456" xr:uid="{00000000-0001-0000-0300-000000000000}">
    <filterColumn colId="4">
      <colorFilter dxfId="1"/>
    </filterColumn>
    <filterColumn colId="5">
      <filters blank="1">
        <filter val="Not in Bank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Unmatched_Bank</vt:lpstr>
      <vt:lpstr>Annexure 2</vt:lpstr>
      <vt:lpstr>Sheet1</vt:lpstr>
      <vt:lpstr>Annexure 1</vt:lpstr>
      <vt:lpstr>Annexure</vt:lpstr>
      <vt:lpstr>Sheet4</vt:lpstr>
      <vt:lpstr>Unmatched_QB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Jauwaad Bin Irshad</cp:lastModifiedBy>
  <cp:revision/>
  <dcterms:created xsi:type="dcterms:W3CDTF">2025-08-19T06:33:29Z</dcterms:created>
  <dcterms:modified xsi:type="dcterms:W3CDTF">2025-10-15T11:55:53Z</dcterms:modified>
  <cp:category/>
  <cp:contentStatus/>
</cp:coreProperties>
</file>